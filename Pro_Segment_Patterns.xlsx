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aw Atomic Data (Pro)" sheetId="1" state="visible" r:id="rId3"/>
    <sheet name="Friction-Need Frequency" sheetId="2" state="visible" r:id="rId4"/>
    <sheet name="Leakage - By Participant" sheetId="3" state="visible" r:id="rId5"/>
    <sheet name="Leakage - Raw Evidence" sheetId="4" state="visible" r:id="rId6"/>
    <sheet name="Theme Legend" sheetId="5" state="visible" r:id="rId7"/>
    <sheet name="Journey Map (Pro)"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<sst xmlns="http://schemas.openxmlformats.org/spreadsheetml/2006/main" count="8075" uniqueCount="2268">
  <si>
    <t xml:space="preserve">Participant</t>
  </si>
  <si>
    <t xml:space="preserve">Provider segment</t>
  </si>
  <si>
    <t xml:space="preserve">Category</t>
  </si>
  <si>
    <t xml:space="preserve">Theme</t>
  </si>
  <si>
    <t xml:space="preserve">Type</t>
  </si>
  <si>
    <t xml:space="preserve">Observation</t>
  </si>
  <si>
    <t xml:space="preserve">Quote</t>
  </si>
  <si>
    <t xml:space="preserve">First occurrence (participant x theme x type)</t>
  </si>
  <si>
    <t xml:space="preserve">Ami</t>
  </si>
  <si>
    <t xml:space="preserve">Pro</t>
  </si>
  <si>
    <t xml:space="preserve">Context and provider model</t>
  </si>
  <si>
    <t xml:space="preserve">provider-background</t>
  </si>
  <si>
    <t xml:space="preserve">fact</t>
  </si>
  <si>
    <t xml:space="preserve">She is 60 years old ("I am 60. I just turned 60, which was hard to believe.") and worked as a music teacher for 32 years before retiring.</t>
  </si>
  <si>
    <t xml:space="preserve">I am 60. I just turned 60, which was hard to believe.</t>
  </si>
  <si>
    <t xml:space="preserve">She retired from teaching music and singing in 2024 after 32 years ("I retired um in 2024 and I taught for 32 years").</t>
  </si>
  <si>
    <t xml:space="preserve">I retired um in 2024 and I taught for 32 years</t>
  </si>
  <si>
    <t xml:space="preserve">She currently manages roughly 10 regular Rover clients by her own rough estimate, and at the time of the interview was only taking current/regular clients rather than accepting new ones ("I probably have maybe like I 10 like that's a rough estimate right now" and "at this point, I'm only doing taking, um, current clients. I'm not accepting new clients.").</t>
  </si>
  <si>
    <t xml:space="preserve">I probably have maybe like I 10 like that's a rough estimate right now</t>
  </si>
  <si>
    <t xml:space="preserve">business-model-fit</t>
  </si>
  <si>
    <t xml:space="preserve">Pet sitting fits within her retirement schedule; she describes the workload as sporadic, with busy spurts followed by lulls, and says a typical day has anywhere from about two to six visits ("it fits within a retirement schedule really well"; "it's also very sporadic like sometimes I'll get really really busy and then I get a little bit a lull and then I get really busy and then a lull"; "I'll have anywhere from like two to two to six visits the most").</t>
  </si>
  <si>
    <t xml:space="preserve">it fits within a retirement schedule really well</t>
  </si>
  <si>
    <t xml:space="preserve">She is married with three kids and currently owns two dogs and a cat of her own ("I have two dogs and a cat" and "my three kids, my husband").</t>
  </si>
  <si>
    <t xml:space="preserve">I have two dogs and a cat</t>
  </si>
  <si>
    <t xml:space="preserve">value-statement</t>
  </si>
  <si>
    <t xml:space="preserve">Before starting on Rover, she originally planned to launch her own independent pet-sitting business, saying she thought she'd "build a, you know, a Google survey" and put out "business cards and I'll put that around my neighborhood" ("I originally was going to try to do something like that on my own"), but decided to start with Rover first, and only after doing so did she realize Rover already offered the organizational setup she would have had to build herself, which is why she stuck with it ("I think I'll just I'll start with Rover"; "then then I realized that it it was easier just to I like the way Rover was set up because I didn't have to do all of that").</t>
  </si>
  <si>
    <t xml:space="preserve">I originally was going to try to do something like that on my own</t>
  </si>
  <si>
    <t xml:space="preserve">onboarding-signup-process</t>
  </si>
  <si>
    <t xml:space="preserve">She says the background check requirement was part of what convinced her to stick with Rover, since it matched the kind of screening she was used to from her teaching career ("I think the fact that uh they wanted to do a background check which was great because you know coming out of teaching I was used to having that you know kind of screening being done which I thought was good").</t>
  </si>
  <si>
    <t xml:space="preserve">I think the fact that uh they wanted to do a background check which was great because you know coming out of teaching I was used to having that you know kind of screening being done which I thought was good</t>
  </si>
  <si>
    <t xml:space="preserve">She found account setup easy and, once her background check and approval went through, quickly received her first booking request from what she calls her first clients, the "OGs" ("it was pretty easy to get get on to it"; "I pretty quickly got a request uh from my uh uh first I call them the OGs, my first clients").</t>
  </si>
  <si>
    <t xml:space="preserve">I pretty quickly got a request uh from my uh uh first I call them the OGs, my first clients</t>
  </si>
  <si>
    <t xml:space="preserve">Andrew</t>
  </si>
  <si>
    <t xml:space="preserve">Drew is a video editor by trade who has been doing Rover for about a year to a year and a half to supplement his income as film work slows down ("I've been doing Rover for a little bit over a year now. Uh just as a way to supplement my income because the industry is I think wrapping up uh in terms of film making").</t>
  </si>
  <si>
    <t xml:space="preserve">I've been doing Rover for a little bit over a year now. Uh just as a way to supplement my income because the industry is I think wrapping up uh in terms of film making</t>
  </si>
  <si>
    <t xml:space="preserve">His services are boarding and doggy daycare, with boarding making up almost all of his business ("I do do boarding and um and doggy daycare, but it's it's almost 99%").</t>
  </si>
  <si>
    <t xml:space="preserve">I do do boarding and um and doggy daycare, but it's it's almost 99%</t>
  </si>
  <si>
    <t xml:space="preserve">capacity-multi-pet-management</t>
  </si>
  <si>
    <t xml:space="preserve">He currently caps his capacity at two dogs at a time in addition to his own, occasionally taking a third for an emergency booking ("right now I take two dogs at a time"; "every once in a while, you know, if if there's a emergency booking, I'll take a third").</t>
  </si>
  <si>
    <t xml:space="preserve">right now I take two dogs at a time</t>
  </si>
  <si>
    <t xml:space="preserve">In the month before the interview he was almost continuously booked, likely due to the start of summer travel season ("the last month I have been almost completely booked. I've had probably three or four days without at least one dog here").</t>
  </si>
  <si>
    <t xml:space="preserve">the last month I have been almost completely booked. I've had probably three or four days without at least one dog here</t>
  </si>
  <si>
    <t xml:space="preserve">Sitting has grown into more of his life than he originally planned and is trending toward a full-time role ("I didn't mean for it to become like my full-time thing, but it kind of is becoming more and more").</t>
  </si>
  <si>
    <t xml:space="preserve">I didn't mean for it to become like my full-time thing, but it kind of is becoming more and more</t>
  </si>
  <si>
    <t xml:space="preserve">He describes a roughly even mix of new and repeat clients, with about 7-8 people whose dogs he sees regularly, and estimates around 50 total clients over about a year and a half ("it's a pretty even mix of new people and repeat clients. I think I've got like seven to eight people that I'm sort of seeing their dogs regularly"; "I've probably done like 50 people I think have come through").</t>
  </si>
  <si>
    <t xml:space="preserve">it's a pretty even mix of new people and repeat clients. I think I've got like seven to eight people that I'm sort of seeing their dogs regularly</t>
  </si>
  <si>
    <t xml:space="preserve">His capacity is supported by owning a house with a yard and having his own dog, which fit naturally with taking in others ("I've got a house, I've got a yard, I like the dogs").</t>
  </si>
  <si>
    <t xml:space="preserve">I've got a house, I've got a yard, I like the dogs</t>
  </si>
  <si>
    <t xml:space="preserve">He moved from Los Angeles back to Tennessee and first turned to Rover as a dog owner needing a sitter on short notice after a planned arrangement with a friend fell through ("I moved back to Tennessee from Los Angeles. Uh, and I was like, I don't know anybody here. And I had a friend of a friend signed up and they had to back out sort of last minute").</t>
  </si>
  <si>
    <t xml:space="preserve">I moved back to Tennessee from Los Angeles. Uh, and I was like, I don't know anybody here. And I had a friend of a friend signed up and they had to back out sort of last minute</t>
  </si>
  <si>
    <t xml:space="preserve">His first hands-on experience with Rover was as a client boarding his own dog, Jeff, with a local sitter for a week; afterward he said "I could do this," and noted that one of his early customers as a sitter turned out to be the same person who had watched Jeff ("one of my early customers was the same guy that had watched Jeff"). He also recalled, with some humor, that Jeff "didn't seem to notice I was gone, which hurt a little."</t>
  </si>
  <si>
    <t xml:space="preserve">I could do this</t>
  </si>
  <si>
    <t xml:space="preserve">He describes his overall use of the app as very passive, limited mainly to communicating with clients, and says he isn't familiar with most of its other functions or features ("it's literally just for communicating I guess with clients because I I I don't really know any of the other functions").</t>
  </si>
  <si>
    <t xml:space="preserve">it's literally just for communicating I guess with clients because I I I don't really know any of the other functions</t>
  </si>
  <si>
    <t xml:space="preserve">Anita</t>
  </si>
  <si>
    <t xml:space="preserve">She is 72 years old and has used Rover for over seven years ("I've been on Rover over seven years now").</t>
  </si>
  <si>
    <t xml:space="preserve">I've been on Rover over seven years now</t>
  </si>
  <si>
    <t xml:space="preserve">Pet sitting has been her occupation for decades before Rover, starting while her husband was in the military and the family moved frequently ("my husband was in the military and we traveled a lot"), since she "couldn't get a regular job back then" in each new location.</t>
  </si>
  <si>
    <t xml:space="preserve">couldn't get a regular job back then</t>
  </si>
  <si>
    <t xml:space="preserve">need</t>
  </si>
  <si>
    <t xml:space="preserve">She holds a degree in environmental science (she said she graduated in 2024) and would like to pursue a further degree in animal science once she has paid off an existing loan ("I want to get a degree in animal science, but I have to pay off that one first").</t>
  </si>
  <si>
    <t xml:space="preserve">I want to get a degree in animal science, but I have to pay off that one first</t>
  </si>
  <si>
    <t xml:space="preserve">She also holds a degree in computer science, which she called her "third degree" ("that was my third degree. I got a degree in computer science, too."), and said she pursued it partly to keep up with her "two brothers who were computer nuts" ("I have two brothers who were computer nuts, so I had to keep up, you know.").</t>
  </si>
  <si>
    <t xml:space="preserve">that was my third degree. I got a degree in computer science, too.</t>
  </si>
  <si>
    <t xml:space="preserve">Beyond dogs, she takes on other animals as clients need, including cats, birds, and hamsters ("I take care of quite a few other animals. So, cats, uh, birds, hamsters"), doing "so whatever the client needs, you know."</t>
  </si>
  <si>
    <t xml:space="preserve">so whatever the client needs, you know</t>
  </si>
  <si>
    <t xml:space="preserve">She describes her Rover income as essential to her finances, covering her rent and bills ("It's keeping me in this tiny apartment. It's helping me pay my bills. I absolutely need it.").</t>
  </si>
  <si>
    <t xml:space="preserve">It's keeping me in this tiny apartment. It's helping me pay my bills. I absolutely need it.</t>
  </si>
  <si>
    <t xml:space="preserve">Her active client count fluctuates seasonally, from a high of six simultaneous households around one Christmas down to just one or two clients during a slow summer.</t>
  </si>
  <si>
    <t xml:space="preserve">repeat-client-relationships</t>
  </si>
  <si>
    <t xml:space="preserve">One dog in her routine care, Boo, is technically a former client's dog who now lives with her full-time because his owner had a stroke and is currently in a care facility ("He's one of my dogs, but his mom had um strokes, so now I'm taking care of him full-time because she's in care.").</t>
  </si>
  <si>
    <t xml:space="preserve">He's one of my dogs, but his mom had um strokes, so now I'm taking care of him full-time because she's in care.</t>
  </si>
  <si>
    <t xml:space="preserve">Becky</t>
  </si>
  <si>
    <t xml:space="preserve">She says she is 36 years old ("I I'm still I'm 36").</t>
  </si>
  <si>
    <t xml:space="preserve">I I'm still I'm 36</t>
  </si>
  <si>
    <t xml:space="preserve">She says she has been using Rover for about two years, though stated with hedging ("I've been using Rover for two years, I think.").</t>
  </si>
  <si>
    <t xml:space="preserve">I've been using Rover for two years, I think.</t>
  </si>
  <si>
    <t xml:space="preserve">She immediately added further uncertainty about that length, saying it might actually be three years ("Maybe three, I don't know.").</t>
  </si>
  <si>
    <t xml:space="preserve">Maybe three, I don't know.</t>
  </si>
  <si>
    <t xml:space="preserve">She says she is still working from home, a setup that has continued since COVID ("I'm still working from home after COVID time.").</t>
  </si>
  <si>
    <t xml:space="preserve">I'm still working from home after COVID time.</t>
  </si>
  <si>
    <t xml:space="preserve">Before Rover, her pet-sitting experience was informal — watching her parents' or friends' dogs when they traveled ("I had done like my parents when they would go out of town I would watch their dogs or like their friends or something. Nothing too elaborate").</t>
  </si>
  <si>
    <t xml:space="preserve">I had done like my parents when they would go out of town I would watch their dogs or like their friends or something. Nothing too elaborate</t>
  </si>
  <si>
    <t xml:space="preserve">She says having a dog at her house, or being at someone else's, has become a frequent occurrence for her ("now I have a dog most mo more times than not I have a dog at my house or I'm at someone else.").</t>
  </si>
  <si>
    <t xml:space="preserve">now I have a dog most mo more times than not I have a dog at my house or I'm at someone else.</t>
  </si>
  <si>
    <t xml:space="preserve">She says the concentration of her bookings in boarding is driven by demand rather than her own preference ("it's not because I have a preference. It's just because that's what gets booked more often.").</t>
  </si>
  <si>
    <t xml:space="preserve">it's not because I have a preference. It's just because that's what gets booked more often.</t>
  </si>
  <si>
    <t xml:space="preserve">motivation-emotional-connection</t>
  </si>
  <si>
    <t xml:space="preserve">Asked directly about her own preference, though, she says she actually prefers overnight boarding and house-sitting over dog-walking because she doesn't have to travel back and forth as much ("it's actually much I prefer to have like the overnight sitting, the boarding or and I'm housesitting because then I don't have to drag so much. I'm just like wherever I am.").</t>
  </si>
  <si>
    <t xml:space="preserve">it's actually much I prefer to have like the overnight sitting, the boarding or and I'm housesitting because then I don't have to drag so much. I'm just like wherever I am.</t>
  </si>
  <si>
    <t xml:space="preserve">She had expected significantly more dog-walking requests when she first signed up than she has actually received ("I thought when I first signed up, I was expecting a lot more dog walking.").</t>
  </si>
  <si>
    <t xml:space="preserve">I thought when I first signed up, I was expecting a lot more dog walking.</t>
  </si>
  <si>
    <t xml:space="preserve">She says her boss was aware that she does dog sitting and that this wasn't a problem ("My boss um was aware of that I dog sitting. She's a big dog person, so it was not it wasn't at all.").</t>
  </si>
  <si>
    <t xml:space="preserve">My boss um was aware of that I dog sitting. She's a big dog person, so it was not it wasn't at all.</t>
  </si>
  <si>
    <t xml:space="preserve">She describes fitting sitting into her work schedule as more a matter of working around her meetings than an actual problem, and says it didn't affect the quality of her work ("it was more like working around my meetings, but it didn't impact the quality of my work.").</t>
  </si>
  <si>
    <t xml:space="preserve">it was more like working around my meetings, but it didn't impact the quality of my work.</t>
  </si>
  <si>
    <t xml:space="preserve">friction</t>
  </si>
  <si>
    <t xml:space="preserve">She says the one real challenge was finding a good time to walk a dog when her work meetings started early (around 6:00 a.m.) and were busy that morning ("the only challenge is really like finding a good time to go on a walk. If I have meetings starting at 6:00 and my meetings were very busy in the morning, then like getting a good time to go on a walk was a little bit tricky.").</t>
  </si>
  <si>
    <t xml:space="preserve">the only challenge is really like finding a good time to go on a walk. If I have meetings starting at 6:00 and my meetings were very busy in the morning, then like getting a good time to go on a walk was a little bit tricky.</t>
  </si>
  <si>
    <t xml:space="preserve">Bruna</t>
  </si>
  <si>
    <t xml:space="preserve">She has used Rover for about four or five years, with a roughly two-year hiatus in the middle before returning ("I took a a hiatus um of I think two years and then I came back").</t>
  </si>
  <si>
    <t xml:space="preserve">I took a a hiatus um of I think two years and then I came back</t>
  </si>
  <si>
    <t xml:space="preserve">She runs two businesses she deliberately keeps separate: a professional dog-training business and Rover-based boarding, describing them as different entities even though she converts some clients between them ("my dog training company is my dog training company. My boarding company is my boarding company").</t>
  </si>
  <si>
    <t xml:space="preserve">my dog training company is my dog training company. My boarding company is my boarding company</t>
  </si>
  <si>
    <t xml:space="preserve">She describes her time split between the two businesses as roughly even ("I would say it's even. So, it's pretty even."), with dog training full-time and Rover "also part-time, if not full-time."</t>
  </si>
  <si>
    <t xml:space="preserve">I would say it's even. So, it's pretty even.</t>
  </si>
  <si>
    <t xml:space="preserve">She is a top/"star sitter" on Rover, a status she says she reached around "February or March" of this year.</t>
  </si>
  <si>
    <t xml:space="preserve">February or March</t>
  </si>
  <si>
    <t xml:space="preserve">She lives in an apartment with her partner, which limits her boarding capacity to one household of dogs at a time ("I cannot have dogs fighting here. I cannot have dogs meeting each other in a confined space.").</t>
  </si>
  <si>
    <t xml:space="preserve">I cannot have dogs fighting here. I cannot have dogs meeting each other in a confined space.</t>
  </si>
  <si>
    <t xml:space="preserve">Her partner is home while she is out doing dog-training sessions and keeps an eye on the boarding dogs, but she is clear this is not formally his job ("it's not his job. It's my job.").</t>
  </si>
  <si>
    <t xml:space="preserve">it's not his job. It's my job.</t>
  </si>
  <si>
    <t xml:space="preserve">private-business-parallel-ops</t>
  </si>
  <si>
    <t xml:space="preserve">She only publicly advertises the dog-training side of her business; she doesn't advertise boarding to the public and takes boarding clients only from Rover or referrals from other trainers ("I don't tell the public that I do boarding... I just take all the boarding clients from Rover.").</t>
  </si>
  <si>
    <t xml:space="preserve">I don't tell the public that I do boarding</t>
  </si>
  <si>
    <t xml:space="preserve">Rover started as a part-time weekend job on top of long-standing work as a bartender in Canada; as Rover bookings grew in frequency, she had to start turning down requests because of bartending shifts ("I started Rover as a part-time weekend job. Um, I was a bartender for a long time here in Canada."; "I had to start turning clients down because I was at a bartending shift or I was like not going to be home"), and she eventually quit bartending, in December, to focus on dog training and sitting.</t>
  </si>
  <si>
    <t xml:space="preserve">I started Rover as a part-time weekend job. Um, I was a bartender for a long time here in Canada.</t>
  </si>
  <si>
    <t xml:space="preserve">payout-timing-tracking</t>
  </si>
  <si>
    <t xml:space="preserve">She likes and regularly checks Rover's in-app analytics dashboard — including her booking and client totals (72 total bookings, 48 total clients, 15 repeat clients, a 60% new-client acceptance rate) and metrics like response rate and profile views, calling them "a way for you to monitor what you can change in your own business" — though she admitted she doesn't check them as often as she feels she should ("I should see these more often").</t>
  </si>
  <si>
    <t xml:space="preserve">I should see these more often</t>
  </si>
  <si>
    <t xml:space="preserve">Colin</t>
  </si>
  <si>
    <t xml:space="preserve">Colin is 40 and a recent immigrant to Canada, having been there about two and a half years by the time of this interview, and he started on Rover in February or March 2025 ("the first time I got on Rover would have been February or March of 2025").</t>
  </si>
  <si>
    <t xml:space="preserve">the first time I got on Rover would have been February or March of 2025</t>
  </si>
  <si>
    <t xml:space="preserve">He began pet sitting on Rover after his own dog passed away and while he was legally unable to work pending his residency visa ("I was not able to legally work while I was waiting for my residency visa to get to pass" and "our dog passed away sadly. So we got on Rover").</t>
  </si>
  <si>
    <t xml:space="preserve">I was not able to legally work while I was waiting for my residency visa to get to pass</t>
  </si>
  <si>
    <t xml:space="preserve">Rover gave him a way to contribute financially and get out of the house while his wife's bank accounts handled the taxes/paperwork side of things ("Rover was a really nice way for me to be able to contribute a little bit financially, get out of the house, hang out with some dogs").</t>
  </si>
  <si>
    <t xml:space="preserve">Rover was a really nice way for me to be able to contribute a little bit financially, get out of the house, hang out with some dogs</t>
  </si>
  <si>
    <t xml:space="preserve">Because all of his early bank accounts and paperwork were tied to his wife rather than him, the payments from his housesitting and boarding jobs went to her, which kept things properly accounted for tax-wise while his own work status was restricted ("all of the the bank accounts and everything was associated with my wife... she was the payments were going to her so everything was above the line, with paying taxes and keeping receipts for things").</t>
  </si>
  <si>
    <t xml:space="preserve">she was the payments were going to her so everything was above the line</t>
  </si>
  <si>
    <t xml:space="preserve">business-growth-plans</t>
  </si>
  <si>
    <t xml:space="preserve">His activity has decreased since getting his own dog, and he now does far less long-term boarding/sitting than during his peak ("very few long-term boarding and dog sitting just because the situation has changed").</t>
  </si>
  <si>
    <t xml:space="preserve">very few long-term boarding and dog sitting just because the situation has changed</t>
  </si>
  <si>
    <t xml:space="preserve">He now holds his residency visa and can work other jobs, which has made him busier outside of Rover and turned Rover into more of a part-time supplement rather than a focus ("I have my my residency visa in Canada now. So now I'm able to work more and a little bit busier").</t>
  </si>
  <si>
    <t xml:space="preserve">I have my my residency visa in Canada now. So now I'm able to work more and a little bit busier</t>
  </si>
  <si>
    <t xml:space="preserve">client-dog-screening-criteria</t>
  </si>
  <si>
    <t xml:space="preserve">His own dog is a rescue from Korea who arrived somewhat traumatized, so they decided not to surround him with unfamiliar dogs in boarding situations, though he does fine with smaller dogs in their home ("he's kind of came here a little bit traumatized. So, we didn't really want to surround him with with random dogs. He does well with smaller dogs in home.").</t>
  </si>
  <si>
    <t xml:space="preserve">he's kind of came here a little bit traumatized</t>
  </si>
  <si>
    <t xml:space="preserve">He and his wife live in a one-bedroom apartment, which limits how much boarding capacity they have ("we live in a onebedroom apartment. If we take on another dog in here it it really shrinks our space").</t>
  </si>
  <si>
    <t xml:space="preserve">we live in a onebedroom apartment</t>
  </si>
  <si>
    <t xml:space="preserve">Before Rover, he did informal, unpaid pet/house sitting for neighbors going back to his teenage years, but it was never consistent work ("I've definitely done like houses sitting, pet sitting way for many years, probably all the way back I was a teenager"; "Not really anything consistent").</t>
  </si>
  <si>
    <t xml:space="preserve">Not really anything consistent</t>
  </si>
  <si>
    <t xml:space="preserve">He lived abroad for about 12 years without pets before settling in Canada, and believes he would have used Rover as a side gig earlier had it been available to him then ("I would have tried to make Rover like a little side gig").</t>
  </si>
  <si>
    <t xml:space="preserve">I would have tried to make Rover like a little side gig</t>
  </si>
  <si>
    <t xml:space="preserve">Dawn</t>
  </si>
  <si>
    <t xml:space="preserve">She is a Pro-segment Rover sitter, 62 years old, who has been on the platform for about 10 years and considers pet sitting a part-time, self-retired activity since she has no other job ("I just really do it part-time. Um, so I guess um guess I consider my self-retired because I don't have another job.").</t>
  </si>
  <si>
    <t xml:space="preserve">I just really do it part-time. Um, so I guess um guess I consider my self-retired because I don't have another job.</t>
  </si>
  <si>
    <t xml:space="preserve">Her Rover business is modest in scale: she estimates roughly six to eight sits per month, with about half being repeat/regular clients, though she says she's never actually counted ("I'm guessing it's around uh maybe six to eight per month or something like that. Yeah. Yeah. Like 50% might be regular something or something like that.").</t>
  </si>
  <si>
    <t xml:space="preserve">I'm guessing it's around uh maybe six to eight per month or something like that. Yeah. Yeah. Like 50% might be regular something or something like that.</t>
  </si>
  <si>
    <t xml:space="preserve">She estimates her first contact with Rover was around 2015, though she gives this with visible hedging ("what I think it was around 2015 or something like that").</t>
  </si>
  <si>
    <t xml:space="preserve">what I think it was around 2015 or something like that</t>
  </si>
  <si>
    <t xml:space="preserve">Erika</t>
  </si>
  <si>
    <t xml:space="preserve">Erika is 30 years old and has been pet sitting on Rover since April 2023, after moving to Canada from Colombia ("my name is Erica. I've been a pet uh uh acid acid like acid pet r since April 2023 and uh I'm 30 years old").</t>
  </si>
  <si>
    <t xml:space="preserve">my name is Erica. I've been a pet uh uh acid acid like acid pet r since April 2023 and uh I'm 30 years old</t>
  </si>
  <si>
    <t xml:space="preserve">She came to Canada on a study permit and was initially studying part-time and working part-time when she started on Rover ("I came under um a study permit. So I was studying part-time and then um working part-time as well").</t>
  </si>
  <si>
    <t xml:space="preserve">I came under um a study permit. So I was studying part-time and then um working part-time as well</t>
  </si>
  <si>
    <t xml:space="preserve">She now works full-time and has completed a master's degree in business, but still keeps doing Rover on the side ("now I'm working full-time. I already finished a a master business degree that I was completing").</t>
  </si>
  <si>
    <t xml:space="preserve">now I'm working full-time. I already finished a a master business degree that I was completing</t>
  </si>
  <si>
    <t xml:space="preserve">She traces her love of animals back to childhood visits to her grandparents' farm ("I have liked animals my whole life since I was a kid when I was uh visiting my grandparents in the farm").</t>
  </si>
  <si>
    <t xml:space="preserve">I have liked animals my whole life since I was a kid when I was uh visiting my grandparents in the farm</t>
  </si>
  <si>
    <t xml:space="preserve">She also had her own pets back in Colombia before moving to Canada ("back in Colombia I used to have pet beds of my own as well").</t>
  </si>
  <si>
    <t xml:space="preserve">back in Colombia I used to have pet beds of my own as well</t>
  </si>
  <si>
    <t xml:space="preserve">She now has a baby, which is part of her current household context ("I also have a baby").</t>
  </si>
  <si>
    <t xml:space="preserve">I also have a baby</t>
  </si>
  <si>
    <t xml:space="preserve">Her living situation also shapes which bookings she can take: she rents her home under a landlord agreement restricting her to small- or medium-sized pets (see Evaluation and meet-and-greet for the full detail and quote).</t>
  </si>
  <si>
    <t xml:space="preserve">She has a base of regular clients, though she says the balance has recently shifted toward new clients ("I have a couple of regular clients").</t>
  </si>
  <si>
    <t xml:space="preserve">I have a couple of regular clients</t>
  </si>
  <si>
    <t xml:space="preserve">Her Rover profile also has drop-in visits and daycare activated, but boarding -- pets staying with her for scheduled days or nights -- is the service type she says she has done most ("the most common one is the boarding one. That is the one that they spend some days or some nights here as like schedule times... so that's the most common and to be honest that's the one that I mostly have done so far").</t>
  </si>
  <si>
    <t xml:space="preserve">the most common one is the boarding one. That is the one that they spend some days or some nights here as like schedule times... so that's the most common and to be honest that's the one that I mostly have done so far</t>
  </si>
  <si>
    <t xml:space="preserve">client-acquisition-discovery</t>
  </si>
  <si>
    <t xml:space="preserve">In roughly the three to four months before the interview she noticed a sharp rise in new clients on top of her existing regulars ("I've noticed that in this last I don't know like maybe three" ... "to four months I've gotten lots of new" [pets]).</t>
  </si>
  <si>
    <t xml:space="preserve">to four months I've gotten lots of new</t>
  </si>
  <si>
    <t xml:space="preserve">Kristin</t>
  </si>
  <si>
    <t xml:space="preserve">She did Rover full-time until April, then returned to her full-time day job and is now doing Rover part-time again ("I had been doing Rover full-time. um up until April.").</t>
  </si>
  <si>
    <t xml:space="preserve">I had been doing Rover full-time. um up until April.</t>
  </si>
  <si>
    <t xml:space="preserve">Her full-time day job is on the administrative side of the emergency field, which she describes as less stressful than the facility-based role she previously had in the same field ("it's on the admin side and I don't deal with it in the facility").</t>
  </si>
  <si>
    <t xml:space="preserve">it's on the admin side and I don't deal with it in the facility</t>
  </si>
  <si>
    <t xml:space="preserve">Roughly 90% of her pet-sitting income comes through Rover, with the rest from private clients found through word of mouth, Facebook, and NextDoor ("90% of my petsitting income off Rover.").</t>
  </si>
  <si>
    <t xml:space="preserve">90% of my petsitting income off Rover.</t>
  </si>
  <si>
    <t xml:space="preserve">Her active client base includes "approximately six or seven like weekly clients" plus an estimated 60-100 intermittent yearly clients who book around vacations.</t>
  </si>
  <si>
    <t xml:space="preserve">approximately six or seven like weekly clients</t>
  </si>
  <si>
    <t xml:space="preserve">She is engaged and has her own dogs at home, which come up as part of her daily life during the interview itself ("my dog and dogs are going to start barking and my fiance's getting ready for work.").</t>
  </si>
  <si>
    <t xml:space="preserve">my dog and dogs are going to start barking and my fiance's getting ready for work.</t>
  </si>
  <si>
    <t xml:space="preserve">She recently had surgery, which affected her capacity to work ("I've just recently had surgery").</t>
  </si>
  <si>
    <t xml:space="preserve">I've just recently had surgery</t>
  </si>
  <si>
    <t xml:space="preserve">She describes herself as a very busy person who likes it that way, juggling dog walks and drop-ins around her full-time job plus overnight house-sits ("Yeah. Yeah. I'm a very busy person. I like being busy.").</t>
  </si>
  <si>
    <t xml:space="preserve">Yeah. Yeah. I'm a very busy person. I like being busy.</t>
  </si>
  <si>
    <t xml:space="preserve">Naomi</t>
  </si>
  <si>
    <t xml:space="preserve">She is a Pro-segment Rover provider based in the Bronx, New York City, running her boarding operation out of a home with a large yard that she bought after leaving the tech industry ("I bought a home in the Bronx and so the home has a large yard").</t>
  </si>
  <si>
    <t xml:space="preserve">I bought a home in the Bronx and so the home has a large yard</t>
  </si>
  <si>
    <t xml:space="preserve">Rover is one part of several income streams she runs from that property, alongside tenants, an Airbnb, personal training, and teaching Muay Thai and yoga ("I have a few different streams of income... I have tenants and Airbnb rover and I'm a personal trainer and I teach uh Muay Thai and yoga").</t>
  </si>
  <si>
    <t xml:space="preserve">I have a few different streams of income... I have tenants and Airbnb rover and I'm a personal trainer and I teach uh Muay Thai and yoga</t>
  </si>
  <si>
    <t xml:space="preserve">Rover makes up about a third of her overall income ("Rover is like a third of my income, I would say"); see Payments and earnings for her fuller reasoning about why she doesn't expect that share to grow.</t>
  </si>
  <si>
    <t xml:space="preserve">Rover is like a third of my income, I would say</t>
  </si>
  <si>
    <t xml:space="preserve">She currently keeps her combined dog-sitting capacity fairly small — three dogs with possible overlap to five — well below her past peak ("I'm just seeing how I feel with this level, which is like three overlapping maybe five, and only boarding, no dog daycare").</t>
  </si>
  <si>
    <t xml:space="preserve">I'm just seeing how I feel with this level, which is like three overlapping maybe five, and only boarding, no dog daycare</t>
  </si>
  <si>
    <t xml:space="preserve">At her prior peak, she also allowed a tenant to run his own larger dog boarding/daycare business from her property at the same time as her own dogs, which together could put as many as 15 dogs on the property at once ("there would be days where there was 15 dogs on my property and it was um too much").</t>
  </si>
  <si>
    <t xml:space="preserve">there would be days where there was 15 dogs on my property and it was um too much</t>
  </si>
  <si>
    <t xml:space="preserve">She ended that arrangement and asked the tenant to leave, partly because he wasn't cleaning up after his own dog ("the tenant wasn't really cleaning up after his dog, so I asked him to leave").</t>
  </si>
  <si>
    <t xml:space="preserve">the tenant wasn't really cleaning up after his dog, so I asked him to leave</t>
  </si>
  <si>
    <t xml:space="preserve">Separately from Rover, she also does small-scale, informal pet sitting for neighborhood dogs through word of mouth, with no online advertising or business listing ("I haven't listed my business on Google. I've just had neighborhood clients").</t>
  </si>
  <si>
    <t xml:space="preserve">I haven't listed my business on Google. I've just had neighborhood clients</t>
  </si>
  <si>
    <t xml:space="preserve">Her own first exposure to Rover came through her ex-partner, who used the platform himself while living in Pennsylvania and sometimes dropped his dogs at her house for extended stays instead ("it was my ex who used Rover. Uh he lived in Pennsylvania so sometimes he would drop the dogs at my house for like extended stays").</t>
  </si>
  <si>
    <t xml:space="preserve">it was my ex who used Rover. Uh he lived in Pennsylvania so sometimes he would drop the dogs at my house for like extended stays</t>
  </si>
  <si>
    <t xml:space="preserve">She says the dogs she gets through Rover tend to be harder to handle than her neighborhood dogs, which is part of why she hasn't felt comfortable taking more than five at a time from Rover ("whenever I was getting dog daycare requests they tended to be like very hard dogs basically... I didn't really feel comfortable with more than five at a time from Rover cuz they are generally kind of harder dogs than you might get").</t>
  </si>
  <si>
    <t xml:space="preserve">whenever I was getting dog daycare requests they tended to be like very hard dogs basically... I didn't really feel comfortable with more than five at a time from Rover cuz they are generally kind of harder dogs than you might get</t>
  </si>
  <si>
    <t xml:space="preserve">The tenant who subcontracted through her property drew on his own, separate client base — regulars from a previous dog-walking job he quit after a bad interaction with a client, some of whom he brought with him ("he basically he had a route and he had those dogs but then due to an interaction with that woman uh quit and then when he quit uh he took some of his clientele").</t>
  </si>
  <si>
    <t xml:space="preserve">he basically he had a route and he had those dogs but then due to an interaction with that woman uh quit and then when he quit uh he took some of his clientele</t>
  </si>
  <si>
    <t xml:space="preserve">Shania</t>
  </si>
  <si>
    <t xml:space="preserve">She is 23 years old and has been on Rover since about 2022, describing her tenure as "three and a half yearsish" ("I've been providing services on Rover since about 2022. So like uh three and a half yearsish.").</t>
  </si>
  <si>
    <t xml:space="preserve">I've been providing services on Rover since about 2022. So like uh three and a half yearsish.</t>
  </si>
  <si>
    <t xml:space="preserve">Pet sitting is a side income alongside a separate main job; the exact nature of that other job is unclear because her answer was cut off ('I have a different job what I do part').</t>
  </si>
  <si>
    <t xml:space="preserve">I have a different job what I do part</t>
  </si>
  <si>
    <t xml:space="preserve">She originally started pet sitting to diversify her income beyond doing DoorDash food delivery and to make use of a car she already had, saying she 'wanted to find a way to diversify um my way to earn an income while also using my car to get around.'</t>
  </si>
  <si>
    <t xml:space="preserve">wanted to find a way to diversify um my way to earn an income while also using my car to get around.</t>
  </si>
  <si>
    <t xml:space="preserve">She gives two different accounts of how much has changed since starting in 2022: earlier in the interview she says her business "started to um grow last year" and that she "started to take it more seriously," but later, asked directly what has changed since she started three and a half years ago, she says "nothing's really changed. I I still offer the same services," while also noting her bookings were dog-walking only "up until um 2024."</t>
  </si>
  <si>
    <t xml:space="preserve">nothing's really changed. I I still offer the same services</t>
  </si>
  <si>
    <t xml:space="preserve">She currently has about two or three regular clients and describes new clients as harder to count precisely, but confirms two new ones as of this year: "I would say around uh two or three" regulars, and "I do have two new ones as of right now."</t>
  </si>
  <si>
    <t xml:space="preserve">I would say around uh two or three</t>
  </si>
  <si>
    <t xml:space="preserve">Her average activity level is roughly one booking or one notification per week: "I would say average it would be around like uh maybe one booking a week like normally or at least one notification uh a week."</t>
  </si>
  <si>
    <t xml:space="preserve">I would say average it would be around like uh maybe</t>
  </si>
  <si>
    <t xml:space="preserve">One of her regulars (since 2024) uses her only as a backup: that client already has a full-time dog walker and calls Shania in only when that person is unavailable. "I've had a regular since uh 2024, right? I'm her like replacement dog sitter, she already has a full-time dog walker, right? So, when that person can't make it, I'm the one that gets called to do that walk."</t>
  </si>
  <si>
    <t xml:space="preserve">I'm her like replacement dog sitter, she already has a full-time dog walker</t>
  </si>
  <si>
    <t xml:space="preserve">workaround</t>
  </si>
  <si>
    <t xml:space="preserve">She manages Rover alongside her other job without much friction because she knows her outside-work schedule ahead of time and gives clients a heads-up before confirming any booking that might overlap: "I do know ahead of time when I do have to work. So, I just kind of give the client a heads up before I like confirm any booking because they will eventually overlap with work."</t>
  </si>
  <si>
    <t xml:space="preserve">I do know ahead of time when I do have to work. So, I just kind of give the client a heads up before I like confirm any booking because they will eventually overlap with work.</t>
  </si>
  <si>
    <t xml:space="preserve">She says pet sitting doesn't play a big role in her everyday life overall, though getting a Rover notification gives her a small, positive lift: "I wouldn't say it plays a big role everyday life. It's just something that um you know when I received a notification from it, I just I get a little excited."</t>
  </si>
  <si>
    <t xml:space="preserve">I wouldn't say it plays a big role everyday life</t>
  </si>
  <si>
    <t xml:space="preserve">Tianrui</t>
  </si>
  <si>
    <t xml:space="preserve">TR has been on Rover for about three years and primarily cares for cats, occasionally dogs, through boarding and drop-ins ("I do see dogs too but mostly cats").</t>
  </si>
  <si>
    <t xml:space="preserve">I do see dogs too but mostly cats</t>
  </si>
  <si>
    <t xml:space="preserve">TR currently has no full-time job because they are applying to grad school, which frees up time for sitting ("currently I don't have a full-time job because I'm applying for grad school. So, actually this give me a lots of time to take care of dogs and the cats").</t>
  </si>
  <si>
    <t xml:space="preserve">currently I don't have a full-time job because I'm applying for grad school. So, actually this give me a lots of time to take care of dogs and the cats</t>
  </si>
  <si>
    <t xml:space="preserve">Rover income is described as extra/supplemental rather than their main livelihood ("I can also get some like extra payments from that. So that's a primary reason why I'm in Rover").</t>
  </si>
  <si>
    <t xml:space="preserve">I can also get some like extra payments from that. So that's a primary reason why I'm in Rover</t>
  </si>
  <si>
    <t xml:space="preserve">off-platform-clients-leakage</t>
  </si>
  <si>
    <t xml:space="preserve">TR has never taken on private, off-platform clients — all clients come through Rover ("I don't do privately").</t>
  </si>
  <si>
    <t xml:space="preserve">I don't do privately</t>
  </si>
  <si>
    <t xml:space="preserve">TR describes their client base as mostly middle to upper-middle income people, roughly late 20s to 50s in age, who tend to spend more on their pets ("my client base probably all like uh middle or upper upper middle income people... they tend to have like more money with their pets").</t>
  </si>
  <si>
    <t xml:space="preserve">my client base probably all like uh middle or upper upper middle income people</t>
  </si>
  <si>
    <t xml:space="preserve">TR has built up a substantial base of regular clients, a mix of boarding and drop-in bookings ("I do have a lot of regulars").</t>
  </si>
  <si>
    <t xml:space="preserve">I do have a lot of regulars</t>
  </si>
  <si>
    <t xml:space="preserve">TR estimates an average of three to five bookings per month, though a single long-term boarding stay can occupy most of a month ("I will say like for bookings it probably can go to from three to five or like even more").</t>
  </si>
  <si>
    <t xml:space="preserve">I will say like for bookings it probably can go to from three to five or like even more</t>
  </si>
  <si>
    <t xml:space="preserve">TR says it is now rare to have a week with no bookings at all ("yeah I think right now it's rare for me to not have booking at all").</t>
  </si>
  <si>
    <t xml:space="preserve">yeah I think right now it's rare for me to not have booking at all</t>
  </si>
  <si>
    <t xml:space="preserve">TR previously volunteered fostering kittens at a cat shelter in college, before joining Rover ("when I was volunteering for cat shelter I did help them like just foster cats before like the kittens").</t>
  </si>
  <si>
    <t xml:space="preserve">when I was volunteering for cat shelter I did help them like just foster cats before like the kittens</t>
  </si>
  <si>
    <t xml:space="preserve">TR had recently adopted their own cat around the time they joined Rover and wanted to learn how to take care of other people's cats as well ("I just adopted my cat. So I want to like also just to learn how to take care of someone else cats").</t>
  </si>
  <si>
    <t xml:space="preserve">I just adopted my cat. So I want to like also just to learn how to take care of someone else cats</t>
  </si>
  <si>
    <t xml:space="preserve">TR finds boarding more relaxing than other formats because it doesn't require driving to a client's place or going inside their apartment, since pets mostly stay at TR's own home instead ("for boarding I don't need to spend as much time to like drive to the client place and uh um like open and go inside the apartments. Most time they stay in my place. So that's feel more relaxing").</t>
  </si>
  <si>
    <t xml:space="preserve">for boarding I don't need to spend as much time to like drive to the client place and uh um like open and go inside the apartments. Most time they stay in my place. So that's feel more relaxing</t>
  </si>
  <si>
    <t xml:space="preserve">Tifany</t>
  </si>
  <si>
    <t xml:space="preserve">She is 42 years old and has been pet sitting on Rover for about three years, since roughly summer 2023 ('I've been with Rover I think since uh summer of 2023. So at this point I think it's three years, right?').</t>
  </si>
  <si>
    <t xml:space="preserve">I've been with Rover I think since uh summer of 2023. So at this point I think it's three years, right?</t>
  </si>
  <si>
    <t xml:space="preserve">Her main paid work is part-time as a Bible instructor, and pet sitting has grown into what she calls her 'legitimate side job,' formalized with its own business license ('I work full well I work part-time as a Bible instructor'; 'now it's like my legitimate side job cuz I, you know, turned it into a business license as on its own, you know').</t>
  </si>
  <si>
    <t xml:space="preserve">now it's like my legitimate side job cuz I, you know, turned it into a business license as on its own, you know</t>
  </si>
  <si>
    <t xml:space="preserve">She lives in Walla Walla; around the time of her first (pre-Rover) housesitting job, she had recently become single and 'home alone' after her daughter moved out at 18 ('Cuz my daughter had just moved out. she turned 18 and um I was just like home alone').</t>
  </si>
  <si>
    <t xml:space="preserve">Cuz my daughter had just moved out. she turned 18 and um I was just like home alone</t>
  </si>
  <si>
    <t xml:space="preserve">She currently has her own dog at home, which is not booked through Rover ('I mean, I have a dog right now. Um boarding he he is not through Rover').</t>
  </si>
  <si>
    <t xml:space="preserve">I mean, I have a dog right now. Um boarding he he is not through Rover</t>
  </si>
  <si>
    <t xml:space="preserve">Before pet sitting, she worked in human services, including mental health, which she frames as prior experience dealing with the unpredictability of people ('I worked in human services for a while too and like in mental health').</t>
  </si>
  <si>
    <t xml:space="preserve">I worked in human services for a while too and like in mental health</t>
  </si>
  <si>
    <t xml:space="preserve">She describes herself as strongly task-oriented, which shapes how she approaches sitting jobs as items on a to-do list ('I'm really task oriented').</t>
  </si>
  <si>
    <t xml:space="preserve">I'm really task oriented</t>
  </si>
  <si>
    <t xml:space="preserve">Her client base spans far beyond dogs, including cats, farm animals, and exotic pets like turtles and iguanas ('I do farm animals if they need or like cats or like I've I've like pets set for all sorts of things, you know, turtles and iguanas and whatever').</t>
  </si>
  <si>
    <t xml:space="preserve">I do farm animals if they need or like cats or like I've I've like pets set for all sorts of things, you know, turtles and iguanas and whatever</t>
  </si>
  <si>
    <t xml:space="preserve">Pet sitting now occupies nearly every day of her life outside of pre-scheduled travel ('it's just every day now. I don't there's many unless I'm going out of town and I've scheduled ahead of time. I'm pretty much just doing something for pets every day').</t>
  </si>
  <si>
    <t xml:space="preserve">it's just every day now. I don't there's many unless I'm going out of town and I've scheduled ahead of time. I'm pretty much just doing something for pets every day</t>
  </si>
  <si>
    <t xml:space="preserve">Motivation</t>
  </si>
  <si>
    <t xml:space="preserve">She has loved dogs and had them for her whole life ("dogs, you know, I've just always loved dogs. I had them all my life").</t>
  </si>
  <si>
    <t xml:space="preserve">dogs, you know, I've just always loved dogs. I had them all my life</t>
  </si>
  <si>
    <t xml:space="preserve">She values that animals communicate in nonverbal ways that differ from human communication, and feels animals can read a person well ("there's a communication with animals that you don't get with people" and "They can read you very well").</t>
  </si>
  <si>
    <t xml:space="preserve">there's a communication with animals that you don't get with people</t>
  </si>
  <si>
    <t xml:space="preserve">She describes animals as unconditional and says she just loves them ("they're unconditional obviously" and "I just love them").</t>
  </si>
  <si>
    <t xml:space="preserve">they're unconditional obviously</t>
  </si>
  <si>
    <t xml:space="preserve">He says he prefers interacting with dogs to interacting with people ("I like to talk to dogs more than people").</t>
  </si>
  <si>
    <t xml:space="preserve">I like to talk to dogs more than people</t>
  </si>
  <si>
    <t xml:space="preserve">Pet sitting is something he already enjoyed doing, so it doesn't feel like added work to him ("This is something I already enjoy doing. It is not an extra burden to me and and it's it's fun.").</t>
  </si>
  <si>
    <t xml:space="preserve">This is something I already enjoy doing. It is not an extra burden to me and and it's it's fun.</t>
  </si>
  <si>
    <t xml:space="preserve">He views it as preferable to other gig-economy work he considered, like delivery driving ("this seems better than, you know, door dashing and and Ubering around").</t>
  </si>
  <si>
    <t xml:space="preserve">this seems better than, you know, door dashing and and Ubering around</t>
  </si>
  <si>
    <t xml:space="preserve">He also likes that sitting lets him avoid socializing with other people at the dog park ("I don't have to deal with the people at the dog park as much.").</t>
  </si>
  <si>
    <t xml:space="preserve">I don't have to deal with the people at the dog park as much.</t>
  </si>
  <si>
    <t xml:space="preserve">A stated priority for him is that dogs in his care leave feeling calm and worn out rather than stressed ("I want the dogs to at least go home content and tired").</t>
  </si>
  <si>
    <t xml:space="preserve">I want the dogs to at least go home content and tired</t>
  </si>
  <si>
    <t xml:space="preserve">His comfort with dog care traces back to childhood, where hands-on pet care fell to him because his parents grew up on farms without much experience caring for pets specifically ("a lot my parents like grew up on farms so they did not have a lot of experience with pet pets. Uh so a lot of that ended up sort of falling to me.").</t>
  </si>
  <si>
    <t xml:space="preserve">a lot my parents like grew up on farms so they did not have a lot of experience with pet pets. Uh so a lot of that ended up sort of falling to me.</t>
  </si>
  <si>
    <t xml:space="preserve">She describes a strong emotional bond with animals, believing they can sense affection and respond to it ("They absolutely sense when you love them that much. And I do. I love all of them.").</t>
  </si>
  <si>
    <t xml:space="preserve">They absolutely sense when you love them that much. And I do. I love all of them.</t>
  </si>
  <si>
    <t xml:space="preserve">She finds enjoyment in learning each animal's individual personality and treating them accordingly, comparing them to two-year-old children who "like to interact" and "like to socialize."</t>
  </si>
  <si>
    <t xml:space="preserve">like to interact</t>
  </si>
  <si>
    <t xml:space="preserve">Asked to imagine herself as a dog, she instead described a past dog of her own, Nofy, as her all-time favorite despite loving all dogs ("I I love all dogs, but Nofy stole my heart a long time ago"), recalling that the dog was notably quiet for her size ("she was huge, but you would never know she was in the room. She tiptoed.").</t>
  </si>
  <si>
    <t xml:space="preserve">I I love all dogs, but Nofy stole my heart a long time ago</t>
  </si>
  <si>
    <t xml:space="preserve">She says she was happiest when her schedule was fullest, moving from one dog to the next all day ("would like five dogs a day. I loved it when I had five dog"), and while she said she preferred being busier, she stopped short of calling her current, quieter period unhappy ("I was happy then, you know. I'm not not happy now. It's just that it's quiet because it's summertime, you know. But yeah, I liked it when I was busier.").</t>
  </si>
  <si>
    <t xml:space="preserve">I was happy then, you know. I'm not not happy now.</t>
  </si>
  <si>
    <t xml:space="preserve">She says she decided to start dog sitting because she was under-occupied and wanted something to do ("I decided to start dogsitting because I was like I'm kind of bored and like I need something to entertain.").</t>
  </si>
  <si>
    <t xml:space="preserve">I decided to start dogsitting because I was like I'm kind of bored and like I need something to entertain.</t>
  </si>
  <si>
    <t xml:space="preserve">Her own dog died a couple of years before she started sitting, and she decided not to get another dog of her own ("the dog I had had passed away um a couple years before. So I was like, you know, I don't really want another dog.").</t>
  </si>
  <si>
    <t xml:space="preserve">the dog I had had passed away um a couple years before. So I was like, you know, I don't really want another dog.</t>
  </si>
  <si>
    <t xml:space="preserve">She explains she prefers not having her own dog right now because it gives her the flexibility to leave whenever she wants ("I like having the flexibility of leaving whenever I want.").</t>
  </si>
  <si>
    <t xml:space="preserve">I like having the flexibility of leaving whenever I want.</t>
  </si>
  <si>
    <t xml:space="preserve">She says pet sitting mostly just gets her out of the house, and that in very hot or cold weather she might otherwise go days without leaving ("if it's like really in the winter or really hot in the summer, I just won't leave my house for and then I will like, "Oh, wow. I haven't gone outside in three days."").</t>
  </si>
  <si>
    <t xml:space="preserve">if it's like really in the winter or really hot in the summer, I just won't leave my house for and then I will like, "Oh, wow. I haven't gone outside in three days."</t>
  </si>
  <si>
    <t xml:space="preserve">Having a dog to walk ensures she gets outside and gets fresh air ("if I have a dog, I have to go on a walk. I have to go outside. So, it makes sure I get some fresh air, which is nice.").</t>
  </si>
  <si>
    <t xml:space="preserve">if I have a dog, I have to go on a walk. I have to go outside. So, it makes sure I get some fresh air, which is nice.</t>
  </si>
  <si>
    <t xml:space="preserve">Because of her shelter-volunteering background, she says some of the dogs she watches are quirkier — more reactive, shy, or anxious ("I get kind of more quirky animals who need have a little bit more like they're like very reactive, so they don't like their dogs or they're super shy or anxious or something.").</t>
  </si>
  <si>
    <t xml:space="preserve">I get kind of more quirky animals who need have a little bit more like they're like very reactive, so they don't like their dogs or they're super shy or anxious or something.</t>
  </si>
  <si>
    <t xml:space="preserve">She explains that having other people's dogs visit temporarily feels easier to her than living with an annoying dog full-time would, since she only has each dog for about a week at most ("you have to deal with that day in and day out, it gets more annoying versus they're just like visiting me. So, I'm like, it's fine. They're just silly, but I have them for like a week tops versus, you know, my entire life.").</t>
  </si>
  <si>
    <t xml:space="preserve">you have to deal with that day in and day out, it gets more annoying versus they're just like visiting me. So, I'm like, it's fine. They're just silly, but I have them for like a week tops versus, you know, my entire life.</t>
  </si>
  <si>
    <t xml:space="preserve">She adds an important qualifier to that, however: when she has a dog for an extended stretch of one to two weeks, she reaches a different feeling and understands why owners get annoyed ("You know, I I get it why these uh people are somewhat annoyed").</t>
  </si>
  <si>
    <t xml:space="preserve">You know, I I get it why these uh people are somewhat annoyed</t>
  </si>
  <si>
    <t xml:space="preserve">She says not having to commute to an office made pet sitting seem like a good fit for her skill set ("since I don't have to work go to the office, it just seemed like a good fit for like my skill set").</t>
  </si>
  <si>
    <t xml:space="preserve">since I don't have to work go to the office, it just seemed like a good fit for like my skill set</t>
  </si>
  <si>
    <t xml:space="preserve">She describes pet sitting as fitting her well without being too demanding — not requiring a lot of brain power, but still fun ("it just kind of fit and it was like not too hard. Doesn't use a ton of brain power, but it's kind of fun.").</t>
  </si>
  <si>
    <t xml:space="preserve">it just kind of fit and it was like not too hard. Doesn't use a ton of brain power, but it's kind of fun.</t>
  </si>
  <si>
    <t xml:space="preserve">She started using Rover after moving to Canada because she couldn't bring her own dog with her and wanted contact with dogs ("Rover became a way for me to have contact with dogs um when I couldn't have contact with my own dog").</t>
  </si>
  <si>
    <t xml:space="preserve">Rover became a way for me to have contact with dogs um when I couldn't have contact with my own dog</t>
  </si>
  <si>
    <t xml:space="preserve">Her own dog was highly reactive, and caring for her led Bruna into dog training ("she was a highly reactive dog and uh, she really took up all my time into um, you know, now I'm a dog trainer").</t>
  </si>
  <si>
    <t xml:space="preserve">she was a highly reactive dog and uh, she really took up all my time into um, you know, now I'm a dog trainer</t>
  </si>
  <si>
    <t xml:space="preserve">After her dog passed away, she returned to Rover specifically to take on reactive dogs that other sitters wouldn't accept ("I just went back to Rover like you know what now I can take reactive dogs on... and we will do good by them").</t>
  </si>
  <si>
    <t xml:space="preserve">I just went back to Rover like you know what now I can take reactive dogs on</t>
  </si>
  <si>
    <t xml:space="preserve">Her own difficulty finding a sitter willing to take her reactive dog motivates her current focus on that niche, since other sitters told her they weren't equipped ("Oh, look, I can't do it. Uh your dog I just I just am not equipped for this... today I am the person who is equipped").</t>
  </si>
  <si>
    <t xml:space="preserve">today I am the person who is equipped</t>
  </si>
  <si>
    <t xml:space="preserve">She finds it meaningful to be a resource that reactive-dog owners can trust ("it's great to know that I am someone that reactive dog owners can come to in the platform uh knowing that their dog will be taken care of").</t>
  </si>
  <si>
    <t xml:space="preserve">it's great to know that I am someone that reactive dog owners can come to in the platform uh knowing that their dog will be taken care of</t>
  </si>
  <si>
    <t xml:space="preserve">As a pet sitter, he says he genuinely enjoys the work, especially getting new requests and meeting a new dog's quirks and how it is with its owner ("as a pet sitter, I really enjoy it. I love getting the new requests and being able to go meet a new dog and see the weird their weird quirks and how they are with their owner").</t>
  </si>
  <si>
    <t xml:space="preserve">as a pet sitter, I really enjoy it. I love getting the new requests and being able to go meet a new dog</t>
  </si>
  <si>
    <t xml:space="preserve">Pet sitting on Rover functioned as a form of therapy for him after his own dog passed away, alongside being a small part-time job ("it was kind of like a a form of therapy as well as like a little part-time job, too").</t>
  </si>
  <si>
    <t xml:space="preserve">it was kind of like a a form of therapy as well as like a little part-time job, too</t>
  </si>
  <si>
    <t xml:space="preserve">With his first few dogs, he felt overly anxious and protective, checking on them in the middle of the night even when nothing was wrong ("the first few dogs we had I felt like a like a helicopter parent. like I'd wake up in the middle of the night and like have to go check on them").</t>
  </si>
  <si>
    <t xml:space="preserve">the first few dogs we had I felt like a like a helicopter parent</t>
  </si>
  <si>
    <t xml:space="preserve">He compares getting a new Rover request to a dating app -- matching with a dog, meeting up, and seeing if it's a good fit ("on Rover it's almost like a like a dating app almost. You get a match with this cute dog and now you set a little play date").</t>
  </si>
  <si>
    <t xml:space="preserve">on Rover it's almost like a like a dating app almost. You get a match with this cute dog and now you set a little play date</t>
  </si>
  <si>
    <t xml:space="preserve">He values feeling trusted by repeat clients and having people keep coming back to him ("it feels good to be trusted and that people keep coming back and asking us").</t>
  </si>
  <si>
    <t xml:space="preserve">it feels good to be trusted and that people keep coming back and asking us</t>
  </si>
  <si>
    <t xml:space="preserve">Now that he accepts fewer boarding/housesitting jobs, he misses the excitement of meeting new dogs and people, comparing it to being a kid making new friends ("I definitely miss it's uh it's kind of like being a kid and making new friends"; "all the dog all the dogs are fun").</t>
  </si>
  <si>
    <t xml:space="preserve">all the dog all the dogs are fun</t>
  </si>
  <si>
    <t xml:space="preserve">She finds the work fun and enjoys being around and meeting different dogs, especially the ones she sits repeatedly ("it's fun. I like being around different dogs and meeting different dogs and especially like the the um some of the ones that I keep, you know, that are repeats.").</t>
  </si>
  <si>
    <t xml:space="preserve">it's fun. I like being around different dogs and meeting different dogs and especially like the the um some of the ones that I keep, you know, that are repeats.</t>
  </si>
  <si>
    <t xml:space="preserve">She personally identifies with corgis, a breed she has owned herself, describing them as playful, smart, flexible, and eager to please ("they're like little clowns. They're funny. They're they're smart. They're very um they're very flexible.").</t>
  </si>
  <si>
    <t xml:space="preserve">they're like little clowns. They're funny. They're they're smart. They're very um they're very flexible.</t>
  </si>
  <si>
    <t xml:space="preserve">On a personal level, she values that animals are consistently glad to see her and non-judgmental ("They're always happy to see you. They don't, you know, they don't judge.").</t>
  </si>
  <si>
    <t xml:space="preserve">They're always happy to see you. They don't, you know, they don't judge.</t>
  </si>
  <si>
    <t xml:space="preserve">When she thinks about pet sitting, what comes to mind first is "tenderness," because animals are unguarded and free of social restrictions ("It usually comes to me uh tenderness because the animals are so cute").</t>
  </si>
  <si>
    <t xml:space="preserve">It usually comes to me uh tenderness because the animals are so cute</t>
  </si>
  <si>
    <t xml:space="preserve">She frames pet sitting as being more about fun than about responsibility or money ("more than responsibility and more than the money I usually think about how fun like how much fun I have taking care of animals").</t>
  </si>
  <si>
    <t xml:space="preserve">more than responsibility and more than the money I usually think about how fun like how much fun I have taking care of animals</t>
  </si>
  <si>
    <t xml:space="preserve">She originally took up Rover as a way to make extra money as an international student ("I came up with a robber as an idea to have like an extra money" -- 'robber' is the transcript's mis-hearing of 'Rover').</t>
  </si>
  <si>
    <t xml:space="preserve">I came up with a robber as an idea to have like an extra money</t>
  </si>
  <si>
    <t xml:space="preserve">She wants her baby to be able to grow up around animals and nature, something she feels city upbringing doesn't naturally provide ("so it's nice for me to see her around animals because like when you grow up in cities it's not that like um likely that you're going to have contacts with like uh nature as you usually do when you go when you grow up like outside from the cities and like you have more contact with farms and animals and nature").</t>
  </si>
  <si>
    <t xml:space="preserve">so it's nice for me to see her around animals because like when you grow up in cities it's not that like um likely that you're going to have contacts with like uh nature as you usually do when you go when you grow up like outside from the cities and like you have more contact with farms and animals and nature</t>
  </si>
  <si>
    <t xml:space="preserve">Even though she no longer needs the money as urgently as when she was a student, she keeps doing it mainly because she enjoys being close to animals ("I still keep to doing Rober because it still has like some extra money for me. And as I mentioned before, like I'm very close to the animal, so it's something that I enjoy to do").</t>
  </si>
  <si>
    <t xml:space="preserve">I still keep to doing Rober because it still has like some extra money for me. And as I mentioned before, like I'm very close to the animal, so it's something that I enjoy to do</t>
  </si>
  <si>
    <t xml:space="preserve">She has a personal favorite breed (Pomeranians) and describes real enjoyment in caring for them specifically, beyond the general motivation to be around animals ("cute. Then you can take them into porces and go and walk into a mall or actually you can take them to work easily if you have a pet friendly work uh environment. And they are so cute and they are very furry as well. And they are so fun. the the Pomeranians that I've taken care of, they are so fine").</t>
  </si>
  <si>
    <t xml:space="preserve">cute. Then you can take them into porces and go and walk into a mall or actually you can take them to work easily if you have a pet friendly work uh environment. And they are so cute and they are very furry as well. And they are so fun. the the Pomeranians that I've taken care of, they are so fine</t>
  </si>
  <si>
    <t xml:space="preserve">She started pet sitting to make up for overtime pay she lost after being promoted into an admin role where overtime was removed ("I needed something to supplement the overtime that I was working because I worked an extreme amount of overtime.").</t>
  </si>
  <si>
    <t xml:space="preserve">I needed something to supplement the overtime that I was working because I worked an extreme amount of overtime.</t>
  </si>
  <si>
    <t xml:space="preserve">She found Rover through her own "Google search like side jobs that work around work schedules", not through a referral.</t>
  </si>
  <si>
    <t xml:space="preserve">Google search like side jobs that work around work schedules</t>
  </si>
  <si>
    <t xml:space="preserve">She has a long-standing personal love of animals going back to childhood pet sitting for friends and family and having her own pets growing up ("I've always loved animals um from reptiles to insects to just you name it I've loved").</t>
  </si>
  <si>
    <t xml:space="preserve">I've always loved animals um from reptiles to insects to just you name it I've loved</t>
  </si>
  <si>
    <t xml:space="preserve">The appeal was a combination of schedule flexibility, income, and doing something she already enjoyed ("that would be flexible around my work schedule. Um supplement the income and something I've already been doing, love to do").</t>
  </si>
  <si>
    <t xml:space="preserve">that would be flexible around my work schedule. Um supplement the income and something I've already been doing, love to do</t>
  </si>
  <si>
    <t xml:space="preserve">She had no real expectations going into pet sitting and feels it exceeded them ("I had zero expectations going in. So, it like exceeded my expectations.").</t>
  </si>
  <si>
    <t xml:space="preserve">I had zero expectations going in. So, it like exceeded my expectations.</t>
  </si>
  <si>
    <t xml:space="preserve">Her entry into pet sitting grew out of personal experience caring for an ex-partner's dogs, including a special-needs, high-anxiety Dalmatian-pit mix, which built her confidence that she could handle harder dogs ("a Dalmatian pitull mix that was high anxiety... if I can handle those two, I can probably handle more of the less intense type").</t>
  </si>
  <si>
    <t xml:space="preserve">if I can handle those two, I can probably handle more of the less intense type</t>
  </si>
  <si>
    <t xml:space="preserve">A major injury and subsequent surgery ended her sense that personal training was a viable long-term career path, which pushed her to look for other uses of her time and property ("I had a major injury and so uh I had surgery and I couldn't uh like that career path just didn't really feel like the future for me").</t>
  </si>
  <si>
    <t xml:space="preserve">I had a major injury and so uh I had surgery and I couldn't uh like that career path just didn't really feel like the future for me</t>
  </si>
  <si>
    <t xml:space="preserve">She saw pet sitting/boarding as a way to make her large Bronx property earn its keep, framing the alternative as returning to a tech job ("either I need to pimp my property out and it needs to pay for itself or I need to go back to tech basically").</t>
  </si>
  <si>
    <t xml:space="preserve">either I need to pimp my property out and it needs to pay for itself or I need to go back to tech basically</t>
  </si>
  <si>
    <t xml:space="preserve">Scaling back from the tenant-run arrangement was also personally motivated — she says she needed a break from someone else caring for dogs poorly in her own home ("I personally um just needed a break from somebody else taking care of dogs poorly in my home").</t>
  </si>
  <si>
    <t xml:space="preserve">I personally um just needed a break from somebody else taking care of dogs poorly in my home</t>
  </si>
  <si>
    <t xml:space="preserve">She describes her current mix of income streams, including pet sitting, as personally satisfying even though it pays less than her former tech career, saying she might return to tech for the money but that this period has felt calmer ("Maybe, you know, I might get back into tech. The money is not quite the same, but it's been nice. It's been chill.").</t>
  </si>
  <si>
    <t xml:space="preserve">Maybe, you know, I might get back into tech. The money is not quite the same, but it's been nice. It's been chill.</t>
  </si>
  <si>
    <t xml:space="preserve">She says pet sitting doesn't bother her even though not everyone likes being around pets, framing it as something you have to specifically want to do: "it doesn't bother me to sit. I know like some people don't like like pets all that much... pet sitting is more of a specific thing if you really want to do it."</t>
  </si>
  <si>
    <t xml:space="preserve">it doesn't bother me to sit. I know like some people don't like like pets all that much</t>
  </si>
  <si>
    <t xml:space="preserve">She personally likes pets and enjoys being there for owners who can't currently care for their own dog, despite never having owned a dog herself (she had a fish): "I actually like pets. You know I had a fish myself but I didn't have any dogs... I like being around dogs and just being there for a person when they can't like take care of their dog."</t>
  </si>
  <si>
    <t xml:space="preserve">I actually like pets. You know I had a fish myself but I didn't have any dogs</t>
  </si>
  <si>
    <t xml:space="preserve">She frames animals as living beings with the same basic needs as people ("they're just, you know, living beings like us... they require the same things like food, water, shelter"), and describes them as good companions.</t>
  </si>
  <si>
    <t xml:space="preserve">they're just, you know, living beings like us</t>
  </si>
  <si>
    <t xml:space="preserve">She does get some emotional connection from the animals she sits, but says she isn't deeply attached to them since the time with any one pet is too short to form a real bond: "I do enjoy the pets that I'm around... they're not my pet, so I'm not like super attached to them because I'm not with them for a long enough time... to form a bond or anything."</t>
  </si>
  <si>
    <t xml:space="preserve">I'm not like super attached to them because I'm not with them for a long enough time</t>
  </si>
  <si>
    <t xml:space="preserve">Getting a new booking notification gives her a small emotional lift and a sense of satisfaction from providing the service, even though sitting isn't a major part of her daily life: "when I received a notification from it, I just I get a little excited... it's just a good feeling to... provide [services]."</t>
  </si>
  <si>
    <t xml:space="preserve">I just I get a little excited</t>
  </si>
  <si>
    <t xml:space="preserve">A primary motivation for joining Rover was earning supplemental income while not working full-time and applying to grad school.</t>
  </si>
  <si>
    <t xml:space="preserve">TR's shelter-fostering background gave them confidence in cat care, which factored into wanting to care for other people's cats ("I think I know a lot about cat caring").</t>
  </si>
  <si>
    <t xml:space="preserve">I think I know a lot about cat caring</t>
  </si>
  <si>
    <t xml:space="preserve">Being around animals makes TR feel needed and important, since the animals rely on them ("being with animals making me feel like I have some little beings that's relying on me and then making me feel like uh I'm really important to them").</t>
  </si>
  <si>
    <t xml:space="preserve">being with animals making me feel like I have some little beings that's relying on me and then making me feel like uh I'm really important to them</t>
  </si>
  <si>
    <t xml:space="preserve">TR says having animals to care for makes them feel less alone in their apartment, since they have their partner and now also an animal to look after ("feels like I'm no longer alone in having apartments always my partner and I have someone else to take care of").</t>
  </si>
  <si>
    <t xml:space="preserve">feels like I'm no longer alone in having apartments always my partner and I have someone else to take care of</t>
  </si>
  <si>
    <t xml:space="preserve">For TR, what they get back from animals personally is described as companionship — simply being physically close ("more like companionship like just be next to me and just sleeping next to me something like that").</t>
  </si>
  <si>
    <t xml:space="preserve">more like companionship like just be next to me and just sleeping next to me something like that</t>
  </si>
  <si>
    <t xml:space="preserve">TR describes their own temperament, using a cat metaphor, as preferring solitude but choosing to engage occasionally on their own terms, contrasting this with the constant demands of dogs ("I want to be the cat more of my loner... occasionally when I want to, I go to the person instead of like a dog").</t>
  </si>
  <si>
    <t xml:space="preserve">I want to be the cat more of my loner</t>
  </si>
  <si>
    <t xml:space="preserve">She entered pet sitting somewhat by accident: a pastor friend asked her to housesit for 23 days while he traveled, and being paid to stay at his house and care for his dogs made her reconsider it as real work ('I got asked by a friend um to watch their house and their pets for 23 days when they went to Jerusalem'; 'Hey, that was actually really nice. Like, you know, I got paid to stay at your house and, you know, feed your dogs and hang out with your dogs').</t>
  </si>
  <si>
    <t xml:space="preserve">Hey, that was actually really nice. Like, you know, I got paid to stay at your house and, you know, feed your dogs and hang out with your dogs</t>
  </si>
  <si>
    <t xml:space="preserve">Before that first paid housesit, she had already informally watched pets for family and friends for years, including her mother's dogs and other people's cats, without thinking of it as a side gig until her mother told her about Rover ('I had already like done it. Um, but I just didn't I didn't know about it as like a side gig um until my mom was telling me about Rover').</t>
  </si>
  <si>
    <t xml:space="preserve">I had already like done it. Um, but I just didn't I didn't know about it as like a side gig um until my mom was telling me about Rover</t>
  </si>
  <si>
    <t xml:space="preserve">Her mother, who was already using Rover, suggested she formalize the work on the platform after hearing about that housesit ('my mom was like, Yeah, you should get on Rover').</t>
  </si>
  <si>
    <t xml:space="preserve">my mom was like, Yeah, you should get on Rover</t>
  </si>
  <si>
    <t xml:space="preserve">On a personal level, she values animals because they don't make the kind of relational demands people do, which fits how she describes her own personality as roughly half extroverted, half introverted ('I enjoy animals because they don't talk or need anything from me like relationally, you know, like I get to go be with them and they're next to me or they want attention, but I don't have to like chat all day').</t>
  </si>
  <si>
    <t xml:space="preserve">I enjoy animals because they don't talk or need anything from me like relationally, you know, like I get to go be with them and they're next to me or they want attention, but I don't have to like chat all day</t>
  </si>
  <si>
    <t xml:space="preserve">She explicitly resists giving what she calls the sentimental 'pretty answer' about loving animals, framing her connection to them as more practical after years of doing the work ('I think people really want like a really pretty answer like, Oh, I love animals... and because I think it's because I've been doing it so long... I just like certain things about animals that are not like people').</t>
  </si>
  <si>
    <t xml:space="preserve">I think people really want like a really pretty answer like, Oh, I love animals</t>
  </si>
  <si>
    <t xml:space="preserve">She admires loyalty in dogs, especially herding breeds like Australian Shepherds, which are initially standoffish with her but become devoted after repeated stays, and says she'd want to be that kind of dog herself ('they end up becoming my favorite and they really loyal to me after we've stayed for a while'; 'I would be one of them. Uh, just because I want to be loyal').</t>
  </si>
  <si>
    <t xml:space="preserve">I would be one of them. Uh, just because I want to be loyal</t>
  </si>
  <si>
    <t xml:space="preserve">When first asked what comes to mind about dog sitting in general, her immediate association is work/task rather than an emotional response ('work that's what comes to mind. I think okay I have another task').</t>
  </si>
  <si>
    <t xml:space="preserve">work that's what comes to mind. I think okay I have another task</t>
  </si>
  <si>
    <t xml:space="preserve">Client acquisition</t>
  </si>
  <si>
    <t xml:space="preserve">Clients normally reach out to her through Rover asking whether she's available for specific dates, and she types a response in the app ("normally uh they'll they'll reach out through Rover and ask you know are you available for these dates these visits" and "I can type in a response").</t>
  </si>
  <si>
    <t xml:space="preserve">normally uh they'll they'll reach out through Rover and ask you know are you available for these dates these visits</t>
  </si>
  <si>
    <t xml:space="preserve">messaging-platform-mechanics</t>
  </si>
  <si>
    <t xml:space="preserve">Rover recently added a feature letting a client check her availability directly, so she can just confirm with a tap instead of typing a written reply ("the client can check for your availability and I just get simply get a blue bar that says yes I am available" and "I don't have to do a written response").</t>
  </si>
  <si>
    <t xml:space="preserve">the client can check for your availability and I just get simply get a blue bar that says yes I am available</t>
  </si>
  <si>
    <t xml:space="preserve">off-platform-communication-channels</t>
  </si>
  <si>
    <t xml:space="preserve">For availability questions and contact from new customers, communication happens exclusively through Rover rather than other messengers ("for uh for availability and for new customers it's always rover").</t>
  </si>
  <si>
    <t xml:space="preserve">for uh for availability and for new customers it's always rover</t>
  </si>
  <si>
    <t xml:space="preserve">When asked whether Rover could make the before-booking stage easier for her, she said she couldn't think of anything ("not that I can think of").</t>
  </si>
  <si>
    <t xml:space="preserve">not that I can think of</t>
  </si>
  <si>
    <t xml:space="preserve">He credits the app entirely for his visibility to potential clients and says he wouldn't know how to attract them otherwise ("I would have no idea how to even attract the attention of dog owners uh you know without without this app").</t>
  </si>
  <si>
    <t xml:space="preserve">I would have no idea how to even attract the attention of dog owners uh you know without without this app</t>
  </si>
  <si>
    <t xml:space="preserve">He describes himself as lazy about self-marketing and takes a passive approach, letting clients find him through the app rather than pursuing leads ("I'll just throw myself out there and if somebody wants to find me, they'll come to me").</t>
  </si>
  <si>
    <t xml:space="preserve">I'll just throw myself out there and if somebody wants to find me, they'll come to me</t>
  </si>
  <si>
    <t xml:space="preserve">He finds it a little annoying when the app sends an automated/generated first message on a client's behalf, because the client doesn't always know what it says ("I think sometime it does the automated like the generated message like hello I'd like to I was like that's a little annoying because like they don't really know what it says").</t>
  </si>
  <si>
    <t xml:space="preserve">I think sometime it does the automated like the generated message like hello I'd like to I was like that's a little annoying because like they don't really know what it says</t>
  </si>
  <si>
    <t xml:space="preserve">He sometimes receives messages that were actually intended for other nearby sitters, since the app forwards a request to multiple sitters at once, e.g. a message addressed to a different sitter's name ("I got one just the other day that was like, "Hello, Lauren." And I was like, "That's not for me."").</t>
  </si>
  <si>
    <t xml:space="preserve">I got one just the other day that was like, "Hello, Lauren." And I was like, "That's not for me."</t>
  </si>
  <si>
    <t xml:space="preserve">Even when a message clearly wasn't meant for him, he feels he still has to respond to it to protect his response-rate metrics ("I still have to play along uh in order to to make the robot happy").</t>
  </si>
  <si>
    <t xml:space="preserve">I still have to play along uh in order to to make the robot happy</t>
  </si>
  <si>
    <t xml:space="preserve">search-ranking-visibility</t>
  </si>
  <si>
    <t xml:space="preserve">He attributes a steady, manageable stream of new inquiries to his accumulated reviews and repeat clients keeping him near the top of search results ("I've had a lot of repeat clients. had good reviews and I think that just keeps me sort of at the top of the list").</t>
  </si>
  <si>
    <t xml:space="preserve">I've had a lot of repeat clients. had good reviews and I think that just keeps me sort of at the top of the list</t>
  </si>
  <si>
    <t xml:space="preserve">Most new client contact happens directly through the Rover app, with a prospective client messaging her about a specific date and asking about availability ("mostly on Rover. They'll hit me up and they'll say" that "I have so and so pet for this date. Can you are you" available).</t>
  </si>
  <si>
    <t xml:space="preserve">mostly on Rover. They'll hit me up and they'll say</t>
  </si>
  <si>
    <t xml:space="preserve">She joined Rover specifically because it let her expand past a client base built solely on word of mouth ("it was an opportunity to expand my base because I only did word of mouth back then").</t>
  </si>
  <si>
    <t xml:space="preserve">it was an opportunity to expand my base because I only did word of mouth back then</t>
  </si>
  <si>
    <t xml:space="preserve">Word-of-mouth referrals still generate leads alongside Rover and can multiply through one client's network - one doctor client's referrals through her workplace directly brought her more business ("she's a doctor, it spread through her work. So now I have several more dogs because of her").</t>
  </si>
  <si>
    <t xml:space="preserve">she's a doctor, it spread through her work. So now I have several more dogs because of her</t>
  </si>
  <si>
    <t xml:space="preserve">She limits which inquiries she accepts based on proximity, since she does most of her sitting on foot, and considers clients who live five to ten miles away too inconvenient to take on ("I don't know why people like five 10 miles away" "want want me to um go back and forth like that. It's too inconvenient.").</t>
  </si>
  <si>
    <t xml:space="preserve">want want me to um go back and forth like that. It's too inconvenient.</t>
  </si>
  <si>
    <t xml:space="preserve">She relies solely on Rover to find and manage new clients and doesn't use any other platform ("I don't no I don't use any other platforms").</t>
  </si>
  <si>
    <t xml:space="preserve">I don't no I don't use any other platforms</t>
  </si>
  <si>
    <t xml:space="preserve">profile-information-completeness</t>
  </si>
  <si>
    <t xml:space="preserve">She says some clients, especially first-time Rover users, arrive with very little information filled out on their dog's profile ("sometimes it's like their first time on Rover or I don't know, they didn't feel like filling it out and so they'll have very little information").</t>
  </si>
  <si>
    <t xml:space="preserve">sometimes it's like their first time on Rover or I don't know, they didn't feel like filling it out and so they'll have very little information</t>
  </si>
  <si>
    <t xml:space="preserve">Asked how often information is missing before a meet and greet, she estimates it happens less than half the time ("Um, probably less than half. I think").</t>
  </si>
  <si>
    <t xml:space="preserve">Um, probably less than half. I think</t>
  </si>
  <si>
    <t xml:space="preserve">She says a completely blank profile with no photo usually signals a brand-new Rover user who just signed up and needs a sitter urgently ("when it when their profile is like completely empty, you know, there's not even a photo or something is when they're brand new and they're just like, I need someone tomorrow. I just signed up today.").</t>
  </si>
  <si>
    <t xml:space="preserve">when it when their profile is like completely empty, you know, there's not even a photo or something is when they're brand new and they're just like, I need someone tomorrow. I just signed up today.</t>
  </si>
  <si>
    <t xml:space="preserve">Her suggested improvement at this stage is making some profile information mandatory so it isn't a completely blank dog intro ("making some of the information on the profile mandatory so it's not like a completely blank um dog intro.").</t>
  </si>
  <si>
    <t xml:space="preserve">making some of the information on the profile mandatory so it's not like a completely blank um dog intro.</t>
  </si>
  <si>
    <t xml:space="preserve">A few clients have told her they know someone who might want her services and asked if they could share her profile ("Um, I have had a few people be like, I know somebody who might want your services. Can I share their profile?").</t>
  </si>
  <si>
    <t xml:space="preserve">Um, I have had a few people be like, I know somebody who might want your services. Can I share their profile?</t>
  </si>
  <si>
    <t xml:space="preserve">She says Rover has a feature to promote or share her profile more easily, but she has never really used it and isn't very familiar with it ("Rover has an option to like promote your profile on the app or do something or to share it easily. I don't know. I've never really used it.").</t>
  </si>
  <si>
    <t xml:space="preserve">Rover has an option to like promote your profile on the app or do something or to share it easily. I don't know. I've never really used it.</t>
  </si>
  <si>
    <t xml:space="preserve">sitter-community-network</t>
  </si>
  <si>
    <t xml:space="preserve">Separately, some existing clients have asked her if she knows another sitter to recommend when she isn't available ("I do have uh clients who ask, "Oh, you're not available. Do you know anybody who is?"").</t>
  </si>
  <si>
    <t xml:space="preserve">I do have uh clients who ask, "Oh, you're not available. Do you know anybody who is?"</t>
  </si>
  <si>
    <t xml:space="preserve">She says she doesn't have a network of other sitters to refer people to, since her friends who have dogs aren't the right fit (they don't work from home the way she does) ("my friends all have dogs or have had dogs, but like they're not going to do this or they don't work from home, so they're not the right fit to do um the kind of pets sitting that I do. So, I don't I don't have any way to refer people to other pet sitters if I'm not available.").</t>
  </si>
  <si>
    <t xml:space="preserve">my friends all have dogs or have had dogs, but like they're not going to do this or they don't work from home, so they're not the right fit to do um the kind of pets sitting that I do. So, I don't I don't have any way to refer people to other pet sitters if I'm not available.</t>
  </si>
  <si>
    <t xml:space="preserve">Asked whether a referral feature would interest her, she says it would require her to go network with other sitters, so it probably won't happen ("it would also require me to go mingle, so probably not going to happen.").</t>
  </si>
  <si>
    <t xml:space="preserve">it would also require me to go mingle, so probably not going to happen.</t>
  </si>
  <si>
    <t xml:space="preserve">New Rover requests arrive as a notification with proposed dates and the dog's profile, which she reads first before responding to the owner ("I get a notification with the dates where people want uh me to care for their dogs and then it has the dog profile").</t>
  </si>
  <si>
    <t xml:space="preserve">I get a notification with the dates where people want uh me to care for their dogs and then it has the dog profile</t>
  </si>
  <si>
    <t xml:space="preserve">Aside from Rover, she gets some boarding referrals through her private network of other dog trainers who don't offer boarding themselves, though she says Rover is still where most of her boarding clients come from ("Rover is the only platform that I use but I do get referrals... Rover is mostly where my boarding clients come from").</t>
  </si>
  <si>
    <t xml:space="preserve">Rover is mostly where my boarding clients come from</t>
  </si>
  <si>
    <t xml:space="preserve">She converts some Rover boarding clients into dog-training clients by offering her training services when she returns the dog ("if you ever want to train your dog improve his quality of life regarding the reactivity uh I'm here for you"), but does not route dog-training clients into private boarding — acquisition for the two businesses stays separate.</t>
  </si>
  <si>
    <t xml:space="preserve">if you ever want to train your dog improve his quality of life regarding the reactivity uh I'm here for you</t>
  </si>
  <si>
    <t xml:space="preserve">pricing-rate-setting</t>
  </si>
  <si>
    <t xml:space="preserve">She occasionally gets dog-walking or drop-in requests through Rover but doesn't pursue or advertise that service, saying it's not worth her time given the pay ("it's just time consuming and the tickets not that high... the diversification just not worth it").</t>
  </si>
  <si>
    <t xml:space="preserve">it's just time consuming and the tickets not that high</t>
  </si>
  <si>
    <t xml:space="preserve">safety-risk-incidents</t>
  </si>
  <si>
    <t xml:space="preserve">She values that Rover keeps her personal phone number masked from prospective clients until she chooses to share it ("they don't give my personal cell phone to the clients").</t>
  </si>
  <si>
    <t xml:space="preserve">they don't give my personal cell phone to the clients</t>
  </si>
  <si>
    <t xml:space="preserve">Clients find him by searching Rover within a radius of where they live, filtering on specific parameters like dates, other pets in the home, or kids in the house ("the client would be searching um within a radius of wherever they live looking for sitters").</t>
  </si>
  <si>
    <t xml:space="preserve">the client would be searching um within a radius of wherever they live looking for sitters</t>
  </si>
  <si>
    <t xml:space="preserve">When his profile matches what a client is looking for, he gets a request notification with the ask ("if it if we match what they're looking for, then we get a little message that says like").</t>
  </si>
  <si>
    <t xml:space="preserve">if it if we match what they're looking for, then we get a little message</t>
  </si>
  <si>
    <t xml:space="preserve">Most of his current requests come from people who already know him rather than brand-new clients ("it seems like most of our requests come from people we already know").</t>
  </si>
  <si>
    <t xml:space="preserve">it seems like most of our requests come from people we already know</t>
  </si>
  <si>
    <t xml:space="preserve">Beyond repeat clients, a lot of his current work is local walking/check-in requests from people nearby ("a lot of it now is like local walks, just people who need check in on my dog while I'm at work").</t>
  </si>
  <si>
    <t xml:space="preserve">a lot of it now is like local walks, just people who need</t>
  </si>
  <si>
    <t xml:space="preserve">He picked up one cat-sitting client despite having no cat-related content on his profile, and doesn't know how they found him ("I don't know how they found us"; "there's there's nothing cat related within our profile").</t>
  </si>
  <si>
    <t xml:space="preserve">I don't know how they found us</t>
  </si>
  <si>
    <t xml:space="preserve">booking-confirmation-mechanics</t>
  </si>
  <si>
    <t xml:space="preserve">When a potential client first contacts her, she tries to reply promptly, but if the client doesn't respond back within roughly 24 hours, she archives the message ("if they don't respond within like 24 hours I'll archive the message.").</t>
  </si>
  <si>
    <t xml:space="preserve">if they don't respond within like 24 hours I'll archive the message</t>
  </si>
  <si>
    <t xml:space="preserve">If someone reaches out about a booking far in the future without firm dates, she asks them to archive the conversation and contact her again once they have specific dates, so the inquiry doesn't sit on her calendar prematurely ("I will want them to archive it or whatever and contact me later so it doesn't like mess up my calendar").</t>
  </si>
  <si>
    <t xml:space="preserve">I will want them to archive it or whatever and contact me later so it doesn't like mess up my calendar</t>
  </si>
  <si>
    <t xml:space="preserve">She first learned about Rover from a Colombian YouTuber's video about making extra money while living and studying in Vancouver ("one day he made a video about how to make extra money living in Vancouver without like being so overwhelmed because you are already studying").</t>
  </si>
  <si>
    <t xml:space="preserve">one day he made a video about how to make extra money living in Vancouver without like being so overwhelmed because you are already studying</t>
  </si>
  <si>
    <t xml:space="preserve">She found the app's sign-up and verification process straightforward with no major issues ("it was very easy to get into the app like uh there was not like a big issue completing the verification process or anything so it was very easy").</t>
  </si>
  <si>
    <t xml:space="preserve">it was very easy to get into the app like uh there was not like a big issue completing the verification process or anything so it was very easy</t>
  </si>
  <si>
    <t xml:space="preserve">She received her first service request about a month after setting up her sitter profile ("one or two or maybe I don't know like a month after that I got like a service request").</t>
  </si>
  <si>
    <t xml:space="preserve">one or two or maybe I don't know like a month after that I got like a service request</t>
  </si>
  <si>
    <t xml:space="preserve">Besides in-app messages, she also has email and text-message notifications activated so she doesn't miss a client contact ("they usually send me a message through the app and then I have uh emails and text messages activated for me to").</t>
  </si>
  <si>
    <t xml:space="preserve">they usually send me a message through the app and then I have uh emails and text messages activated for me to</t>
  </si>
  <si>
    <t xml:space="preserve">New clients contact her through the app with a short introduction to their pet's personality before asking about her availability ("they asked me like, 'Hey, I'm looking for someone to take per to take care of my pet in within this time. I wonder if you are available.' They usually introduce their pets like this is uh Sigy. He's very energetic and he likes to go walking and he likes to spend time playing fetch").</t>
  </si>
  <si>
    <t xml:space="preserve">they asked me like, 'Hey, I'm looking for someone to take per to take care of my pet in within this time. I wonder if you are available.' They usually introduce their pets like this is uh Sigy. He's very energetic and he likes to go walking and he likes to spend time playing fetch</t>
  </si>
  <si>
    <t xml:space="preserve">She generally replies to new inquiries right away if she's free, otherwise within a few minutes or by the end of the day ("if I am free so I get them back to them right away or maybe in a couple minutes or maybe by the end of the day I I usually reply them back").</t>
  </si>
  <si>
    <t xml:space="preserve">if I am free so I get them back to them right away or maybe in a couple minutes or maybe by the end of the day I I usually reply them back</t>
  </si>
  <si>
    <t xml:space="preserve">She gets roughly one new inquiry every other day through the Rover app ("I get at least like one inquiry probably every other day.").</t>
  </si>
  <si>
    <t xml:space="preserve">I get at least like one inquiry probably every other day.</t>
  </si>
  <si>
    <t xml:space="preserve">She always replies quickly to requests ("I'm always responding like within the first 5 minutes of getting a request.").</t>
  </si>
  <si>
    <t xml:space="preserve">I'm always responding like within the first 5 minutes of getting a request.</t>
  </si>
  <si>
    <t xml:space="preserve">Some clients, mostly elderly clients, find and contact her through her private NextDoor and Facebook posts rather than the Rover app, because "98% of the time elderly people will reach out on Next Door because they just for whatever reason they can't figure out the Rover" app.</t>
  </si>
  <si>
    <t xml:space="preserve">98% of the time elderly people will reach out on Next Door because they just for whatever reason they can't figure out the Rover</t>
  </si>
  <si>
    <t xml:space="preserve">Even when a client first reaches out off-platform, she directs them back to her Rover profile to see her availability, pricing, and reviews ("here's my Rover app if you need to see my" availability, pricing, reviews).</t>
  </si>
  <si>
    <t xml:space="preserve">here's my Rover app if you need to see my</t>
  </si>
  <si>
    <t xml:space="preserve">On Rover, clients find and message her through the platform itself, and she says Rover's scheduling and client-acquisition handling is a real convenience ("Rover's nice cuz they they do all the scheduling and the clients come to you").</t>
  </si>
  <si>
    <t xml:space="preserve">Rover's nice cuz they they do all the scheduling and the clients come to you</t>
  </si>
  <si>
    <t xml:space="preserve">Her private, non-Rover client base comes entirely through neighborhood word of mouth, with no online listing or advertising ("I haven't listed my business on Google. I've just had neighborhood clients" and "it's all word of mouth and I'm not advertising").</t>
  </si>
  <si>
    <t xml:space="preserve">it's all word of mouth and I'm not advertising</t>
  </si>
  <si>
    <t xml:space="preserve">A share of Rover message requests don't convert, including people who 'ghost' after messaging, which she says leads her to contact multiple prospects to fill her available slots and can result in overbooking ("there's a lot of people who just have like they'll send a request and it'll never come through so that's why you sometimes end up over booked because you have to talk to multiple people if you want to get to your number").</t>
  </si>
  <si>
    <t xml:space="preserve">there's a lot of people who just have like they'll send a request and it'll never come through so that's why you sometimes end up over booked because you have to talk to multiple people if you want to get to your number</t>
  </si>
  <si>
    <t xml:space="preserve">She now treats requests for something 'immediately' or last-minute, along with a lack of photos or information, as red flags at first contact — a shift from being more tolerant of these signals earlier on ("Like I used to be okay with red flags and now I'm just sort of like if they're if they're last minute, if they don't have photos, uh if they don't have information").</t>
  </si>
  <si>
    <t xml:space="preserve">Like I used to be okay with red flags and now I'm just sort of like if they're if they're last minute, if they don't have photos, uh if they don't have information</t>
  </si>
  <si>
    <t xml:space="preserve">On Rover, when a prospective client messages her, they first create a reservation request, which opens a chat thread where she then asks her own screening questions ("generally speaking when people message me, they like go ahead and create a reservation to have the chat and then um we'll go back and forth").</t>
  </si>
  <si>
    <t xml:space="preserve">generally speaking when people message me, they like go ahead and create a reservation to have the chat and then um we'll go back and forth</t>
  </si>
  <si>
    <t xml:space="preserve">She does not actively market or advertise her services, believing that advertising too much would put clients off: "the marketing is really no marketing because like I feel like uh if you advertise too much or you do too much like it kind of throws the person off. So it just kind of like I I stay quiet most of the time."</t>
  </si>
  <si>
    <t xml:space="preserve">the marketing is really no marketing because like I feel like uh if you advertise too much or you do too much like it kind of throws the person off</t>
  </si>
  <si>
    <t xml:space="preserve">Clients find her organically through Rover's search results, which she attributes to her reviews: "it was through uh the reviews like I'm very high up in the search results. So, uh it's not much work for me to do on my [part]."</t>
  </si>
  <si>
    <t xml:space="preserve">it was through uh the reviews like I'm very high up in the search results</t>
  </si>
  <si>
    <t xml:space="preserve">She frames the overall client-winning process as a form of sales even without formal marketing: "It's really just you're selling yourself at the end of the day. Like, it's just sales."</t>
  </si>
  <si>
    <t xml:space="preserve">It's really just you're selling yourself at the end of the day</t>
  </si>
  <si>
    <t xml:space="preserve">When the interviewer characterized her approach as staying in the background and mostly listening rather than talking herself up, she agreed but reframed the real driver of whether a client chooses her as being the dog's reaction to her, not her own pitch: "actually Yeah, it's more the dog, you know, the dog kind of decides if they like you. So that that's kind of it."</t>
  </si>
  <si>
    <t xml:space="preserve">it's more the dog, you know, the dog kind of decides if they like you</t>
  </si>
  <si>
    <t xml:space="preserve">It took about four months from setting up their profile to getting a first client, which TR attributes to how important reviews are for ranking on Rover ("I did not receive my first clients until like four months from now because I don't think uh I think like the the reviews and everything was very important in robber").</t>
  </si>
  <si>
    <t xml:space="preserve">I did not receive my first clients until like four months from now because I don't think uh I think like the the reviews and everything was very important in robber</t>
  </si>
  <si>
    <t xml:space="preserve">The first booking came through because an owner urgently needed holiday-season (Christmas) care, not primarily from active outreach ("I think the main reason is because it was Christmas and then this owner really need someone take care of the cat during the holiday season").</t>
  </si>
  <si>
    <t xml:space="preserve">I think the main reason is because it was Christmas and then this owner really need someone take care of the cat during the holiday season</t>
  </si>
  <si>
    <t xml:space="preserve">TR chose Rover over other platforms (naming Wag as one alternative) because Rover is bigger and offers a more comprehensive set of services, including boarding, cat sitting, and drop-ins ("Rover was generally more comprehensive because he offer more services like doc sitting cat sitting and drop in everything and is also the biggest one" — "doc sitting" as transcribed, almost certainly intended as "dog sitting").</t>
  </si>
  <si>
    <t xml:space="preserve">Rover was generally more comprehensive because he offer more services like doc sitting cat sitting and drop in everything and is also the biggest one</t>
  </si>
  <si>
    <t xml:space="preserve">As a new sitter, TR found themselves ranked around 20th to 30th in Rover's search results, which they say most clients never scroll far enough to see ("I was like rank 20 at like 30 something like that which is pretty difficult to see because most people will not scroll down all the way to like second third page to see me").</t>
  </si>
  <si>
    <t xml:space="preserve">I was like rank 20 at like 30 something like that which is pretty difficult to see because most people will not scroll down all the way to like second third page to see me</t>
  </si>
  <si>
    <t xml:space="preserve">TR wishes Rover would periodically feature new sitters on the first results page instead of ranking almost entirely by reviews, repeat clients, and profile-update frequency ("if Rover can randomly put some new sitters on the first page, you probably going to be help a lot").</t>
  </si>
  <si>
    <t xml:space="preserve">if Rover can randomly put some new sitters on the first page, you probably going to be help a lot</t>
  </si>
  <si>
    <t xml:space="preserve">For new-client inquiries, TR uses a standardized, pre-written response saved in a notebook that they copy and paste ("I actually prepared a standardized language I use for them like I put into a notebook").</t>
  </si>
  <si>
    <t xml:space="preserve">I actually prepared a standardized language I use for them like I put into a notebook</t>
  </si>
  <si>
    <t xml:space="preserve">For regular clients, re-booking requires little discussion since the relationship is already established ("because they already know me... usually they be like, 'Oh, want to take care?' Oh yeah, sure").</t>
  </si>
  <si>
    <t xml:space="preserve">because they already know me</t>
  </si>
  <si>
    <t xml:space="preserve">TR looked at Rover from the client side to understand how the search ranking worked, which is how they identified that ranking depends heavily on reviews, repeat clients, and calendar-update frequency ("I actually try to uh use Rover from the client side and then I realized Rover do rank people like uh first one, second one, third one").</t>
  </si>
  <si>
    <t xml:space="preserve">I actually try to uh use Rover from the client side and then I realized Rover do rank people like uh first one, second one, third one</t>
  </si>
  <si>
    <t xml:space="preserve">Her very first pet-sitting job came through a personal connection rather than Rover — a pastor friend asked her to watch his house and pets for 23 days while he traveled ('I got asked by a friend um to watch their house and their pets for 23 days when they went to Jerusalem').</t>
  </si>
  <si>
    <t xml:space="preserve">I got asked by a friend um to watch their house and their pets for 23 days when they went to Jerusalem</t>
  </si>
  <si>
    <t xml:space="preserve">Since joining Rover, she has also built a Facebook page for her private pet-sitting work; separately, another friend who is also on Rover and runs her own business told her to make a website too ('I had another friend who is also on Rover and has a business and she was like, Oh, you just make a website').</t>
  </si>
  <si>
    <t xml:space="preserve">I had another friend who is also on Rover and has a business and she was like, Oh, you just make a website</t>
  </si>
  <si>
    <t xml:space="preserve">Many private clients find her through local community Facebook groups where residents ask for pet-sitter recommendations and other people tag her by name ('we have like a page where they're like called daily dose of Walla Walla or something and people will be like hey where can I find a pet sitter... people are tagging me in it all the time').</t>
  </si>
  <si>
    <t xml:space="preserve">people are tagging me in it all the time</t>
  </si>
  <si>
    <t xml:space="preserve">Word of mouth among friends and her personal Facebook page also generate new private clients, including requests beyond pet sitting, like watering a friend's mother's plants ('a friend knows a friend'; 'my mom just needs her plants water while she's out of town every day. Can you do that?').</t>
  </si>
  <si>
    <t xml:space="preserve">my mom just needs her plants water while she's out of town every day. Can you do that?</t>
  </si>
  <si>
    <t xml:space="preserve">Her private reputation has grown large enough that she says clients now find her 'either way,' whether through Rover or her own marketing ('people can find you either way').</t>
  </si>
  <si>
    <t xml:space="preserve">people can find you either way</t>
  </si>
  <si>
    <t xml:space="preserve">Evaluation and meet-and-greet</t>
  </si>
  <si>
    <t xml:space="preserve">meet-and-greet-process</t>
  </si>
  <si>
    <t xml:space="preserve">For any client or animal she hasn't met before, she schedules a meet-and-greet before deciding whether to accept ("I always do a meet and greet schedule a meet and greet if it's a new client").</t>
  </si>
  <si>
    <t xml:space="preserve">I always do a meet and greet schedule a meet and greet if it's a new client</t>
  </si>
  <si>
    <t xml:space="preserve">During the meet-and-greet she deliberately keeps her attention on the animal rather than the owner or the home, asking about things like allergies, medication, likes/dislikes, and touch sensitivities, regardless of whether the home is a mansion or a modest house ("I'm trying to get as much information about the animal" and "I'm there to be focused on the animal").</t>
  </si>
  <si>
    <t xml:space="preserve">I'm trying to get as much information about the animal</t>
  </si>
  <si>
    <t xml:space="preserve">She evaluates during the visit whether it looks like a good, safe fit before deciding to accept ("if it looks like a good setting" and "safe home, safe people, safe animal").</t>
  </si>
  <si>
    <t xml:space="preserve">safe home, safe people, safe animal</t>
  </si>
  <si>
    <t xml:space="preserve">She usually confirms acceptance quickly after the meet-and-greet — either on the spot or within about an hour on her way home — so the client isn't left waiting days for a decision ("book their um their request like right there while they're in front of me or I'll do it on my way home").</t>
  </si>
  <si>
    <t xml:space="preserve">book their um their request like right there while they're in front of me or I'll do it on my way home</t>
  </si>
  <si>
    <t xml:space="preserve">With each new request, he tries to establish what the client's expectations are before proceeding ("what I find myself doing every time is figuring out what their expectations are").</t>
  </si>
  <si>
    <t xml:space="preserve">what I find myself doing every time is figuring out what their expectations are</t>
  </si>
  <si>
    <t xml:space="preserve">He says meet-and-greets have never been a personal safety concern for him ("it's never been like a safety concern or anything for me").</t>
  </si>
  <si>
    <t xml:space="preserve">it's never been like a safety concern or anything for me</t>
  </si>
  <si>
    <t xml:space="preserve">He has never distrusted a client enough to worry about accepting them, in part because he wouldn't have accepted them as a client in the first place if he felt that way ("I've never had a client where like they seemed sketchy enough that I was like, I don't trust them to just drop off their dog. Mainly because I just wouldn't accept them as a client if I thought that.").</t>
  </si>
  <si>
    <t xml:space="preserve">I've never had a client where like they seemed sketchy enough that I was like, I don't trust them to just drop off their dog. Mainly because I just wouldn't accept them as a client if I thought that.</t>
  </si>
  <si>
    <t xml:space="preserve">The one time he specifically arranged a meet-and-greet, it was to ease an anxious dog's nerves before the stay rather than for his own screening purposes, and he frames meet-and-greets generally as more of a reassurance tool than a necessity ("It was just it was more of a sales line than anything else").</t>
  </si>
  <si>
    <t xml:space="preserve">It was just it was more of a sales line than anything else</t>
  </si>
  <si>
    <t xml:space="preserve">He notes, as something he finds interesting, that more of his clients have wanted to meet in person than to have a phone call ("I've had more people want to meet in person than I've had wanted a call, which is kind of interesting").</t>
  </si>
  <si>
    <t xml:space="preserve">I've had more people want to meet in person than I've had wanted a call, which is kind of interesting</t>
  </si>
  <si>
    <t xml:space="preserve">He separately frames the general meet-and-greet ("Meetup") option as something he values mainly because it gives clients peace of mind rather than as a screening tool for himself, letting them confirm for themselves he's not, in his words, "a serial killer," and letting the dogs meet each other beforehand ("the Meetup system I I I like just because I think it gives them uh the the clients a little more peace of mind").</t>
  </si>
  <si>
    <t xml:space="preserve">the Meetup system I I I like just because I think it gives them uh the the clients a little more peace of mind</t>
  </si>
  <si>
    <t xml:space="preserve">Before agreeing to a meet-and-greet, she reviews the prospective pet's profile and the client's location ("I'll check out their their pet. I'll check them out and I'll check out where they are").</t>
  </si>
  <si>
    <t xml:space="preserve">I'll check out their their pet. I'll check them out and I'll check out where they are</t>
  </si>
  <si>
    <t xml:space="preserve">If the pet and location seem workable, she sets up a meet-and-greet, which can take a few days to schedule depending on the owner's availability ("normally that conversation can go on for a two three days before we finally get to meet").</t>
  </si>
  <si>
    <t xml:space="preserve">normally that conversation can go on for a two three days before we finally get to meet</t>
  </si>
  <si>
    <t xml:space="preserve">The meet-and-greet typically involves walking the dog together to see how it reacts to her, which she treats as the deciding moment; with a recent client the dog "jumped in my arm, so we knew immediately it was going to be okay" ("we went for a walk together with the dog part of the meet and greet to see how the dog reacted and when I got there, the dog jumped in my arm, so we knew immediately it was going to be okay").</t>
  </si>
  <si>
    <t xml:space="preserve">we went for a walk together with the dog part of the meet and greet to see how the dog reacted and when I got there, the dog jumped in my arm, so we knew immediately it was going to be okay</t>
  </si>
  <si>
    <t xml:space="preserve">She said meet-and-greets don't always click that instantly - some dogs are scared and need a treat or gentle handling before warming up, and each owner has their own way of structuring the greeting ("Sometimes they're scared and you have to give a little treat or a pet and walk them on your own. It depends on the dog and the owner. So, each owner has their own way of greeting you, you know.").</t>
  </si>
  <si>
    <t xml:space="preserve">Sometimes they're scared and you have to give a little treat or a pet and walk them on your own. It depends on the dog and the owner. So, each owner has their own way of greeting you, you know.</t>
  </si>
  <si>
    <t xml:space="preserve">She described one meet-and-greet where an older, unsocialized dog attacked her, and she believed the owner was trying to get rid of the dog rather than find genuine care ("The dog was older and aggressive and as soon as I got there, he attacked me"; "it was a bad owner. They were trying to dump the dog").</t>
  </si>
  <si>
    <t xml:space="preserve">it was a bad owner. They were trying to dump the dog</t>
  </si>
  <si>
    <t xml:space="preserve">Following that incident, she said Rover currently has no way for sitters to flag a risky owner so other sitters can be warned, which she wants added ("there's not a anything on Rover so that dog sitters can flag a client"; "I want them flagged that other sitters know that this might be dangerous").</t>
  </si>
  <si>
    <t xml:space="preserve">I want them flagged that other sitters know that this might be dangerous</t>
  </si>
  <si>
    <t xml:space="preserve">She linked this kind of risky request to broader economic pressure, tentatively (she wasn't sure it was specific to her area) suggesting that owners near her who can no longer afford their dogs sometimes try to give them up by dumping them on a sitter ("I don't know if out here in" California, "because of the economy people can't afford their dogs now. So they're trying to get rid of them and the easiest way is to dump it on the sitter.").</t>
  </si>
  <si>
    <t xml:space="preserve">because of the economy people can't afford their dogs now. So they're trying to get rid of them and the easiest way is to dump it on the sitter.</t>
  </si>
  <si>
    <t xml:space="preserve">She said she would decline to take on a dog she judged too aggressive at this point in her life, out of safety concerns ("I would not babysit a dog that aggressive. It would scare me to death at this point").</t>
  </si>
  <si>
    <t xml:space="preserve">I would not babysit a dog that aggressive. It would scare me to death at this point</t>
  </si>
  <si>
    <t xml:space="preserve">Her process when a request comes in is to check her calendar, respond yes or no, and ask follow-up questions about the dog if needed ("I'll get like a request in and then I'll check my calendar, make sure I'm good to go, and I'll respond back and say, you know, yes or no, and then ask questions if I have any questions about about the dog.").</t>
  </si>
  <si>
    <t xml:space="preserve">I'll get like a request in and then I'll check my calendar, make sure I'm good to go, and I'll respond back and say, you know, yes or no, and then ask questions if I have any questions about about the dog.</t>
  </si>
  <si>
    <t xml:space="preserve">If a booking looks promising, she typically offers a meet and greet at a park between their locations, at her own place, or at the client's house if she'll be housesitting ("typically offer a meet and greet. So, um, you know, let's go, we can go out to a park somewhere between where we live, or if you want to see my place, you can come here. or if I'm housesitting, I'll go to their house").</t>
  </si>
  <si>
    <t xml:space="preserve">typically offer a meet and greet. So, um, you know, let's go, we can go out to a park somewhere between where we live, or if you want to see my place, you can come here. or if I'm housesitting, I'll go to their house</t>
  </si>
  <si>
    <t xml:space="preserve">She notes that sometimes clients are interviewing multiple potential sitters and will let her know afterward what they decide ("Sometimes the people are like interviewing multiple potential sitters").</t>
  </si>
  <si>
    <t xml:space="preserve">Sometimes the people are like interviewing multiple potential sitters</t>
  </si>
  <si>
    <t xml:space="preserve">During the meet and greet, she says it's mostly about reading the dog's body language, a skill she attributes to her long-time shelter volunteering, where volunteers are trained in this ("it's mostly about reading the dog's body language. Um, so again, I I volunteer at a shelter and I have for a long time.").</t>
  </si>
  <si>
    <t xml:space="preserve">it's mostly about reading the dog's body language. Um, so again, I I volunteer at a shelter and I have for a long time.</t>
  </si>
  <si>
    <t xml:space="preserve">She watches for whether the dog approaches her for pets or hides ("are they coming up and asking for pets? Are they hiding somewhere?").</t>
  </si>
  <si>
    <t xml:space="preserve">are they coming up and asking for pets? Are they hiding somewhere?</t>
  </si>
  <si>
    <t xml:space="preserve">She says she has declined only one booking, because she was uncomfortable watching that particular dog ("I've had I think I've only had like one where I was uncomfortable um watching the dog and so we ended up not booking.").</t>
  </si>
  <si>
    <t xml:space="preserve">I've had I think I've only had like one where I was uncomfortable um watching the dog and so we ended up not booking.</t>
  </si>
  <si>
    <t xml:space="preserve">She's also had a couple of instances where clients interviewed multiple sitters and chose someone else instead of her ("I've had a couple where they're like, "Oh, we interviewed a a bunch of people or whatever and we they went with someone else."").</t>
  </si>
  <si>
    <t xml:space="preserve">I've had a couple where they're like, "Oh, we interviewed a a bunch of people or whatever and we they went with someone else."</t>
  </si>
  <si>
    <t xml:space="preserve">For the most part she describes meet and greets as pretty straightforward, saying even shy dogs can be managed with patience once she's in their home or they're in hers ("for the most part, they've been pretty straightforward. even the shy dogs like they just we we I know how to manage them once they're in my home or I'm in their home or whatever. So, um, we just be patient and make friends.").</t>
  </si>
  <si>
    <t xml:space="preserve">for the most part, they've been pretty straightforward. even the shy dogs like they just we we I know how to manage them once they're in my home or I'm in their home or whatever. So, um, we just be patient and make friends.</t>
  </si>
  <si>
    <t xml:space="preserve">Asked about her emotional state during meet and greets, she says she doesn't have strong feelings about it — it's just like another day ("I don't have very strong feelings about it. It's um it's kind of just like a another day.").</t>
  </si>
  <si>
    <t xml:space="preserve">I don't have very strong feelings about it. It's um it's kind of just like a another day.</t>
  </si>
  <si>
    <t xml:space="preserve">If a client's profile describes the dog as aggressive toward strangers, she says she will probably be a little more standoffish to avoid provoking the dog ("when they have a lot of information about the dog and they're like, "This dog's crazy. This dog is super aggressive towards strangers." then I will probably have a little bit be like a little bit more standoffish.").</t>
  </si>
  <si>
    <t xml:space="preserve">when they have a lot of information about the dog and they're like, "This dog's crazy. This dog is super aggressive towards strangers." then I will probably have a little bit be like a little bit more standoffish.</t>
  </si>
  <si>
    <t xml:space="preserve">Otherwise, her typical approach is to walk up, let the dog sniff her, do a proper introduction, and use treats ("for the most part, it's like we'll just walk up wherever we are and you know, I'll let them sniff me and we'll do we'll just do a proper introduction. Um if I have treats, I'll toss some treats.").</t>
  </si>
  <si>
    <t xml:space="preserve">for the most part, it's like we'll just walk up wherever we are and you know, I'll let them sniff me and we'll do we'll just do a proper introduction. Um if I have treats, I'll toss some treats.</t>
  </si>
  <si>
    <t xml:space="preserve">She says that especially for house-sitting meet-and-greets at the client's home, she anticipates having to do a lot of small talk and prepares for that ("sometimes when I'm walking into some of these especially if it's um a house sitting so I go to their house um there's this like oh I'm going to have to do a lot of small talk kind of thing so I prepare for that").</t>
  </si>
  <si>
    <t xml:space="preserve">sometimes when I'm walking into some of these especially if it's um a house sitting so I go to their house um there's this like oh I'm going to have to do a lot of small talk kind of thing so I prepare for that</t>
  </si>
  <si>
    <t xml:space="preserve">After reviewing the dog's profile, she messages the owner to ask about the dog's daily routine so she can judge whether it's compatible with her own routine ("can you tell me a little more about your daily routine?... I need to see if the owner's routine is a match with my routine").</t>
  </si>
  <si>
    <t xml:space="preserve">I need to see if the owner's routine is a match with my routine</t>
  </si>
  <si>
    <t xml:space="preserve">care-instructions-handoff</t>
  </si>
  <si>
    <t xml:space="preserve">She also explains that a main reason she asks about the dog's daily routine before booking is to keep the dog's routine as close as possible to home during boarding, since a new environment is already stressful for the dog ("it's a priority for me to keep the dog's routine as equal as possible to their routine at home") — a separate reason from checking schedule compatibility with her own availability.</t>
  </si>
  <si>
    <t xml:space="preserve">it's a priority for me to keep the dog's routine as equal as possible to their routine at home</t>
  </si>
  <si>
    <t xml:space="preserve">A key acceptance criterion is whether the requested exercise schedule fits around her dog-training business — she can't take a dog that needs walking spread across many hours a day ("if you need your dog to be walked eight times a day for one hour like I cannot walk your dog eight hours a day").</t>
  </si>
  <si>
    <t xml:space="preserve">if you need your dog to be walked eight times a day for one hour like I cannot walk your dog eight hours a day</t>
  </si>
  <si>
    <t xml:space="preserve">She also screens for the owner's communication style and will decline if it doesn't feel like a fit, including owners who become rude when she won't offer a discount ("I've had a couple owners who were a little bit not disrespectful but a little bit like a weird way of communicating").</t>
  </si>
  <si>
    <t xml:space="preserve">I've had a couple owners who were a little bit not disrespectful but a little bit like a weird way of communicating</t>
  </si>
  <si>
    <t xml:space="preserve">For reactive dogs or when something in the profile or owner's description raises a concern, she does a meet-and-greet before booking, which she estimates happens in roughly two out of every four or five requests, self-correcting the fraction as she said it ("I do it like two out of four times, you know, like two two out of five times I will do it").</t>
  </si>
  <si>
    <t xml:space="preserve">I do it like two out of four times, you know, like two two out of five times I will do it</t>
  </si>
  <si>
    <t xml:space="preserve">Meet-and-greets can happen by video call in the app or in person (e.g. at a nearby park or in front of her building); she generally prefers face-to-face because she wants to see the dog's reaction to her in person ("usually I do uh face to face because I want to see the dog's reaction to me"), though she did once do a FaceTime call at an owner's request.</t>
  </si>
  <si>
    <t xml:space="preserve">usually I do uh face to face because I want to see the dog's reaction to me</t>
  </si>
  <si>
    <t xml:space="preserve">When a request comes in, opening it shows him the dog, the owner, and the estimated payment, which he uses to decide whether to proceed ("it takes you into the app where it shows uh the dog, the owner, the estimated payment").</t>
  </si>
  <si>
    <t xml:space="preserve">it takes you into the app where it shows uh the dog, the owner, the estimated payment</t>
  </si>
  <si>
    <t xml:space="preserve">He and his wife review the request to see whether they can do it and whether the dog seems like a good fit before moving forward ("we would open that up and see if we can do it and see if the dog fits").</t>
  </si>
  <si>
    <t xml:space="preserve">we would open that up and see if we can do it and see if the dog fits</t>
  </si>
  <si>
    <t xml:space="preserve">He personally values sitters asking inquisitive questions before accepting a dog, saying this is what he'd want if he were the one entrusting his own dog to someone ("I feel like there's like a few prerequisites that if I were to ask someone to watch my dog, I'd want them to ask me certain questions or be kind of inquisitive about certain things so that I know that they are taking it seriously").</t>
  </si>
  <si>
    <t xml:space="preserve">I feel like there's like a few prerequisites that if I were to ask someone to watch my dog, I'd want them to ask me certain questions or be kind of inquisitive about certain things so that I know that they are taking it seriously</t>
  </si>
  <si>
    <t xml:space="preserve">He always does a meet-and-greet before accepting a booking ("before accepting we always do a meet and greet").</t>
  </si>
  <si>
    <t xml:space="preserve">before accepting we always do a meet and greet</t>
  </si>
  <si>
    <t xml:space="preserve">For walks, the meet-and-greet is a short trial walk after meeting the client halfway; for boarding, he has the owner and dog come up to his apartment so the dog can get used to the space before any booking is confirmed ("for um for boarding, we always make them come to us and meet the dog outside and then have them come upstairs"; "let the dog check out our space and get used to it").</t>
  </si>
  <si>
    <t xml:space="preserve">let the dog check out our space and get used to it</t>
  </si>
  <si>
    <t xml:space="preserve">He and his wife have become more selective and have turned down several long-term boarding requests recently, describing accepting a job now as somewhat unpredictable ("we've had to turn down a couple long-term ones"; "it's more of like a roll the dice if we can, if we can't").</t>
  </si>
  <si>
    <t xml:space="preserve">we've had to turn down a couple long-term ones</t>
  </si>
  <si>
    <t xml:space="preserve">She tries to schedule a meet-and-greet fairly soon after initial contact, generally within about a week ("I'll try to set up a meet and greet pretty quickly like within the next week anyway.").</t>
  </si>
  <si>
    <t xml:space="preserve">I'll try to set up a meet and greet pretty quickly like within the next week</t>
  </si>
  <si>
    <t xml:space="preserve">During the meet-and-greet itself, she takes handwritten notes rather than using a digital tool or template ("I usually have like a you know I'll take down notes in a notebook").</t>
  </si>
  <si>
    <t xml:space="preserve">I'll take down notes in a notebook</t>
  </si>
  <si>
    <t xml:space="preserve">If a client leaves a meet-and-greet decision open for a long time without booking or declining, she follows up to encourage a decision, because she needs to know whether the slot will actually convert into a booking ("I just needed need it, you know, need to know if they're going to f*** it, you know.").</t>
  </si>
  <si>
    <t xml:space="preserve">need to know if they're going to f*** it</t>
  </si>
  <si>
    <t xml:space="preserve">She screens by pet size rather than breed: medium-sized pets are fine, occasionally big ones too, but she generally avoids very large dogs ("I don't do big pets like more than like medium sizes are okay for me").</t>
  </si>
  <si>
    <t xml:space="preserve">I don't do big pets like more than like medium sizes are okay for me</t>
  </si>
  <si>
    <t xml:space="preserve">This size limit comes from her rental agreement, not personal preference alone -- her landlord only allows small or medium pets ("I live in a rental place and the owner of the house doesn't like to have big pets around. So our agreement was that I was allowed to have pets but it was a small or medium").</t>
  </si>
  <si>
    <t xml:space="preserve">I live in a rental place and the owner of the house doesn't like to have big pets around. So our agreement was that I was allowed to have pets but it was a small or medium</t>
  </si>
  <si>
    <t xml:space="preserve">She only accepts one client's pet(s) at a time, describing this as a "one by one" policy ("I only do one by one services").</t>
  </si>
  <si>
    <t xml:space="preserve">I only do one by one services</t>
  </si>
  <si>
    <t xml:space="preserve">Her reason for the one-by-one policy is to avoid stress or conflict between unfamiliar animals thrown together in a new environment ("can stress out because they are in new environments and new people and if they get to other animals as well. So it's going to be worst. Sometimes they don't address each other and they can fight each other").</t>
  </si>
  <si>
    <t xml:space="preserve">can stress out because they are in new environments and new people and if they get to other animals as well. So it's going to be worst. Sometimes they don't address each other and they can fight each other</t>
  </si>
  <si>
    <t xml:space="preserve">She'll make an exception to take more than one pet at a time if they're already from the same family ("If I have one more than one pet at home is because they are from the same family").</t>
  </si>
  <si>
    <t xml:space="preserve">If I have one more than one pet at home is because they are from the same family</t>
  </si>
  <si>
    <t xml:space="preserve">She'll also make an exception if the owner describes their pet as calm and comfortable around other animals ("there are parents who says like my cat or my dog is very quiet. They they don't mind to being around any other animal. So if they sell is something that I" [might consider]).</t>
  </si>
  <si>
    <t xml:space="preserve">there are parents who says like my cat or my dog is very quiet. They they don't mind to being around any other animal. So if they sell is something that I</t>
  </si>
  <si>
    <t xml:space="preserve">Before accepting, she wants to know about any medication schedules or mobility limitations, which she lists as important information on her profile ("on my profile I usually have like uh what it's important for me to know like if they have any meds uh um schedule or they have any uh movement uh limitation as well").</t>
  </si>
  <si>
    <t xml:space="preserve">on my profile I usually have like uh what it's important for me to know like if they have any meds uh um schedule or they have any uh movement uh limitation as well</t>
  </si>
  <si>
    <t xml:space="preserve">Once she has the pet's information, she confirms her availability and invites any remaining questions before the booking is finalized ("thank you so much for sharing me this general information about your pet. Uh I am available to take the service. Um uh I don't know if you have any questions").</t>
  </si>
  <si>
    <t xml:space="preserve">thank you so much for sharing me this general information about your pet. Uh I am available to take the service. Um uh I don't know if you have any questions</t>
  </si>
  <si>
    <t xml:space="preserve">She typically schedules a meet-and-greet immediately after a client requests a booking, since little useful information comes through chat alone ("I typically do a meet and greet immediately after they request the booking.").</t>
  </si>
  <si>
    <t xml:space="preserve">I typically do a meet and greet immediately after they request the booking.</t>
  </si>
  <si>
    <t xml:space="preserve">Before the in-person meet-and-greet, she gives a quick chat intro about her work hours and drive time away from home so a client can self-select out early if it's not a fit ("I let them know that I'm at work for 8 hours and then I let them know that the drive time keeps me away from the house for 9 plus hours. Um, so if that's something that's like a no-go for them or their pets, then I'm not a good fit for them.").</t>
  </si>
  <si>
    <t xml:space="preserve">I let them know that I'm at work for 8 hours and then I let them know that the drive time keeps me away from the house for 9 plus hours. Um, so if that's something that's like a no-go for them or their pets, then I'm not a good fit for them.</t>
  </si>
  <si>
    <t xml:space="preserve">At the meet-and-greet she asks directly about food/water location, medications, leash location, and vet/emergency vet information, regardless of whether it's already on the client's profile ("I ask like where the water is, where the food is, if they're on any medications, um where the leashes are, who their vet is, if they have an emergency vets.").</t>
  </si>
  <si>
    <t xml:space="preserve">I ask like where the water is, where the food is, if they're on any medications, um where the leashes are, who their vet is, if they have an emergency vets.</t>
  </si>
  <si>
    <t xml:space="preserve">She says most clients going on vacation don't have the most important information (food, meds, leashes, vet) organized in one place, so she also asks about lower-priority preferences like a pet's favorite toy or bed, or where a cat likes to hide ("most people when they're going on vacation don't get all these things prepared in one location and those are the most important. But then like offsides like their favorite toy, their favorite bed... where they like to hide").</t>
  </si>
  <si>
    <t xml:space="preserve">most people when they're going on vacation don't get all these things prepared in one location and those are the most important. But then like offsides like their favorite toy, their favorite bed</t>
  </si>
  <si>
    <t xml:space="preserve">Even when the information is already on a client's profile, she still asks about it directly and likes to physically see where things are in the house herself rather than rely only on being told ("cuz I'm a listening person. I like to see it in the house. Um, so then I know where it's at.").</t>
  </si>
  <si>
    <t xml:space="preserve">cuz I'm a listening person. I like to see it in the house. Um, so then I know where it's at.</t>
  </si>
  <si>
    <t xml:space="preserve">She doesn't take notes during the meet-and-greet itself, relying on memory and logging details into her calendar afterward ("I have a really good memory. So then I just take notes after.").</t>
  </si>
  <si>
    <t xml:space="preserve">I have a really good memory. So then I just take notes after.</t>
  </si>
  <si>
    <t xml:space="preserve">Deciding to decline a client or dog that's not a good fit was hard for her early on; she believes "Not all not all money is good money." and thinks Rover could help newer sitters with this by framing it as acceptable and normal.</t>
  </si>
  <si>
    <t xml:space="preserve">Not all not all money is good money.</t>
  </si>
  <si>
    <t xml:space="preserve">She describes declining gracefully as a skill some sitters lack naturally ("say no gently is an art form"), and thinks Rover could offer guidance or classes on how to say no to a bad-fit client.</t>
  </si>
  <si>
    <t xml:space="preserve">say no gently is an art form</t>
  </si>
  <si>
    <t xml:space="preserve">As part of what she thinks Rover should communicate to newer sitters about declining, she says it's okay to say no because "there's other sitters behind you that will be a good fit."</t>
  </si>
  <si>
    <t xml:space="preserve">there's other sitters behind you that will be a good fit.</t>
  </si>
  <si>
    <t xml:space="preserve">She wants a filled-out Rover profile with at least a photo before considering a request, though she says it doesn't need to be highly detailed ("what I want is a for them to have a well-filled out profile. It doesn't need to be detailed, but I want a photo").</t>
  </si>
  <si>
    <t xml:space="preserve">what I want is a for them to have a well-filled out profile. It doesn't need to be detailed, but I want a photo</t>
  </si>
  <si>
    <t xml:space="preserve">She wants to know how a dog is with other dogs and with strangers, but says she doesn't screen for compatibility with children since she has none of her own ("I don't care as much if they're good with children because I don't have any, but I want to know how they are with strangers").</t>
  </si>
  <si>
    <t xml:space="preserve">I don't care as much if they're good with children because I don't have any, but I want to know how they are with strangers</t>
  </si>
  <si>
    <t xml:space="preserve">Separation anxiety in a dog is a firm non-negotiable exclusion for her, because she has other people living in the home ("if if they straight up say this dog has separation anxiety, I'm not going to take that dog"), which she calls one of only two non-negotiables she's developed ("that's sort of that's sort of the one non-negotiable that I've come up with after being on the app for as long").</t>
  </si>
  <si>
    <t xml:space="preserve">if if they straight up say this dog has separation anxiety, I'm not going to take that dog</t>
  </si>
  <si>
    <t xml:space="preserve">Her other non-negotiable is large unneutered male dogs, though she remains open to smaller unneutered males ("an unneutered large male I won't take but I'll I'm open to smaller unneutered males").</t>
  </si>
  <si>
    <t xml:space="preserve">an unneutered large male I won't take but I'll I'm open to smaller unneutered males</t>
  </si>
  <si>
    <t xml:space="preserve">She has had one dangerous incident with a Rover dog serious enough that she had the owner come pick it up, though that particular dog was neutered ("I've had uh a very dangerous situation where I had to have the owner come get the dog"... "he actually was neutered that one").</t>
  </si>
  <si>
    <t xml:space="preserve">I've had uh a very dangerous situation where I had to have the owner come get the dog</t>
  </si>
  <si>
    <t xml:space="preserve">For longer stays she does meet-and-greets, but says she's comfortable skipping them for shorter stays with smaller dogs ("with these longer stays I'm doing meet and greets with with shorter stays and smaller dogs. I'm I'm okay").</t>
  </si>
  <si>
    <t xml:space="preserve">with these longer stays I'm doing meet and greets with with shorter stays and smaller dogs. I'm I'm okay</t>
  </si>
  <si>
    <t xml:space="preserve">For a dog with a 'problematic history,' she may require multiple meet-and-greets before agreeing to a stay — for one upcoming dog she did two meet-and-greets before agreeing to a third stay ("I do have a dog coming who has had a problematic history. I've done two meet and greets with him before the third stay").</t>
  </si>
  <si>
    <t xml:space="preserve">I do have a dog coming who has had a problematic history. I've done two meet and greets with him before the third stay</t>
  </si>
  <si>
    <t xml:space="preserve">Beyond her two firm non-negotiables, she weighs behavioral risk case by case according to how much of a physical threat she perceives a dog to pose, which she says can depend on its size ("depending upon how much I think that dog's a threat to me, frankly, like if it's a little dog").</t>
  </si>
  <si>
    <t xml:space="preserve">depending upon how much I think that dog's a threat to me, frankly, like if it's a little dog</t>
  </si>
  <si>
    <t xml:space="preserve">She says having more information from the owner — including photos and breed — helps her judge that risk before accepting a dog ("The more information they have, the more photos, you know, the breeds.").</t>
  </si>
  <si>
    <t xml:space="preserve">The more information they have, the more photos, you know, the breeds.</t>
  </si>
  <si>
    <t xml:space="preserve">She has become notably more cautious about accepting unfamiliar dogs than when she started, in part because she was bitten by a Rover dog ("having now been bitten by a rover dog, uh, I'm I'm like way more hesitant"), compared to her more open attitude at the beginning ("Oh, yeah, I'll try any dog. Every dog is cool.").</t>
  </si>
  <si>
    <t xml:space="preserve">having now been bitten by a rover dog, uh, I'm I'm like way more hesitant</t>
  </si>
  <si>
    <t xml:space="preserve">Rover does not require a meet-and-greet, but she personally prefers to always do one so she knows what she's getting into: "it's optional, but I prefer to have it just so, you know, I know what I'm getting myself into."</t>
  </si>
  <si>
    <t xml:space="preserve">it's optional, but I prefer to have it just so, you know, I know what I'm getting myself into</t>
  </si>
  <si>
    <t xml:space="preserve">She sees the meet-and-greet as functioning in reverse from how the client perceives it: the client thinks they are interviewing her, but she considers herself to really be the one evaluating them: "they think like the client thinks that they're having an interview with me, but in reality, I'm kind of having an interview with uh with them."</t>
  </si>
  <si>
    <t xml:space="preserve">they think like the client thinks that they're having an interview with me, but in reality, I'm kind of having an interview with uh with them</t>
  </si>
  <si>
    <t xml:space="preserve">Her top priority during this stage is safety, and she prefers gathering information in person/verbally rather than by text, because clients are less forthcoming in writing: "Important for me is well, first it's safety, right? like um sometimes when they send a text like they're not very like open with what they want through a text, right? It's better to get that from a word of mouth."</t>
  </si>
  <si>
    <t xml:space="preserve">it's safety, right? like um sometimes when they send a text like they're not very like open with what they want through a text</t>
  </si>
  <si>
    <t xml:space="preserve">She does not use a prepared checklist or printed questions for meet-and-greets; instead she lets the client volunteer information about their pet, since clients tend to tell her what she'd ask anyway: "No, I just really let the client just tell me everything about their pet because normally any question that I would have had, they ask me like they just tell me anyway. So, it doesn't really feel like relevant to ask the same question again."</t>
  </si>
  <si>
    <t xml:space="preserve">I just really let the client just tell me everything about their pet because normally any question that I would have had, they ask me like they just tell me anyway</t>
  </si>
  <si>
    <t xml:space="preserve">She relies on her memory rather than written notes to retain what a client tells her during a meet-and-greet: "I have a pretty good uh memory. So I I I like to remember everything. I think it's important to like remember everything without having to write it down sometimes."</t>
  </si>
  <si>
    <t xml:space="preserve">I have a pretty good uh memory. So I I I like to remember everything</t>
  </si>
  <si>
    <t xml:space="preserve">Her view of meet-and-greets changed over time: she initially avoided them because she saw them as unpaid extra work, but after researching how to be a good sitter (on YouTube) she concluded they help confirm fit, so she now asks for one every time: "I initially didn't really want to do the meet and greet just because I thought it was um at the time I thought it was extra work that was unpaid. But now I learned that it's more of a way to see if it's a good uh good fit. So now I I I ask it every time."</t>
  </si>
  <si>
    <t xml:space="preserve">I thought it was extra work that was unpaid. But now I learned that it's more of a way to see if it's a good uh good fit</t>
  </si>
  <si>
    <t xml:space="preserve">She names the pre-booking stage "the introduction," describing it as the point where she and the client meet each other to see if they're a good fit for the booking, before any booking decision is finalized: "I would call it the uh the introduction like you know I just meet them and they meet me and we just kind of see if we were a good fit for the for the booking."</t>
  </si>
  <si>
    <t xml:space="preserve">I would call it the uh the introduction like you know I just meet them and they meet me and we just kind of see if we were a good fit for the for the booking.</t>
  </si>
  <si>
    <t xml:space="preserve">TR will turn down a pet if it seems aggressive or hostile at the meet-and-greet, describing this as what matters most to them about the pet itself ("I don't want a pass that's aggressive or hostile").</t>
  </si>
  <si>
    <t xml:space="preserve">I don't want a pass that's aggressive or hostile</t>
  </si>
  <si>
    <t xml:space="preserve">TR requires cats to be spayed/neutered and current on flea prevention as a standard expectation ("I also prefer the catches to be spay definitely spay and neutered and also uh just flee free like have some like a flea medicine").</t>
  </si>
  <si>
    <t xml:space="preserve">I also prefer the catches to be spay definitely spay and neutered and also uh just flee free like have some like a flea medicine</t>
  </si>
  <si>
    <t xml:space="preserve">Because clients come into their own home for boarding, TR sets a higher bar for which clients they'll accept, and says the clients they do take tend to be easygoing ("I tend to having like a higher barrier about which kind clients I will take inside my place. So, usually the clients I have tend to be pretty chill").</t>
  </si>
  <si>
    <t xml:space="preserve">I tend to having like a higher barrier about which kind clients I will take inside my place. So, usually the clients I have tend to be pretty chill</t>
  </si>
  <si>
    <t xml:space="preserve">TR recommends meet-and-greets to new clients by framing them as helpful for the cat to get familiar with the new space before a stay ("I do uh really recommend a meet and greets beforehand just for me for the cats to learn about the space").</t>
  </si>
  <si>
    <t xml:space="preserve">I do uh really recommend a meet and greets beforehand just for me for the cats to learn about the space</t>
  </si>
  <si>
    <t xml:space="preserve">TR values meet-and-greets as a chance to observe how the pet behaves in the new environment before deciding ("to see how the pass interacts in this new place really importance").</t>
  </si>
  <si>
    <t xml:space="preserve">to see how the pass interacts in this new place really importance</t>
  </si>
  <si>
    <t xml:space="preserve">TR says most clients decide to book after the meet-and-greet, which they attribute partly to their home and furniture being visibly cat-friendly ("after meeting and greets tend to book me for most time because um my household and my furniture do look very cat friendly").</t>
  </si>
  <si>
    <t xml:space="preserve">after meeting and greets tend to book me for most time because um my household and my furniture do look very cat friendly</t>
  </si>
  <si>
    <t xml:space="preserve">Meet-and-greets are mainly something TR does with first-time clients rather than regulars ("I think that's first first time clients").</t>
  </si>
  <si>
    <t xml:space="preserve">I think that's first first time clients</t>
  </si>
  <si>
    <t xml:space="preserve">Some clients decline the meet-and-greet altogether, which TR says is fine ("most of the time some clients tend not don't don't want to and then that is fine too").</t>
  </si>
  <si>
    <t xml:space="preserve">and then that is fine too</t>
  </si>
  <si>
    <t xml:space="preserve">After a meet-and-greet, TR usually accepts right away, then gives the client two to three days to make a final decision before following up if they haven't heard back ("they usually will have like two or three days to decide... if I did not hear from them and reach out again be like hey are you still interested").</t>
  </si>
  <si>
    <t xml:space="preserve">they usually will have like two or three days to decide</t>
  </si>
  <si>
    <t xml:space="preserve">Over time she has learned specific questions to ask so that a booking is 'the right fit' for her, rather than accepting every request that comes in ('I've just learned the questions that I need to ask to make sure that I'm going to do a good job for them and that it's the right fit for me').</t>
  </si>
  <si>
    <t xml:space="preserve">I've just learned the questions that I need to ask to make sure that I'm going to do a good job for them and that it's the right fit for me</t>
  </si>
  <si>
    <t xml:space="preserve">Her firm no-goes for dogs coming into her own home are destructive behavior, severe separation anxiety with constant barking when left alone, and house-soiling ('I personally will not take dogs that like destroy my house or that uh have super bad separation anxiety, they can't be left alone without barking constantly, that uh are known to pee in the house').</t>
  </si>
  <si>
    <t xml:space="preserve">I personally will not take dogs that like destroy my house or that uh have super bad separation anxiety, they can't be left alone without barking constantly, that uh are known to pee in the house</t>
  </si>
  <si>
    <t xml:space="preserve">She is more lenient about those same behaviors when housesitting at the client's home instead of her own, since a dog soiling their own furniture isn't her problem ('I also accept a lot more if I housesit at their house... if you don't care that your dog pees on your couch, then more power to you. I just won't sit on your couch. So, I'll still housesit your dog, but they can't come to my house').</t>
  </si>
  <si>
    <t xml:space="preserve">I also accept a lot more if I housesit at their house</t>
  </si>
  <si>
    <t xml:space="preserve">She will not stay with a client's pet 24/7 under any circumstance, since she has other obligations ('my other no-go is definitely like I cannot stay with a client's dog or any pet 24/7. Not going to happen for me. Like have a job').</t>
  </si>
  <si>
    <t xml:space="preserve">my other no-go is definitely like I cannot stay with a client's dog or any pet 24/7. Not going to happen for me. Like have a job</t>
  </si>
  <si>
    <t xml:space="preserve">None of her accept/decline criteria are written down anywhere, including on her Rover profile — they exist only as a mental checklist ('No, I don't have any of those red flags written in my profile').</t>
  </si>
  <si>
    <t xml:space="preserve">No, I don't have any of those red flags written in my profile</t>
  </si>
  <si>
    <t xml:space="preserve">Unlike some other providers, declining unneutered male dogs specifically has not been an issue for her ('no unneuter males hasn't really been a problem for me').</t>
  </si>
  <si>
    <t xml:space="preserve">no unneuter males hasn't really been a problem for me</t>
  </si>
  <si>
    <t xml:space="preserve">During a meet-and-greet she watches a dog's body language, such as raised hackles, as a risk signal even when the owner insists it isn't a problem ('their honches went up when it saw me... they were like, Oh, no, it's fine. No biggie... but I know already knowing dogs like if your honches go up, like is this going to be a problem when I come here alone?').</t>
  </si>
  <si>
    <t xml:space="preserve">their honches went up when it saw me</t>
  </si>
  <si>
    <t xml:space="preserve">When she's uncertain about a dog after the first meet-and-greet, she schedules a second one closer to the start of the sit so she isn't a stranger to the dog on day one ('why don't we just do a second meet and greet the day before you leave').</t>
  </si>
  <si>
    <t xml:space="preserve">why don't we just do a second meet and greet the day before you leave</t>
  </si>
  <si>
    <t xml:space="preserve">For personal safety, she doesn't let new clients know where she lives right away, holds first meetings in a public location, and won't meet at a man's home alone unless his wife is present ('we'll meet in a public location'; 'if it's a man, I'm not going to do it unless there's a wife and she's there').</t>
  </si>
  <si>
    <t xml:space="preserve">if it's a man, I'm not going to do it unless there's a wife and she's there</t>
  </si>
  <si>
    <t xml:space="preserve">She preemptively declines clients who seem like poor or high-maintenance communicators to avoid the risk of a bad review, and has separately declined at least one prospective client based on a bad feeling about how he communicated ('I'm probably going to be like, Hey, you know, maybe it'd be better if you found someone else'; 'I just ended up saying no cuz he was just weird about communicating').</t>
  </si>
  <si>
    <t xml:space="preserve">I just ended up saying no cuz he was just weird about communicating</t>
  </si>
  <si>
    <t xml:space="preserve">When she has to decline a client because a dog doesn't fit what she can handle, she sometimes personally refers them to another sitter she thinks would be a better fit, since what doesn't work for her as a sitter can work fine for someone else ('if I deny a client knowing that I cannot do such and such they're asking I know somebody else would be really good for this like I'll even know somebody like hey you know this person might be really good fit for you').</t>
  </si>
  <si>
    <t xml:space="preserve">if I deny a client knowing that I cannot do such and such they're asking I know somebody else would be really good for this like I'll even know somebody like hey you know this person might be really good fit for you</t>
  </si>
  <si>
    <t xml:space="preserve">Booking and availability</t>
  </si>
  <si>
    <t xml:space="preserve">calendar-scheduling-tools</t>
  </si>
  <si>
    <t xml:space="preserve">She checks her Rover app daily for her list of scheduled visits ("cards") rather than opening the Rover calendar view to plan her day ("I don't open up Rover and look at the calendar in terms of what am I doing today").</t>
  </si>
  <si>
    <t xml:space="preserve">I don't open up Rover and look at the calendar in terms of what am I doing today</t>
  </si>
  <si>
    <t xml:space="preserve">She relies on a personal Google calendar shared with her husband so he can track when she'll be out doing pet-sitting visits, and she must manually transfer her Rover bookings into it herself ("My h my husband and I share a Google calendar").</t>
  </si>
  <si>
    <t xml:space="preserve">My h my husband and I share a Google calendar</t>
  </si>
  <si>
    <t xml:space="preserve">She would like Rover's calendar to sync or link directly with her personal Google Calendar so she doesn't have to manually type in every appointment ("That would be nice if it was linked because then I wouldn't have to physically, you know, write or, you know, type in five or six different appointments").</t>
  </si>
  <si>
    <t xml:space="preserve">That would be nice if it was linked because then I wouldn't have to physically, you know, write or, you know, type in five or six different appointments</t>
  </si>
  <si>
    <t xml:space="preserve">She has no formal cancellation policy of her own; clients typically message her personally through Rover if they need to cancel rather than just cancelling silently, and Rover also sends her an automatic notification when a booking is cancelled ("they usually just contact me through Rover" and "I've got a message from Rover saying you know this has been cancelled").</t>
  </si>
  <si>
    <t xml:space="preserve">they usually just contact me through Rover</t>
  </si>
  <si>
    <t xml:space="preserve">When a client sends him a message, the app automatically soft-blocks those calendar dates from other sitters until he responds ("it blocks those dates off in your calendar temporarily or other people. So they can't see it until you have talked to the person.").</t>
  </si>
  <si>
    <t xml:space="preserve">it blocks those dates off in your calendar temporarily or other people. So they can't see it until you have talked to the person.</t>
  </si>
  <si>
    <t xml:space="preserve">He would prefer the dates not be blocked at all until he has actively engaged with the request and agreed to take it ("at least not not block it off till I engage with the message and say like I would like to take this").</t>
  </si>
  <si>
    <t xml:space="preserve">at least not not block it off till I engage with the message and say like I would like to take this</t>
  </si>
  <si>
    <t xml:space="preserve">He worries that if he doesn't see a large booking request for a few days, it could cost him that booking or affect his schedule down the line ("it would be more manageable for me especially like if someone sends me a message for a big booking that I don't see for a few days").</t>
  </si>
  <si>
    <t xml:space="preserve">it would be more manageable for me especially like if someone sends me a message for a big booking that I don't see for a few days</t>
  </si>
  <si>
    <t xml:space="preserve">He described a case where a client booked him because their regular sitter was already committed to another stay; when that regular sitter's schedule later opened up and reached out to the client again, Drew was left uncertain whether the client would switch back and described discomfort with the situation without saying how it was ultimately resolved ("it's a whole kettle of fish that I don't know what to do with"; "I was sitting a dog because someone else their regular sitter had a temporary stay and they're like oh well they're already booked up so they found somebody else").</t>
  </si>
  <si>
    <t xml:space="preserve">I was sitting a dog because someone else their regular sitter had a temporary stay and they're like oh well they're already booked up so they found somebody else</t>
  </si>
  <si>
    <t xml:space="preserve">His own calendar management is minimal since he rarely has to block off dates, and he mostly updates availability when prompted by an app reminder ("I basically just hit confirm availab I don't have a lot going on so there's very few days that I have to block off").</t>
  </si>
  <si>
    <t xml:space="preserve">I basically just hit confirm availab I don't have a lot going on so there's very few days that I have to block off</t>
  </si>
  <si>
    <t xml:space="preserve">He checks the app mainly about once a day, prompted by notifications, rather than proactively ("I check it you know maybe once a day uh when there's a a notification").</t>
  </si>
  <si>
    <t xml:space="preserve">I check it you know maybe once a day uh when there's a a notification</t>
  </si>
  <si>
    <t xml:space="preserve">If a client liked her at the meet-and-greet, they confirm the booking directly on the Rover app ("like you, they will confirm the booking on the app"), and she said this reliably follows a good meet-and-greet ("I've never had anyone not book me once we meet").</t>
  </si>
  <si>
    <t xml:space="preserve">I've never had anyone not book me once we meet</t>
  </si>
  <si>
    <t xml:space="preserve">Occasionally a client books her and then cancels, honestly telling her they found someone to do the job for free instead ("they found someone who would do it for nothing," "which they're very honest about"), and she accepts this without complaint.</t>
  </si>
  <si>
    <t xml:space="preserve">which they're very honest about</t>
  </si>
  <si>
    <t xml:space="preserve">She manages her actual schedule through Google Calendar rather than Rover's in-app booking texts, using color-coding to distinguish appointments ("Google calendars is great"; "So you color code it"; "Everything's colorcoded so I know what what it's" for).</t>
  </si>
  <si>
    <t xml:space="preserve">Google calendars is great</t>
  </si>
  <si>
    <t xml:space="preserve">She also uses Google's alarm/clock feature to make sure she gets to each appointment on time ("Google alarms, the clock to set off so I know remember to go to each next appointment").</t>
  </si>
  <si>
    <t xml:space="preserve">Google alarms, the clock to set off so I know remember to go to each next appointment</t>
  </si>
  <si>
    <t xml:space="preserve">She explicitly does not rely on Rover's automatic booking-reminder texts for her scheduling, treating her calendar as the single source of truth instead ("I don't use my text messages for my bookings I use the calendar").</t>
  </si>
  <si>
    <t xml:space="preserve">I don't use my text messages for my bookings I use the calendar</t>
  </si>
  <si>
    <t xml:space="preserve">She strongly supports the idea of Rover's calendar syncing directly with an outside calendar app, a feature she does not currently have ("That would be fabulous. Yes, I totally agree with that. Totally.").</t>
  </si>
  <si>
    <t xml:space="preserve">That would be fabulous. Yes, I totally agree with that. Totally.</t>
  </si>
  <si>
    <t xml:space="preserve">During high-volume stretches, such as six households around one Christmas, she assigns each client their own non-overlapping time slot so no one is neglected ("I scheduled everyone to a specific time. So this way nobody gets left out or neglected").</t>
  </si>
  <si>
    <t xml:space="preserve">I scheduled everyone to a specific time. So this way nobody gets left out or neglected</t>
  </si>
  <si>
    <t xml:space="preserve">She said she has never had a scheduling conflict between different clients' bookings ("Um, no. I never had that problem").</t>
  </si>
  <si>
    <t xml:space="preserve">Um, no. I never had that problem</t>
  </si>
  <si>
    <t xml:space="preserve">Rover requires mutual confirmation to finalize a booking — she has to book it and the client has to confirm, or vice versa ("Rover has um like a double book thing. So, I have to book it and they have to confirm booking or vice versa.").</t>
  </si>
  <si>
    <t xml:space="preserve">Rover has um like a double book thing. So, I have to book it and they have to confirm booking or vice versa.</t>
  </si>
  <si>
    <t xml:space="preserve">She says anyone can decline the booking if changes are needed for whatever reason ("anyone can decline it if for whatever reason we need to make changes.").</t>
  </si>
  <si>
    <t xml:space="preserve">anyone can decline it if for whatever reason we need to make changes.</t>
  </si>
  <si>
    <t xml:space="preserve">She describes the booking process overall as pretty straightforward ("Yeah, it's pretty straightforward.").</t>
  </si>
  <si>
    <t xml:space="preserve">Yeah, it's pretty straightforward.</t>
  </si>
  <si>
    <t xml:space="preserve">She manages her calendar through Rover's built-in calendar and syncs it to her phone calendar so she can see all her bookings there ("the Rover calendar you can sync up with your like phone calendar.").</t>
  </si>
  <si>
    <t xml:space="preserve">the Rover calendar you can sync up with your like phone calendar.</t>
  </si>
  <si>
    <t xml:space="preserve">She can also manually block off her own calendar in advance, for example for a vacation or when she doesn't want a dog ("Rover has a built-in calendar and they'll block off when I have bookings. It'll block things off and I can block off my own time if I'm going on vacation or if I don't want dog or something.").</t>
  </si>
  <si>
    <t xml:space="preserve">Rover has a built-in calendar and they'll block off when I have bookings. It'll block things off and I can block off my own time if I'm going on vacation or if I don't want dog or something.</t>
  </si>
  <si>
    <t xml:space="preserve">She describes a past bug, lasting multiple months, where the date entered for scheduling a meet and greet in the chat would shift to the day before every time; she believes this has since been fixed ("there was a long period of time like multiple months I think where the date would always you would put in the date but it would like change to the day before every time you put the date and so it would always be wrong. Um, and that was very annoying. I think they fixed it now.").</t>
  </si>
  <si>
    <t xml:space="preserve">there was a long period of time like multiple months I think where the date would always you would put in the date but it would like change to the day before every time you put the date and so it would always be wrong. Um, and that was very annoying. I think they fixed it now.</t>
  </si>
  <si>
    <t xml:space="preserve">She says a scheduled meet and greet can't simply be cancelled — it has to be rescheduled, or the whole booking cancelled instead ("you can't just cancel a meet and greet. You have to reschedu it or like cancel the booking").</t>
  </si>
  <si>
    <t xml:space="preserve">you can't just cancel a meet and greet. You have to reschedu it or like cancel the booking</t>
  </si>
  <si>
    <t xml:space="preserve">She also says the calendar sync between Rover and her phone calendar sometimes doesn't work out properly ("sometimes the calendar sync doesn't quite work out.").</t>
  </si>
  <si>
    <t xml:space="preserve">sometimes the calendar sync doesn't quite work out.</t>
  </si>
  <si>
    <t xml:space="preserve">A separate, ongoing issue is that when a booking is made, the calendar entry turns yellow rather than automatically red (blocked), so she has to manually change it, and she says she often forgets to do so ("if I make a booking it like puts it in the calendar but makes it yellow and then if and then I can go in and change that to like red which means no one else can book over that time. But if I'm if I say that I can only have one dog at a time, which my profile does, and I book something and it turns it should automatically turn red rather than because now I have to go back and change it from yellow to red. That's very annoying because I forget to do it.").</t>
  </si>
  <si>
    <t xml:space="preserve">if I make a booking it like puts it in the calendar but makes it yellow and then if and then I can go in and change that to like red which means no one else can book over that time. But if I'm if I say that I can only have one dog at a time, which my profile does, and I book something and it turns it should automatically turn red rather than because now I have to go back and change it from yellow to red. That's very annoying because I forget to do it.</t>
  </si>
  <si>
    <t xml:space="preserve">As a result, she says clients have asked her to sit when she was actually already booked, because Rover still showed her as available ("I'm already booked that day, but Rover says I'm still available even though it knows it's that I'm not.").</t>
  </si>
  <si>
    <t xml:space="preserve">I'm already booked that day, but Rover says I'm still available even though it knows it's that I'm not.</t>
  </si>
  <si>
    <t xml:space="preserve">She has asked Rover to auto-block her calendar when a booking is made instead of requiring the manual yellow-to-red change ("I have put in a request to Rover to autoblock off my calendar.").</t>
  </si>
  <si>
    <t xml:space="preserve">I have put in a request to Rover to autoblock off my calendar.</t>
  </si>
  <si>
    <t xml:space="preserve">sitter-support-resources</t>
  </si>
  <si>
    <t xml:space="preserve">She says Rover's response to her request was that it was "interesting feedback," after which she asked them to log it as an enhancement request for a future fix ("they responded to my like help request, but they just said, "Oh, that's interesting feedback. Thank you." Yeah. I put I was like, "Can you make it an enhancement request? Something to fix in the future?"").</t>
  </si>
  <si>
    <t xml:space="preserve">they responded to my like help request, but they just said, "Oh, that's interesting feedback. Thank you." Yeah. I put I was like, "Can you make it an enhancement request? Something to fix in the future?"</t>
  </si>
  <si>
    <t xml:space="preserve">Rover checks her calendar automatically for boarding-date conflicts before a request reaches her; she separately double-checks her own personal calendar for dog-training scheduling conflicts on those dates ("I know that Rover already checked that I don't have dogs on that date from Rover. So the only thing is I double check with my personal calendar if I don't have many trainings already scheduled").</t>
  </si>
  <si>
    <t xml:space="preserve">I know that Rover already checked that I don't have dogs on that date from Rover</t>
  </si>
  <si>
    <t xml:space="preserve">Once she's decided to accept, booking itself is simple — she clicks to book and that's it ("I just book the client. You just click book and and that's it").</t>
  </si>
  <si>
    <t xml:space="preserve">I just book the client. You just click book and and that's it</t>
  </si>
  <si>
    <t xml:space="preserve">She said this stage overall feels solid with nothing specific to flag for Rover to fix ("I think this part is pretty pretty solid").</t>
  </si>
  <si>
    <t xml:space="preserve">I think this part is pretty pretty solid</t>
  </si>
  <si>
    <t xml:space="preserve">Rover has a calendar that marks different days in different colors according to his bookings, and lets him expand a job or mark off his availability ("Rover has a good a pretty good calendar that different days are marked different colors according to what you have that day").</t>
  </si>
  <si>
    <t xml:space="preserve">Rover has a good a pretty good calendar that different days are marked different colors according to what you have that day</t>
  </si>
  <si>
    <t xml:space="preserve">He also exports his Rover schedule to Google Calendar on his phone ("we also have it exported to uh like Google like Google calendar within my phone").</t>
  </si>
  <si>
    <t xml:space="preserve">we also have it exported to uh like Google like Google calendar within my phone</t>
  </si>
  <si>
    <t xml:space="preserve">In addition to digital tools, he keeps a physical dry-erase calendar by the front door and personally needs to write things down or they'll slip his mind ("we have like a dry dry erase calendar that we just kind of write notes on just hanging by the front door"; "I personally need to sometimes I have to physically write something down").</t>
  </si>
  <si>
    <t xml:space="preserve">I personally need to sometimes I have to physically write something down</t>
  </si>
  <si>
    <t xml:space="preserve">A client's request has to specify particular days and times for the job ("They have to do days and times"), which also determines how the job is billed (see Payments and earnings).</t>
  </si>
  <si>
    <t xml:space="preserve">They have to do days and times</t>
  </si>
  <si>
    <t xml:space="preserve">Booking lead time varies -- he's had jobs booked as far as six months in advance ("We've had we've booked a few jobs like six months ahead of time").</t>
  </si>
  <si>
    <t xml:space="preserve">We've had we've booked a few jobs like six months ahead of time</t>
  </si>
  <si>
    <t xml:space="preserve">Other requests come with very short notice, sometimes for a stay starting that same night ("this just came up. Like, can you wash my dog for these like three or four days starting tonight").</t>
  </si>
  <si>
    <t xml:space="preserve">this just came up. Like, can you wash my dog for these like three or four days starting tonight</t>
  </si>
  <si>
    <t xml:space="preserve">She tries to get clients to confirm the booking right at the meet-and-greet itself, asking them directly whether they're ready to book ("I'll ask them if they go ahead and book it."), though clients sometimes stay noncommittal, saying they'll book later or that they're meeting with somebody else ("they'll book it later or sometimes they'll tell me they're meeting with somebody else").</t>
  </si>
  <si>
    <t xml:space="preserve">I'll ask them if they go ahead and book it.</t>
  </si>
  <si>
    <t xml:space="preserve">Earlier in the interview, asked what would help her during the before-booking or meet-and-greet stage, she said it would help if requests didn't automatically block off her calendar ("it would help if they if they didn't block off the calendar, you know").</t>
  </si>
  <si>
    <t xml:space="preserve">it would help if they if they didn't block off the calendar, you know</t>
  </si>
  <si>
    <t xml:space="preserve">Later, describing her ideal pet-sitting platform, she raised the calendar issue again in more detail: marking herself unavailable automatically blocks the calendar rather than leaving that control to her ("it will automatically block off the calendar, which is not great because I think that should be left up to the user"), and a pending, not-yet-booked request hides her from search results for those dates, which she said she doesn't like ("people will not find you in a search those dates. I'm sorry. I don't I don't like that.").</t>
  </si>
  <si>
    <t xml:space="preserve">people will not find you in a search those dates. I'm sorry. I don't I don't like that.</t>
  </si>
  <si>
    <t xml:space="preserve">She uses Rover's in-app calendar to track which days are already booked ("can mark all the days that you have already booked there").</t>
  </si>
  <si>
    <t xml:space="preserve">can mark all the days that you have already booked there</t>
  </si>
  <si>
    <t xml:space="preserve">When she has a personal commitment, she marks that day unavailable in the app so it isn't booked ("what I do is to go into the app and mark the day as unavailable").</t>
  </si>
  <si>
    <t xml:space="preserve">what I do is to go into the app and mark the day as unavailable</t>
  </si>
  <si>
    <t xml:space="preserve">She has synced her Rover calendar with her personal calendar for easier tracking ("do have synchronized that calendar with uh my" [personal calendar]).</t>
  </si>
  <si>
    <t xml:space="preserve">do have synchronized that calendar with uh my</t>
  </si>
  <si>
    <t xml:space="preserve">Booking length varies with the client's travel plans -- a client going to Europe, for example, might need her for around one to two weeks or even a month ("there is people who wants to go to Europe. So probably it's going to take at least three weeks to have them back in the city. So that's the time that I usually have them like around one week or maybe two weeks, sometimes a month").</t>
  </si>
  <si>
    <t xml:space="preserve">there is people who wants to go to Europe. So probably it's going to take at least three weeks to have them back in the city. So that's the time that I usually have them like around one week or maybe two weeks, sometimes a month</t>
  </si>
  <si>
    <t xml:space="preserve">Some regulars book her on a pattern of specific days each week -- she describes one client's dog, Bella, as usually dropped off on certain days, though she isn't fully sure of the owner's own schedule ("she leaves her like on Wednesdays and maybe Saturdays. I'm not sure if she goes to the" [island to work, or somewhere else]).</t>
  </si>
  <si>
    <t xml:space="preserve">she leaves her like on Wednesdays and maybe Saturdays. I'm not sure if she goes to the</t>
  </si>
  <si>
    <t xml:space="preserve">After the meet-and-greet, she follows up with a standard message telling the client there's "no. pressure on your end. If you're meeting other sitters, please go ahead and do so. Um, you have 72 hours to decide."</t>
  </si>
  <si>
    <t xml:space="preserve">no. pressure on your end. If you're meeting other sitters, please go ahead and do so. Um, you have 72 hours to decide.</t>
  </si>
  <si>
    <t xml:space="preserve">The gap between the meet-and-greet/booking request and the actual sit varies widely, from about a day up to six months out ("sometimes there's only set like a day, 7 days, sometimes there's like six months before.").</t>
  </si>
  <si>
    <t xml:space="preserve">sometimes there's only set like a day, 7 days, sometimes there's like six months before.</t>
  </si>
  <si>
    <t xml:space="preserve">She uses Google Calendar as her central scheduling hub, with the Rover app feeding bookings into it directly ("I organize by Google calendar um and Rover app um feeds into my Google calendar").</t>
  </si>
  <si>
    <t xml:space="preserve">I organize by Google calendar um and Rover app um feeds into my Google calendar</t>
  </si>
  <si>
    <t xml:space="preserve">She color-codes her Google Calendar to separate her private (non-Rover) clients from Rover clients ("the other 10% of clients that are private I just have a different color code for in my Google").</t>
  </si>
  <si>
    <t xml:space="preserve">the other 10% of clients that are private I just have a different color code for in my Google</t>
  </si>
  <si>
    <t xml:space="preserve">She finds Rover's in-app calendar clear and well organized for tracking day-to-day and upcoming/pending bookings ("Rover's calendar is like super clearcut. There's a like a dayto-day calendar um that you can click on like for your like it says house sitting or whatever.").</t>
  </si>
  <si>
    <t xml:space="preserve">Rover's calendar is like super clearcut. There's a like a dayto-day calendar um that you can click on like for your like it says house sitting or whatever.</t>
  </si>
  <si>
    <t xml:space="preserve">She keeps a strict 5-mile service radius to avoid driving more than she's working, since "if you go more than 5 miles it's of more than like a 15-minute drive and then I'm driving more than I'm working."</t>
  </si>
  <si>
    <t xml:space="preserve">if you go more than 5 miles it's of more than like a 15-minute drive and then I'm driving more than I'm working.</t>
  </si>
  <si>
    <t xml:space="preserve">A recurring frustration is that "Rover will send you requests that are outside of your availability. Um, so then I'm having to tell clients I'm not available, which kind of hurts."</t>
  </si>
  <si>
    <t xml:space="preserve">Rover will send you requests that are outside of your availability. Um, so then I'm having to tell clients I'm not available, which kind of hurts.</t>
  </si>
  <si>
    <t xml:space="preserve">She keeps her own Google Calendar for day-to-day tracking of when dogs are coming and going, but doesn't track headcount there — she relies on Rover's own calendar for that ("I don't put in my Google calendar how many dogs I have. Um, I let Rover do that").</t>
  </si>
  <si>
    <t xml:space="preserve">I don't put in my Google calendar how many dogs I have. Um, I let Rover do that</t>
  </si>
  <si>
    <t xml:space="preserve">She finds Google Calendar much better than Rover's calendar for getting an overview of bookings, whereas Rover requires clicking into each day individually ("Google Calendar is way better at like giving me a snapshot whereas Rover is frustrating because you have to click in and you know you see a little bit and you have to go day by day").</t>
  </si>
  <si>
    <t xml:space="preserve">Google Calendar is way better at like giving me a snapshot whereas Rover is frustrating because you have to click in and you know you see a little bit and you have to go day by day</t>
  </si>
  <si>
    <t xml:space="preserve">She describes a specific Rover calendar bug where the display sometimes only shows one side of a drop-off/pick-up time window instead of the full range ("the times are sort of like I've gotten messed up because like it'll only show one of the times instead of the whole time window"), which she says means Rover's calendar doesn't satisfy what she needs for tracking pickups and drop-offs.</t>
  </si>
  <si>
    <t xml:space="preserve">the times are sort of like I've gotten messed up because like it'll only show one of the times instead of the whole time window</t>
  </si>
  <si>
    <t xml:space="preserve">She deliberately avoids booking during days she plans to be away, such as a recent July 4th trip, saying she and a former tenant used to cover bookings for each other while traveling but that she now simply skips booking those days herself ("I do go out of town for the holidays and I used to like my tenant and I used to cover for each other, but now uh you know, I'll just don't book those days").</t>
  </si>
  <si>
    <t xml:space="preserve">I do go out of town for the holidays and I used to like my tenant and I used to cover for each other, but now uh you know, I'll just don't book those days</t>
  </si>
  <si>
    <t xml:space="preserve">Looking ahead, she'd want a redesigned, more visually descriptive Rover calendar that could genuinely help her plan her day, rather than the current version ("I would love a more visually descriptive calendar and you know something that could actually like help me plan my day").</t>
  </si>
  <si>
    <t xml:space="preserve">I would love a more visually descriptive calendar and you know something that could actually like help me plan my day</t>
  </si>
  <si>
    <t xml:space="preserve">She updates her availability on her calendar at least twice a week: "normally like at least twice a week, I would uh update my calendar just to say that I'm available on these certain days."</t>
  </si>
  <si>
    <t xml:space="preserve">normally like at least twice a week, I would uh update my calendar just to say that I'm available on these certain days</t>
  </si>
  <si>
    <t xml:space="preserve">She uses her personal Google Calendar rather than Rover's built-in calendar as her main scheduling tool, because it automatically pulls in her other job's schedule and gives her one central view of her availability: "Because with my Google calendar, I can add my my work schedule. Like it automatically adds from my uh uh scheduling app from there. So Google calendar is just more of a central thing that I can use because calendar just shows my availability."</t>
  </si>
  <si>
    <t xml:space="preserve">Because with my Google calendar, I can add my my work schedule. Like it automatically adds from my uh uh scheduling app from there</t>
  </si>
  <si>
    <t xml:space="preserve">When told other participants wanted a Rover-calendar/Google-calendar sync, she said it would be nice to have but isn't something she personally needs given her current booking volume, since she can manage it herself: "it would be good, but I don't really like would need all of that as of right now. Like the volume of my bookings are just kind of, you know, I can I can handle it all by myself as of right now."</t>
  </si>
  <si>
    <t xml:space="preserve">it would be good, but I don't really like would need all of that as of right now</t>
  </si>
  <si>
    <t xml:space="preserve">Unlike some other participants, she has never experienced a conflict from having multiple simultaneous booking requests/chats, even when she's had more than one booking land on the same day: "No, it never happened to me actually. Like I mean I have had multiple bookings that happened on the same day, but there was never a uh like conflict between any of them."</t>
  </si>
  <si>
    <t xml:space="preserve">No, it never happened to me actually. Like I mean I have had multiple bookings that happened on the same day, but there was never a uh like conflict between any of them</t>
  </si>
  <si>
    <t xml:space="preserve">When she gets a Rover notification about a potential booking, she checks her Google calendar for an opening and responds quickly to confirm availability before asking about a meet-and-greet: "then I'll uh I'll check my Google calendar and I'll see what I have you know, scheduled and normally there is an opening, right? So, I then I respond like quickly and I say, 'Oh, yeah, I'm available.'"</t>
  </si>
  <si>
    <t xml:space="preserve">then I'll uh I'll check my Google calendar and I'll see what I have you know, scheduled and normally there is an opening, right? So, I then I respond like quickly and I say, 'Oh, yeah, I'm available.'</t>
  </si>
  <si>
    <t xml:space="preserve">While trying to land their first client, TR made a point of keeping their calendar consistently updated ("I do definitely try to keep my calendar updates").</t>
  </si>
  <si>
    <t xml:space="preserve">I do definitely try to keep my calendar updates</t>
  </si>
  <si>
    <t xml:space="preserve">TR finds Rover's built-in meet-and-greet proposal feature not very visual, since they have to click each date individually to see the time ("that's not very visualizing for me. I have to click on the date to see what time it is").</t>
  </si>
  <si>
    <t xml:space="preserve">that's not very visualizing for me. I have to click on the date to see what time it is</t>
  </si>
  <si>
    <t xml:space="preserve">TR uses Google Calendar alongside Rover's calendar because it helps them see what's coming up in the next two or three days ("I also use Google calendar on the side because it's more helps me to understand what's going to happen in two days or in three days").</t>
  </si>
  <si>
    <t xml:space="preserve">I also use Google calendar on the side because it's more helps me to understand what's going to happen in two days or in three days</t>
  </si>
  <si>
    <t xml:space="preserve">TR would like Rover's calendar to sync and automatically update their Google Calendar ("if rover calendar have a feature in which they can update my Google calendar, I think I will use it").</t>
  </si>
  <si>
    <t xml:space="preserve">if rover calendar have a feature in which they can update my Google calendar, I think I will use it</t>
  </si>
  <si>
    <t xml:space="preserve">TR notes Rover currently only sends a meet-and-greet notification 30 minutes ahead of time, and suggests sending it a day earlier since some clients may not otherwise realize it's coming ("Rover only sends notification just 30 minutes before meet and greet. But I thinking if Rover can send like uh one day earlier just to the clients because some clients may not know it").</t>
  </si>
  <si>
    <t xml:space="preserve">Rover only sends notification just 30 minutes before meet and greet</t>
  </si>
  <si>
    <t xml:space="preserve">Because of the short notice, TR has had clients forget and need to reschedule meet-and-greets multiple times ("I have a few experience in which I arrange it and then they need to reschedule it multiple times because they say they cannot make it like 30 minutes before the meet and greet").</t>
  </si>
  <si>
    <t xml:space="preserve">I have a few experience in which I arrange it and then they need to reschedule it multiple times because they say they cannot make it like 30 minutes before the meet and greet</t>
  </si>
  <si>
    <t xml:space="preserve">TR describes a scheduling frustration where Rover keeps sending booking requests even after they've marked themselves unavailable on the calendar ("a lot of time I mark myself as unavailable... and then the the platform would still give me request... I already mark myself as unavailable. Why you still send me people that's need to book this time?").</t>
  </si>
  <si>
    <t xml:space="preserve">a lot of time I mark myself as unavailable</t>
  </si>
  <si>
    <t xml:space="preserve">Outside of the Rover app, TR occasionally calls a phone number in case of emergency but doesn't use any other outside tools for booking logistics ("Occasionally I need to call the phone number just in case emergency comes up but I don't think I use any other tools outside robber").</t>
  </si>
  <si>
    <t xml:space="preserve">Occasionally I need to call the phone number just in case emergency comes up but I don't think I use any other tools outside robber</t>
  </si>
  <si>
    <t xml:space="preserve">She manages all of her scheduling, both Rover and private, through her own phone scheduler app rather than a shared or synced calendar ('it's mostly it's just all done on my scheduler app').</t>
  </si>
  <si>
    <t xml:space="preserve">it's mostly it's just all done on my scheduler app</t>
  </si>
  <si>
    <t xml:space="preserve">The Rover calendar blocks off days for housesitting and boarding but doesn't visually distinguish which service type is blocking a given day, and she wants a colored-line system to see it at a glance ('I wish they had like a system where it was like a line of um like a colored line that goes through to show what you're doing').</t>
  </si>
  <si>
    <t xml:space="preserve">I wish they had like a system where it was like a line of um like a colored line that goes through to show what you're doing</t>
  </si>
  <si>
    <t xml:space="preserve">Drop-ins and doggy daycare don't block her calendar the way housesitting and boarding do, but Rover's calendar doesn't make that distinction visually clear, which has caused her to accidentally try to book over an already-committed day ('housesitting blocks me off for no housesitting jobs, right? But if I'm doing dropins, that doesn't block me from anything... it just looks the same'; 'I've been like, Oh, cool. That day is open. And then I'll be like, Hey, let's schedule that. And then later I'm like, Oh crap, I didn't see that').</t>
  </si>
  <si>
    <t xml:space="preserve">I've been like, Oh, cool. That day is open. And then I'll be like, Hey, let's schedule that. And then later I'm like, Oh crap, I didn't see that</t>
  </si>
  <si>
    <t xml:space="preserve">She doesn't currently use her phone's built-in calendar or Google Calendar, but would be open to a Rover integration with an external calendar if it existed ('I actually don't use a Google calendar'; 'if Rover had that option and maybe I would like that more... I'm not against that').</t>
  </si>
  <si>
    <t xml:space="preserve">if Rover had that option and maybe I would like that more</t>
  </si>
  <si>
    <t xml:space="preserve">Sitting preparation</t>
  </si>
  <si>
    <t xml:space="preserve">She keeps a physical "blue notebook" in which she writes down details from every meet-and-greet, including addresses, house codes, feeding schedules, and medication, while the owner talks and as she walks around the house ("Every time I get do a meet and greet, I write everything down in that" and "I know addresses um I know house codes, you know, um I know feeding schedules, uh medication, all that").</t>
  </si>
  <si>
    <t xml:space="preserve">I know addresses um I know house codes, you know, um I know feeding schedules, uh medication, all that</t>
  </si>
  <si>
    <t xml:space="preserve">Even though she feels Rover organizes pet, medication, and owner-instruction information reasonably well within a client's profile ("I think it's pretty well organized"), she sometimes finds herself scrolling back through the Rover message thread to re-find that information instead of going straight to the organized section ("I tend to be like scrolling through the messages looking for information when I probably could just be going").</t>
  </si>
  <si>
    <t xml:space="preserve">I tend to be like scrolling through the messages looking for information when I probably could just be going</t>
  </si>
  <si>
    <t xml:space="preserve">He uses the app's auto-generated printable pet-info page and posts it on his fridge for reference during a stay ("it generates a page that you can send to a printer").</t>
  </si>
  <si>
    <t xml:space="preserve">it generates a page that you can send to a printer</t>
  </si>
  <si>
    <t xml:space="preserve">For one especially complex case, an elderly, sick 15-pound Chihuahua needing four medications at different times a day, he combined the fridge sheet with phone alerts to keep track ("one very elderly sick 15 pound Chihuahua that needed like four different medicines at different times throughout the day").</t>
  </si>
  <si>
    <t xml:space="preserve">one very elderly sick 15 pound Chihuahua that needed like four different medicines at different times throughout the day</t>
  </si>
  <si>
    <t xml:space="preserve">Most dogs he sits for have simple needs, well short of that level of complexity ("I have not had any dogs that are really more complicated than needs two scoops of food twice a day").</t>
  </si>
  <si>
    <t xml:space="preserve">I have not had any dogs that are really more complicated than needs two scoops of food twice a day</t>
  </si>
  <si>
    <t xml:space="preserve">He frequently finds owner-submitted pet profiles incomplete, missing things like emergency vet contact or daily routine, because the app doesn't require those fields ("A lot of times there's stuff that's missing like a lot like you know sometimes they won't have their emergency vet or sometimes they won't have just like you what is this dog's daily routine in there").</t>
  </si>
  <si>
    <t xml:space="preserve">A lot of times there's stuff that's missing like a lot like you know sometimes they won't have their emergency vet or sometimes they won't have just like you what is this dog's daily routine in there</t>
  </si>
  <si>
    <t xml:space="preserve">He wishes more clients filled out the full dog-information profile so he wouldn't have to gather it himself ("there would be great if more people filled out all of the my dog information").</t>
  </si>
  <si>
    <t xml:space="preserve">there would be great if more people filled out all of the my dog information</t>
  </si>
  <si>
    <t xml:space="preserve">To fill the gaps, he asks about behavior quirks and eating schedule directly at the meet-and-greet or drop-off, then keeps his own separate notes on his phone ("I just jot down on my my notes app").</t>
  </si>
  <si>
    <t xml:space="preserve">I just jot down on my my notes app</t>
  </si>
  <si>
    <t xml:space="preserve">He is unsure whether Rover has a private notes feature for sitters to keep track of client/dog details themselves, and thinks it would be useful if it existed ("I don't know if there is a note feature").</t>
  </si>
  <si>
    <t xml:space="preserve">I don't know if there is a note feature</t>
  </si>
  <si>
    <t xml:space="preserve">She gathers care details from owners either through what they write down themselves or by asking directly, and for complex cases enters detailed instructions into her phone so she remembers them, such as a cat's insulin schedule ("Sometimes humans will write it all down"; "I put it all into my Google phone").</t>
  </si>
  <si>
    <t xml:space="preserve">I put it all into my Google phone</t>
  </si>
  <si>
    <t xml:space="preserve">She routinely asks up front about allergies, foods the pet can't eat, and any medical conditions ("I always ask um if they have allergies, if there's anything they can't eat, their medical condition").</t>
  </si>
  <si>
    <t xml:space="preserve">I always ask um if they have allergies, if there's anything they can't eat, their medical condition</t>
  </si>
  <si>
    <t xml:space="preserve">She wants Rover to provide printable instructions for administering medication, since she frequently has to medicate pets and currently has to work it out largely on her own ("that would be fabulous if they could print out" "instructions on how to give um animals medication, which I do a lot of unfortunately because they get sick").</t>
  </si>
  <si>
    <t xml:space="preserve">instructions on how to give um animals medication, which I do a lot of unfortunately because they get sick</t>
  </si>
  <si>
    <t xml:space="preserve">She mentioned Rover used to have a database sitters could use to ask pet-care questions, but said she hasn't used it in a long time and doesn't feel she needs it given her experience, preferring to ask the pet's owner directly when she has questions ("they used to have a database where you could ask all kinds of questions about dog sitting. I'm I'm pretty knowledgeable at this stage. So, I haven't had that need. If if I have questions, I normally ask the owner what would they like me to do.").</t>
  </si>
  <si>
    <t xml:space="preserve">they used to have a database where you could ask all kinds of questions about dog sitting. I'm I'm pretty knowledgeable at this stage. So, I haven't had that need. If if I have questions, I normally ask the owner what would they like me to do.</t>
  </si>
  <si>
    <t xml:space="preserve">She says the most important thing she needs once a booking is confirmed is written care instructions, which she can follow ("I just need instructions. Like I, especially when people provide just a list of written instructions, I can follow instructions.").</t>
  </si>
  <si>
    <t xml:space="preserve">I just need instructions. Like I, especially when people provide just a list of written instructions, I can follow instructions.</t>
  </si>
  <si>
    <t xml:space="preserve">Clients typically provide this in writing before or at the start of the sit, often as a document such as a PDF or Google Sheet describing their day-to-day routine ("send me a PDF or a Google sheet of here are here's a data like what our day typically looks like.").</t>
  </si>
  <si>
    <t xml:space="preserve">send me a PDF or a Google sheet of here are here's a data like what our day typically looks like.</t>
  </si>
  <si>
    <t xml:space="preserve">She needs to know feeding times, since some dogs eat at specific times and others just graze whenever they're hungry ("I have some dogs that eat at specific times, some that eat, you know, just whenever they'll graze when they're hungry.").</t>
  </si>
  <si>
    <t xml:space="preserve">I have some dogs that eat at specific times, some that eat, you know, just whenever they'll graze when they're hungry.</t>
  </si>
  <si>
    <t xml:space="preserve">She also needs to know the dog's walking routine — whether they go on long walks or just short walks and sniffs ("What does their walking look like? Do they go on long walks? Are they just like short quick walks or sniffs").</t>
  </si>
  <si>
    <t xml:space="preserve">What does their walking look like? Do they go on long walks? Are they just like short quick walks or sniffs</t>
  </si>
  <si>
    <t xml:space="preserve">For dogs on medication, she needs to know exactly when they need to take it ("um take meds that I need to know like exactly when they need to take their medication, how etc.").</t>
  </si>
  <si>
    <t xml:space="preserve">um take meds that I need to know like exactly when they need to take their medication, how etc.</t>
  </si>
  <si>
    <t xml:space="preserve">She notes Rover's own profile already includes some standard built-in questions, like how long the dog can be left alone and how often they need to go out to potty ("A robber has like a couple of standard questions like how can this dog be left alone for how long? How often do they need to be out to potty?").</t>
  </si>
  <si>
    <t xml:space="preserve">A robber has like a couple of standard questions like how can this dog be left alone for how long? How often do they need to be out to potty?</t>
  </si>
  <si>
    <t xml:space="preserve">Even so, she says it's more helpful when clients write up their actual regular routine so she can align herself with it as much as possible ("more helpful for the people to just like give me a write up of what exactly their regular routine is so I can try to align myself with that as much as possible.").</t>
  </si>
  <si>
    <t xml:space="preserve">more helpful for the people to just like give me a write up of what exactly their regular routine is so I can try to align myself with that as much as possible.</t>
  </si>
  <si>
    <t xml:space="preserve">daily-care-tasks</t>
  </si>
  <si>
    <t xml:space="preserve">If her own work takes precedence, she says they'll make adjustments to the routine as needed ("if I have work that takes precedence so we'll we'll make adjustments if we need to.").</t>
  </si>
  <si>
    <t xml:space="preserve">if I have work that takes precedence so we'll we'll make adjustments if we need to.</t>
  </si>
  <si>
    <t xml:space="preserve">She says she doesn't typically have many challenges with the actual dog sitting itself — it's more about knowing what's expected of her as part of the dog's routine ("the actual dogs sitting, I don't typically have very many challenges, I would say. Um it's more about knowing what what it is that they expect me to do as part of the routine.").</t>
  </si>
  <si>
    <t xml:space="preserve">the actual dogs sitting, I don't typically have very many challenges, I would say. Um it's more about knowing what what it is that they expect me to do as part of the routine.</t>
  </si>
  <si>
    <t xml:space="preserve">She asks owners to bring items that smell like home — the dog's favorite toy, and a shirt or sock if the dog is especially anxious — because boarding in a new environment is stressful for dogs ("boarding is a stressful process for dogs... bring a couple things that smell like your dog").</t>
  </si>
  <si>
    <t xml:space="preserve">boarding is a stressful process for dogs</t>
  </si>
  <si>
    <t xml:space="preserve">She already provides a dog bed, bowls, and plates, so she only asks owners to bring the dog's food and medications ("I already have the bowls and plates. So they usually bring the dog's food and any medications that they take.").</t>
  </si>
  <si>
    <t xml:space="preserve">I already have the bowls and plates. So they usually bring the dog's food and any medications that they take.</t>
  </si>
  <si>
    <t xml:space="preserve">She always asks whether the dog has any food or environmental allergies, so as not to add unnecessary stress ("I always ask if the dog has any allergies").</t>
  </si>
  <si>
    <t xml:space="preserve">I always ask if the dog has any allergies</t>
  </si>
  <si>
    <t xml:space="preserve">She requires the owner's step-by-step routine in writing via the in-app messaging — even repeating the request at drop-off if it wasn't already sent — because she has many clients and can't rely on memory ("can you just send it written for me, uh, the times in which your dog wakes up").</t>
  </si>
  <si>
    <t xml:space="preserve">can you just send it written for me, uh, the times in which your dog wakes up</t>
  </si>
  <si>
    <t xml:space="preserve">Nervous owners are allowed to come up and see where the dog will be staying before drop-off, if they want that reassurance ("some owners are nervous. So if they want, they can come up and see where I live and bring their dog up").</t>
  </si>
  <si>
    <t xml:space="preserve">some owners are nervous. So if they want, they can come up and see where I live and bring their dog up</t>
  </si>
  <si>
    <t xml:space="preserve">He usually doesn't need extra information from clients before a sit starts, because after so many sittings and boardings he and his wife have already encountered nearly every issue that could come up, and they ask ahead of time about anything they'd be concerned about ("usually usually no because after having done so many dog sittings and boardings, we've encountered pretty much every issue that could come up"; "we usually ask ahead of time if there's something that I would be concerned about").</t>
  </si>
  <si>
    <t xml:space="preserve">usually usually no because after having done so many dog sittings and boardings, we've encountered pretty much every issue that could come up</t>
  </si>
  <si>
    <t xml:space="preserve">By the time a job actually starts, it's rare for anything pressing or unexpected to come up, aside from occasional things like a dog eating something unusual ("by the time the job comes around, it's pretty rare that anything pressing comes up, you know, unless a dog eats something weird").</t>
  </si>
  <si>
    <t xml:space="preserve">by the time the job comes around, it's pretty rare that anything pressing comes up</t>
  </si>
  <si>
    <t xml:space="preserve">Not discussed in this interview.</t>
  </si>
  <si>
    <t xml:space="preserve">For bookings made well in advance, she reaches out seven days prior to confirm there have been no food, medication, or bathroom-routine changes, since conditions can shift quickly for elderly pets or puppies ("I'll reach out to the client seven days prior to the booking and like touch base with them to make sure there's no changes cuz sometimes like elderly dogs there's like a lot of changes or like puppies there's a lot of changes cuz there's a lot of growth in between. So sometimes there's food changes, medication changes, um, bathroom type changes.").</t>
  </si>
  <si>
    <t xml:space="preserve">I'll reach out to the client seven days prior to the booking and like touch base with them to make sure there's no changes cuz sometimes like elderly dogs there's like a lot of changes or like puppies there's a lot of changes cuz there's a lot of growth in between. So sometimes there's food changes, medication changes, um, bathroom type changes.</t>
  </si>
  <si>
    <t xml:space="preserve">As part of that pre-sit check-in, she arranges a "way to pick up the key if I haven't already gotten the key.", and asks about door or garage codes.</t>
  </si>
  <si>
    <t xml:space="preserve">way to pick up the key if I haven't already gotten the key.</t>
  </si>
  <si>
    <t xml:space="preserve">She asks clients to leave a hidden backup key somewhere on the property even if she already has a key or a code, in case "batteries die, electricity goes out, that sort of thing just to make sure that there's a way to get into the house."</t>
  </si>
  <si>
    <t xml:space="preserve">batteries die, electricity goes out, that sort of thing just to make sure that there's a way to get into the house.</t>
  </si>
  <si>
    <t xml:space="preserve">She has been reconfiguring her home's layout and buying additional crates so she can safely keep dogs who don't know each other separated as she takes on more dogs ("I'm more so refiguring out where I'm keeping everyone because they don't know each other, so they need to be separate").</t>
  </si>
  <si>
    <t xml:space="preserve">I'm more so refiguring out where I'm keeping everyone because they don't know each other, so they need to be separate</t>
  </si>
  <si>
    <t xml:space="preserve">She has been shifting toward smaller crates because the dogs she is currently taking skew smaller than the big dogs she used to have ("in the past I had a lot of big dogs, so I bought big crates and now I'm sort of using a smaller area of my home, so I might not be having as many big dogs").</t>
  </si>
  <si>
    <t xml:space="preserve">in the past I had a lot of big dogs, so I bought big crates and now I'm sort of using a smaller area of my home, so I might not be having as many big dogs</t>
  </si>
  <si>
    <t xml:space="preserve">Care-related logistics for a specific home (such as how something works or is accessed) get communicated to her ahead of time by the client where possible; for one long-term client's house sit, she was told in advance that the water sometimes needed to be manually pumped from downstairs. "I had a three-day house sit with the the same lady that books me full-time right but one time her water wasn't really working so I had to go downstairs and uh manually pump the water through the pipes right so that was... something that she let me know of ahead of time."</t>
  </si>
  <si>
    <t xml:space="preserve">one time her water wasn't really working so I had to go downstairs and uh manually pump the water through the pipes</t>
  </si>
  <si>
    <t xml:space="preserve">When she is unsure whether she's allowed to do something in a client's home, she checks with the owner directly rather than assuming: "I asked her if like it was good for me to do certain things at home and she was like, 'Yeah, you know, it's not crazy.'"</t>
  </si>
  <si>
    <t xml:space="preserve">I asked her if like it was good for me to do certain things at home</t>
  </si>
  <si>
    <t xml:space="preserve">Most preparation-related information (what she'll need to know to do the job) surfaces first during the meet-and-greet and continues to be confirmed through the booking itself: "everything kind of just gets uh in the meet and greet and then follow through into the booking."</t>
  </si>
  <si>
    <t xml:space="preserve">everything kind of just gets uh in the meet and greet and then follow through into the booking</t>
  </si>
  <si>
    <t xml:space="preserve">Some clients bring a printed handout of care instructions, which TR finds helpful, while others go through the information verbally or by text message ("some clients will bring a print out. Um so that's maybe helpful and some clients they just like verbally going through everything like send me a text message").</t>
  </si>
  <si>
    <t xml:space="preserve">some clients will bring a print out. Um so that's maybe helpful and some clients they just like verbally going through everything like send me a text message</t>
  </si>
  <si>
    <t xml:space="preserve">TR doesn't usually use Rover's own care-instructions fields on the profile, finding the layout not user-friendly, and instead relies on reading the owner's text messages directly ("the information layouts was a bit not that friendly... I usually I don't click on that... I just look at the owner's text message because I think the text message is actually better for me to read").</t>
  </si>
  <si>
    <t xml:space="preserve">the information layouts was a bit not that friendly</t>
  </si>
  <si>
    <t xml:space="preserve">During meet-and-greets she goes through a mental checklist of practical items with the client, including what to do in case of an emergency ('when I'm doing a meet and greet I make sure that we go through all sorts of lists of things right like hey you know what if there's an emergency').</t>
  </si>
  <si>
    <t xml:space="preserve">when I'm doing a meet and greet I make sure that we go through all sorts of lists of things right like hey you know what if there's an emergency</t>
  </si>
  <si>
    <t xml:space="preserve">She keeps no written spreadsheet or checklist of intake questions or care instructions, relying instead on a mental list of what to watch for and ask ('I don't have a spreadsheet... it's mostly just like knowing what I will and won't accept').</t>
  </si>
  <si>
    <t xml:space="preserve">I don't have a spreadsheet</t>
  </si>
  <si>
    <t xml:space="preserve">Since a medical emergency where she struggled to find a client's contact information in the app (see Service delivery for detail), she now asks every client to exchange phone numbers specifically for emergencies before a sit begins ('now since then, I always ask them, Hey, if there's an emergency, can we exchange numbers?').</t>
  </si>
  <si>
    <t xml:space="preserve">now since then, I always ask them, Hey, if there's an emergency, can we exchange numbers?</t>
  </si>
  <si>
    <t xml:space="preserve">She believes the Rover app doesn't actually support adding a client's phone number as a field, which she finds inconvenient ('I don't think it does because it won't let you put a number in there').</t>
  </si>
  <si>
    <t xml:space="preserve">I don't think it does because it won't let you put a number in there</t>
  </si>
  <si>
    <t xml:space="preserve">Service delivery</t>
  </si>
  <si>
    <t xml:space="preserve">One long-term client wants two daily visits for her cats over two-week stretches, which she says adds up to about 48 visits; she tries to negotiate the client down to one visit a day since cats usually only need one, but the client wants two and she goes along with it ("I try to talk her into one. Like, can't we just do one? Because cats usually can do one. She wants two.").</t>
  </si>
  <si>
    <t xml:space="preserve">I try to talk her into one. Like, can't we just do one? Because cats usually can do one. She wants two.</t>
  </si>
  <si>
    <t xml:space="preserve">in-sit-updates-media</t>
  </si>
  <si>
    <t xml:space="preserve">She uses Rover Cards during visits so owners can see where she walked the dog and what the dog did, including bathroom activity ("I like the Rover cards um because I can just, you know, the owner can see, you know, where where we walked, where I walked the dog, what I did with the dog, what business did the dog do, you know, all that stuff").</t>
  </si>
  <si>
    <t xml:space="preserve">I like the Rover cards um because I can just, you know, the owner can see, you know, where where we walked, where I walked the dog, what I did with the dog, what business did the dog do, you know, all that stuff</t>
  </si>
  <si>
    <t xml:space="preserve">When typing a personal message to include with a Rover Card update on her phone, the field doesn't auto-save, so she has sometimes lost long typed updates when her finger accidentally swiped the wrong spot on the screen, requiring her to retype it ("I've typed up you know lots of really nice information and then lost it because if you don't hit the save button").</t>
  </si>
  <si>
    <t xml:space="preserve">I've typed up you know lots of really nice information and then lost it because if you don't hit the save button</t>
  </si>
  <si>
    <t xml:space="preserve">She appreciates Rover's proactive safety alerts during hot weather and for high-risk brachycephalic breeds, which remind her to be mindful even though she already knows what to do ("it's nice to get that little nudge").</t>
  </si>
  <si>
    <t xml:space="preserve">it's nice to get that little nudge</t>
  </si>
  <si>
    <t xml:space="preserve">After a long stretch of visits — such as a two-week, twice-daily cat-sitting booking — she says she reaches a point of wanting to be finished, even though she also says she generally doesn't mind being busy and likes it, and that the client and animals themselves are great ("I don't mind I don't mind it. I I I like I like it. Um, but I I after a long spurt" and "It's like I just want to be. But um but on the other hand, you know, the the client is great, the animals are great.").</t>
  </si>
  <si>
    <t xml:space="preserve">I don't mind I don't mind it. I I I like I like it. Um, but I I after a long spurt</t>
  </si>
  <si>
    <t xml:space="preserve">When caring for multiple dogs at once, including different feeding schedules, he has to be careful not to mix up their routines ("this one eats once in the morning, this one eats three times. I had to make sure like I don't, you know, cross those streams").</t>
  </si>
  <si>
    <t xml:space="preserve">this one eats once in the morning, this one eats three times. I had to make sure like I don't, you know, cross those streams</t>
  </si>
  <si>
    <t xml:space="preserve">He finds messaging clients back and forth with photos during the stay has generally worked well ("being able to message back and forth um and and keeping all the photos sort of in in a message shade has worked out pretty well").</t>
  </si>
  <si>
    <t xml:space="preserve">being able to message back and forth um and and keeping all the photos sort of in in a message shade has worked out pretty well</t>
  </si>
  <si>
    <t xml:space="preserve">He is frustrated that he can't paste a photo directly into Rover's messaging and instead has to use the app's built-in photo picker ("I don't like that you can't paste a photo into the messaging part of Rover. You have to go use their photo picker").</t>
  </si>
  <si>
    <t xml:space="preserve">I don't like that you can't paste a photo into the messaging part of Rover. You have to go use their photo picker</t>
  </si>
  <si>
    <t xml:space="preserve">He disliked that photos he sent to clients were also being posted to his public sitter profile without his intending that, though he was unsure whether the app still does this ("I don't know if it's still doing it. I didn't like that it was also putting a lot of those photos just on my profile").</t>
  </si>
  <si>
    <t xml:space="preserve">I don't know if it's still doing it. I didn't like that it was also putting a lot of those photos just on my profile</t>
  </si>
  <si>
    <t xml:space="preserve">He would like an in-app prompt reminding him when a specific client wants photo updates, since clients vary in how much they want ("I would enjoy if they had like a little prompt every once in a to kind of remind you like, "Hey, this person requested photos. They'd love to get an update today."").</t>
  </si>
  <si>
    <t xml:space="preserve">I would enjoy if they had like a little prompt every once in a to kind of remind you like, "Hey, this person requested photos. They'd love to get an update today."</t>
  </si>
  <si>
    <t xml:space="preserve">During sits she sends the owner photo and text updates throughout the day describing activities and treats given ("I text with the client. Normally I send pictures. I give updates on what what we did that day").</t>
  </si>
  <si>
    <t xml:space="preserve">I text with the client. Normally I send pictures. I give updates on what what we did that day</t>
  </si>
  <si>
    <t xml:space="preserve">She uses the Rover app's start/finish buttons to log a sit, including photos and notes; she says Rover added this functionality within roughly the last three or four years and it did not exist before ("they added all of this like within the last three or four years. They never used to have all this").</t>
  </si>
  <si>
    <t xml:space="preserve">they added all of this like within the last three or four years. They never used to have all this</t>
  </si>
  <si>
    <t xml:space="preserve">The app has occasionally malfunctioned during Rover's periodic updates in the past, but she says it has been stable and reliable recently ("when the app was being transitioned when they were updating it, but not not recently. It's been fine. It's very stable right now").</t>
  </si>
  <si>
    <t xml:space="preserve">when the app was being transitioned when they were updating it, but not not recently. It's been fine. It's very stable right now</t>
  </si>
  <si>
    <t xml:space="preserve">She regularly administers medication, including insulin injections, to pets despite personally disliking needles, doing so because the owner trusts her ("I hate needles, but I do it because the guy trusts me and I want to make sure the cat's okay").</t>
  </si>
  <si>
    <t xml:space="preserve">I hate needles, but I do it because the guy trusts me and I want to make sure the cat's okay</t>
  </si>
  <si>
    <t xml:space="preserve">She develops individualized tricks to get picky or medicated animals to eat or take medication, such as hiding a pill in peanut butter for one dog ("Boo likes peanut butter so it's easier to give his pill in the peanut butter") or wrapping food in chicken for another ("So I wrap it in chicken and he'll eat it").</t>
  </si>
  <si>
    <t xml:space="preserve">Boo likes peanut butter so it's easier to give his pill in the peanut butter</t>
  </si>
  <si>
    <t xml:space="preserve">For a finicky eater (a dog she calls Azie, who needed a lot of medication after early operations), she also uses play to coax him into eating, pretending to eat his food herself to prompt him ("I play with him. I tease him. I'm like, 'I'm eating your food.' And I get the dog to eat. No, that's my food. you know, and it goes back and forth just like a child basically.").</t>
  </si>
  <si>
    <t xml:space="preserve">I play with him. I tease him. I'm like, 'I'm eating your food.' And I get the dog to eat.</t>
  </si>
  <si>
    <t xml:space="preserve">She experienced repeated difficulty gaining building access for one cat-sitting client, having to call multiple times before being let in ("I had to call two or three times"; "you don't let me in the building. That's that's difficult").</t>
  </si>
  <si>
    <t xml:space="preserve">I had to call two or three times</t>
  </si>
  <si>
    <t xml:space="preserve">She generally defers to each specific owner's preferences during the sit, such as whether or not to visit the dog park, rather than following one standard routine ("Some want the dog park, some don't want the dog park. So, you have to know what each owner wants and doesn't want").</t>
  </si>
  <si>
    <t xml:space="preserve">Some want the dog park, some don't want the dog park. So, you have to know what each owner wants and doesn't want</t>
  </si>
  <si>
    <t xml:space="preserve">She says she's already up early most of the time, so aligning with an early-rising dog's schedule generally isn't hard for her ("It's not like I'm used to waking up at 10:00 a.m. and the dogs get up at 6:00 and I'm like struggling in the morning. I'm already up at that time anyway.").</t>
  </si>
  <si>
    <t xml:space="preserve">It's not like I'm used to waking up at 10:00 a.m. and the dogs get up at 6:00 and I'm like struggling in the morning. I'm already up at that time anyway.</t>
  </si>
  <si>
    <t xml:space="preserve">She adapts the day's activities to the weather, for example shortening walks and relying more on potty breaks during extreme heat ("right now the weather is so warm I'm like we're going for a super quick walk in the morning and one at night and then like potty breaks during the day it's too hot to do anything else.").</t>
  </si>
  <si>
    <t xml:space="preserve">right now the weather is so warm I'm like we're going for a super quick walk in the morning and one at night and then like potty breaks during the day it's too hot to do anything else.</t>
  </si>
  <si>
    <t xml:space="preserve">If a dog is behaving unusually, she says she'll flag it to the owner, for example if a dog seems to be limping ("Oh, this dog is limping a little bit. What's going on here?").</t>
  </si>
  <si>
    <t xml:space="preserve">Oh, this dog is limping a little bit. What's going on here?</t>
  </si>
  <si>
    <t xml:space="preserve">Rover's in-app cards (rendered in the transcript as "rubber"/"robot" cards) let her track walk duration and route on a map, log potty/eating/drinking, and attach photos, which she says is nice ("the rubber cards are actually nice because you can like track your walk on it and it tells you how long how long you went. Does a little map.").</t>
  </si>
  <si>
    <t xml:space="preserve">the rubber cards are actually nice because you can like track your walk on it and it tells you how long how long you went. Does a little map.</t>
  </si>
  <si>
    <t xml:space="preserve">She says the cards are specifically only for walks and daycare, and since most of her bookings are boarding or housesitting, she doesn't get them very often ("the Rover parts are only for walks and daycare. Um, so most of my bookings are for boarding and um, housesitting. So I don't get them that often.").</t>
  </si>
  <si>
    <t xml:space="preserve">the Rover parts are only for walks and daycare. Um, so most of my bookings are for boarding and um, housesitting. So I don't get them that often.</t>
  </si>
  <si>
    <t xml:space="preserve">When she does have a daycare booking, she says she often forgets to log the card until hours later ("when I do have daycare, I usually forget. I'm like, so like 3 hours later, I'm like, "Oh yeah, I forgot to do this. We were going on a walk now."").</t>
  </si>
  <si>
    <t xml:space="preserve">when I do have daycare, I usually forget. I'm like, so like 3 hours later, I'm like, "Oh yeah, I forgot to do this. We were going on a walk now."</t>
  </si>
  <si>
    <t xml:space="preserve">She says she isn't very good at using the cards because she's more used to house- and dog-sitting, so she just sends pictures and updates or asks questions via text or the app as needed instead ("I again I'm not very good at using the robot cards because I'm more used to the house and dogs sitting and I just send pictures and updates or ask questions throughout the day via text or via the app as as needed.").</t>
  </si>
  <si>
    <t xml:space="preserve">I again I'm not very good at using the robot cards because I'm more used to the house and dogs sitting and I just send pictures and updates or ask questions throughout the day via text or via the app as as needed.</t>
  </si>
  <si>
    <t xml:space="preserve">She says the app typically tells her in advance if a client wants photos as she goes, which she already expects and does anyway ("The the app typically also is like this person when you book it, they say this person wants photos as you go. Um, so I know that and I expect that to be the case anyway. So, I just um do it as I go.").</t>
  </si>
  <si>
    <t xml:space="preserve">The the app typically also is like this person when you book it, they say this person wants photos as you go. Um, so I know that and I expect that to be the case anyway. So, I just um do it as I go.</t>
  </si>
  <si>
    <t xml:space="preserve">She sends regular photo and video updates during the stay showing the dog playing, doing puzzles, or being walked ("I always send like two three pictures uh of videos of the dog playing videos of the dog doing").</t>
  </si>
  <si>
    <t xml:space="preserve">I always send like two three pictures uh of videos of the dog playing videos of the dog doing</t>
  </si>
  <si>
    <t xml:space="preserve">She described being bitten multiple times, on her hand, by an English bulldog she had gone to walk as an already-booked client, after the owner didn't warn her the dog might bite; the owner stayed out of the apartment and watched from the lobby via camera instead of being present when Bruna entered ("at no point this woman was inside the apartment. She was in the lobby watching through a camera"). Bruna got the dog's collar on to start the walk, then grabbed his neck and pushed him back to get out the door.</t>
  </si>
  <si>
    <t xml:space="preserve">at no point this woman was inside the apartment. She was in the lobby watching through a camera</t>
  </si>
  <si>
    <t xml:space="preserve">After the bite, she contacted Rover to report it but found the reporting process bureaucratic and time-consuming, involving a lengthy back-and-forth over email, and ultimately gave up on pursuing it further ("it's like this going back and forth of emails like I don't have time for this... I just I ended up not pursuing it").</t>
  </si>
  <si>
    <t xml:space="preserve">it's like this going back and forth of emails like I don't have time for this</t>
  </si>
  <si>
    <t xml:space="preserve">She feels the reporting process should instead involve talking to a real person, e.g. by phone or video call, rather than only writing to a screen ("it should be more like you know organized or like maybe a phone call or maybe a video call like something more where you're talking to a human and not writing to a screen").</t>
  </si>
  <si>
    <t xml:space="preserve">maybe a phone call or maybe a video call like something more where you're talking to a human and not writing to a screen</t>
  </si>
  <si>
    <t xml:space="preserve">She still believes that particular dog should not be on the platform, on safety grounds ("that dog shouldn't be on the platform. It's not safe for anybody").</t>
  </si>
  <si>
    <t xml:space="preserve">that dog shouldn't be on the platform. It's not safe for anybody</t>
  </si>
  <si>
    <t xml:space="preserve">She said she's never had reliability issues with Rover's in-app messaging service for sending these updates ("Never had any issues with the messaging services. It's always been really cool, really great, very timely.").</t>
  </si>
  <si>
    <t xml:space="preserve">Never had any issues with the messaging services. It's always been really cool, really great, very timely.</t>
  </si>
  <si>
    <t xml:space="preserve">With a new dog staying with them, he lets the dog acclimate at its own pace, sitting on the floor and letting it walk around and smell things ("usually when we have a new dog that would stay with us, it's really we just kind of sit on the floor and just kind of let the dog walk around and smell things and kind of adjust to hanging out with us").</t>
  </si>
  <si>
    <t xml:space="preserve">usually when we have a new dog that would stay with us, it's really we just kind of sit on the floor and just kind of let the dog walk around and smell things and kind of adjust to hanging out with us</t>
  </si>
  <si>
    <t xml:space="preserve">For new clients especially, he's very communicative in the first 24-48 hours, typically giving two updates a day ("especially for new owners that are just using us for the first time the first 24 to 48 hours usually give them like two two updates a day").</t>
  </si>
  <si>
    <t xml:space="preserve">especially for new owners that are just using us for the first time the first 24 to 48 hours usually give them like two two updates a day</t>
  </si>
  <si>
    <t xml:space="preserve">For every dog walk he has to record specifics like whether the dog pooped or peed and take a picture or two and leave a note before he can submit the digital 'rover card' ("for every dog walk, I have to, you know, did they go poop, did they pee, did they do this, uh take a picture or two, leave a little note").</t>
  </si>
  <si>
    <t xml:space="preserve">for every dog walk, I have to, you know, did they go poop, did they pee, did they do this, uh take a picture or two, leave a little note</t>
  </si>
  <si>
    <t xml:space="preserve">The rover card requires at least one submitted picture per day, which most owners are satisfied with beyond that ("it's fine that the rover makes you submit a picture usually once a day at least").</t>
  </si>
  <si>
    <t xml:space="preserve">it's fine that the rover makes you submit a picture usually once a day at least</t>
  </si>
  <si>
    <t xml:space="preserve">He finds the rover card quick to fill out, about one to two minutes ("One to two minutes max").</t>
  </si>
  <si>
    <t xml:space="preserve">One to two minutes max</t>
  </si>
  <si>
    <t xml:space="preserve">He typically writes a short note of a sentence or two along with the required photo ("I usually type a sentence or two").</t>
  </si>
  <si>
    <t xml:space="preserve">I usually type a sentence or two</t>
  </si>
  <si>
    <t xml:space="preserve">His only recurring friction with the rover card is occasionally forgetting to take the picture until the very end of the walk ("Sometimes the issue is just forgetting to take a picture until the very end").</t>
  </si>
  <si>
    <t xml:space="preserve">Sometimes the issue is just forgetting to take a picture until the very end</t>
  </si>
  <si>
    <t xml:space="preserve">For housesitting or keeping a dog at her own home, she messages the owners through the Rover app a couple of times a day with pictures, covering things like walks and how the dog is doing ("I usually try to message a couple times a day um and send pictures and... like go for a walk or whatever. Let them know what they've been doing, how it's, you know, how their dog is doing.").</t>
  </si>
  <si>
    <t xml:space="preserve">I usually try to message a couple times a day um and send pictures</t>
  </si>
  <si>
    <t xml:space="preserve">The Rover 'report' feature is something she uses only for drop-in visits, not for housesitting or boarding at her home ("that's only if I'm like doing a going to somebody's house for drop in visit or something. um don't really use that for housesitting.").</t>
  </si>
  <si>
    <t xml:space="preserve">that's only if I'm like doing a going to somebody's house for drop in visit or something. um don't really use that for housesitting.</t>
  </si>
  <si>
    <t xml:space="preserve">Daily care for a dog typically takes about 45 minutes, mostly a walk with some playtime ("it's mainly as much 45 minutes daily while I take him or her to a walk around streets and then uh we have a playtime in between").</t>
  </si>
  <si>
    <t xml:space="preserve">it's mainly as much 45 minutes daily while I take him or her to a walk around streets and then uh we have a playtime in between</t>
  </si>
  <si>
    <t xml:space="preserve">As soon as she gets home, the first thing she does is take the pet out for a walk ("once I get back home, the first thing that I do is to take them out uh to walk").</t>
  </si>
  <si>
    <t xml:space="preserve">once I get back home, the first thing that I do is to take them out uh to walk</t>
  </si>
  <si>
    <t xml:space="preserve">Her morning routine before work includes cleaning the litter, changing the water, and feeding ("in the morning uh before I go to work, I clean the leader. I change the water. give them food before going to work").</t>
  </si>
  <si>
    <t xml:space="preserve">in the morning uh before I go to work, I clean the leader. I change the water. give them food before going to work</t>
  </si>
  <si>
    <t xml:space="preserve">She doesn't use timers for most routine tasks because she already knows her routine, except when a pet needs medication ("I sometimes I don't set up like any timers. Yeah. Unless that for example they need to take medications or something").</t>
  </si>
  <si>
    <t xml:space="preserve">I sometimes I don't set up like any timers. Yeah. Unless that for example they need to take medications or something</t>
  </si>
  <si>
    <t xml:space="preserve">Pet sitting does add some demand on her time, which she says is sometimes hard to balance now that she has a baby ("Uh definitely it has like some demand of time. Of course, sometimes it's hard to get your life on, especially after you have a baby because").</t>
  </si>
  <si>
    <t xml:space="preserve">Uh definitely it has like some demand of time. Of course, sometimes it's hard to get your life on, especially after you have a baby because</t>
  </si>
  <si>
    <t xml:space="preserve">Dog walks and drop-ins happen before and after her day job ("dropins and dog walks go before and after work."), and for house-sits she stays overnight, feeding dogs and cats around her work schedule.</t>
  </si>
  <si>
    <t xml:space="preserve">dropins and dog walks go before and after work.</t>
  </si>
  <si>
    <t xml:space="preserve">She completes a Rover card for every dog walk and drop-in, which she considers her most time-consuming app activity but not excessive, since "No, I don't think it's too much time and I think they're necessary."</t>
  </si>
  <si>
    <t xml:space="preserve">No, I don't think it's too much time and I think they're necessary.</t>
  </si>
  <si>
    <t xml:space="preserve">She wishes the Rover card had a dedicated way to confirm medication was given, since currently "there's no place that you can like Say that the dog receives their medication. And I think it'd be good to like check off that they got their meds."</t>
  </si>
  <si>
    <t xml:space="preserve">there's no place that you can like Say that the dog receives their medication. And I think it'd be good to like check off that they got their meds.</t>
  </si>
  <si>
    <t xml:space="preserve">Her emergency protocol is that "I call the owner first. If I can't get a hold of the owner, I have emergency contacts in place um for the family. So then I call the family emergency contacts. And then if I can't get a hold of the family emergency contacts, I call Rover, who has additional emergency contacts.", handling the situation herself and messaging updates as she goes.</t>
  </si>
  <si>
    <t xml:space="preserve">I call the owner first. If I can't get a hold of the owner, I have emergency contacts in place um for the family. So then I call the family emergency contacts. And then if I can't get a hold of the family emergency contacts, I call Rover, who has additional emergency contacts.</t>
  </si>
  <si>
    <t xml:space="preserve">In her 8 years sitting, "the only emergencies I've had are knock on wood house related issues like plumbing or that sort of thing.", never a pet medical emergency.</t>
  </si>
  <si>
    <t xml:space="preserve">the only emergencies I've had are knock on wood house related issues like plumbing or that sort of thing.</t>
  </si>
  <si>
    <t xml:space="preserve">Her Rover service is now boarding only — she deliberately stopped offering daycare and says she is "more interested in just having boarding."</t>
  </si>
  <si>
    <t xml:space="preserve">more interested in just having boarding</t>
  </si>
  <si>
    <t xml:space="preserve">She remains open in principle to drop-in visits and walks, but says demand skews heavily toward boarding given her Bronx/New York City location ("I'm open to uh like drop in visits and walks. It's just I live in the Bronx and this is New York City and you know um I get a lot of boarding requests").</t>
  </si>
  <si>
    <t xml:space="preserve">I'm open to uh like drop in visits and walks. It's just I live in the Bronx and this is New York City and you know um I get a lot of boarding requests</t>
  </si>
  <si>
    <t xml:space="preserve">During a stay she keeps dogs that don't know each other separated, using her home layout and a small structure she built specifically for this purpose ("I built a little tiny home for this actually"), while keeping everyone otherwise apart ("I keep everyone separate. Again, it's a large property.").</t>
  </si>
  <si>
    <t xml:space="preserve">I built a little tiny home for this actually</t>
  </si>
  <si>
    <t xml:space="preserve">She says she has never actually left two Rover dogs unsupervised together, because there hasn't been enough overlap with calm-enough dogs for her to be willing to take that risk, though this has occasionally happened with neighborhood dogs she knows better ("I don't think there's any Rover dogs that I would leave on super. There hasn't been enough overlap with calm enough dogs um that I've been willing to take that risk.").</t>
  </si>
  <si>
    <t xml:space="preserve">I don't think there's any Rover dogs that I would leave on super. There hasn't been enough overlap with calm enough dogs um that I've been willing to take that risk.</t>
  </si>
  <si>
    <t xml:space="preserve">Basic daily care during a sit includes making sure each dog has been fed and had a bathroom break ("I would be thinking more about, you know, pickups, like have they been fed today? Uh has everyone used the bathroom?").</t>
  </si>
  <si>
    <t xml:space="preserve">I would be thinking more about, you know, pickups, like have they been fed today? Uh has everyone used the bathroom?</t>
  </si>
  <si>
    <t xml:space="preserve">Her services are mostly dog walking and house-sitting, and she has also done drop-in visits and cared for a cat once last year: "it's mostly dogs. I have done cats one time" (last year), and "they were both dog walking" for her earliest bookings.</t>
  </si>
  <si>
    <t xml:space="preserve">it's mostly dogs. I have done cats one time</t>
  </si>
  <si>
    <t xml:space="preserve">During a house sit, she handled an on-site issue by improvising within what the owner had permitted, manually pumping water through the pipes when the water wasn't working, after having been told in advance this could happen.</t>
  </si>
  <si>
    <t xml:space="preserve">She managed a difficult long-duration drop-in visit case: a client who was away in Texas for about three months did not clearly communicate her return date, initially saying she'd be back at the end of June but not actually returning until early August. "she was in Texas for about um 3 months... she said she was going to come back at the end of June, right? So, just a weird situation."</t>
  </si>
  <si>
    <t xml:space="preserve">she said she was going to come back at the end of June, right? So, just a weird situation</t>
  </si>
  <si>
    <t xml:space="preserve">She contacted Rover support during that situation to get a clear answer from the client about her return date. When the interviewer suggested she "had to expand her sitting service," Shania corrected that framing — she says the change was to her rate, not the scope of care she provided (see Payments and earnings for the rate change itself): "I had to uh well not expand the [sitting] service."</t>
  </si>
  <si>
    <t xml:space="preserve">I had to uh well not expand the</t>
  </si>
  <si>
    <t xml:space="preserve">She felt the client in that situation expected an open-ended booking, which she contrasts with her own view that every booking needs a defined end: "she kind of expected a uh like indefinite at booking. But you know, every booking needs to have an end."</t>
  </si>
  <si>
    <t xml:space="preserve">every booking needs to have an end</t>
  </si>
  <si>
    <t xml:space="preserve">Rover support contacted the client on her behalf and sent a message that created a sense of urgency, prompting a faster reply than the client's usual full-day response time, though the client reportedly worried something bad had happened: "they sent a message through my channel to her and then uh she had thought that something had happened to her. Right. But uh it was just kind of to give her a sense of urgency because like normally she was taking a whole day to reply to my messages."</t>
  </si>
  <si>
    <t xml:space="preserve">they sent a message through my channel to her and then uh she had thought that something had happened to her</t>
  </si>
  <si>
    <t xml:space="preserve">She describes Rover's support as having done what it reasonably could given it's a remote/virtual service, without fully resolving the underlying situation on its own: "they did the best that they could like you know because they were um you know as a virtual customer service like there's so much you can do for that situation."</t>
  </si>
  <si>
    <t xml:space="preserve">they did the best that they could like you know because they were um you know as a virtual customer service like there's so much you can do for that situation</t>
  </si>
  <si>
    <t xml:space="preserve">She felt supported both by Rover and, informally, by the building's cleaning staff who were also helping care for the dog during that period: "by Rover and also... by the um the cleaning lady that was in the building too because she was also taking care of the dog in the mornings."</t>
  </si>
  <si>
    <t xml:space="preserve">by the um the cleaning lady that was in the building too because she was also taking care of the dog in the mornings</t>
  </si>
  <si>
    <t xml:space="preserve">TR sends owners daily updates during a sit, including photos, videos, and a text summary of how the pet has been doing ("I always send them like a daily updates on the past like including photos and a videos and a text summary about how they've been doing for today").</t>
  </si>
  <si>
    <t xml:space="preserve">I always send them like a daily updates on the past like including photos and a videos and a text summary about how they've been doing for today</t>
  </si>
  <si>
    <t xml:space="preserve">TR sees owners' quick responses to these updates as a sign of how much they care about the pet ("some owners really really care about the cats. Every time I send one, they will respond to me instantly and then from that I can know they're pretty responsive and really care about the pets").</t>
  </si>
  <si>
    <t xml:space="preserve">they will respond to me instantly and then from that I can know they're pretty responsive and really care about the pets</t>
  </si>
  <si>
    <t xml:space="preserve">All communication during a sit happens through the Rover app/chat.</t>
  </si>
  <si>
    <t xml:space="preserve">TR doesn't think a mandatory reporting requirement like the drop-in card is needed for boarding, since not every sitter provides the same level of text, photo, and video updates that they do ("not every sitter going to be like me who writes the text message and the photos and the videos. So I feel like something like that is not like required").</t>
  </si>
  <si>
    <t xml:space="preserve">not every sitter going to be like me who writes the text message and the photos and the videos. So I feel like something like that is not like required</t>
  </si>
  <si>
    <t xml:space="preserve">She recalls a specific emergency with a dog that started falling over, vomiting, and became disoriented, leaving her to figure out on the spot whether he needed the vet ('he started like um like falling and he's he was big and he's falling and he's barfing and I'm like what on earth? And so, and he can't get up and he's all disoriented'). She says she is not certain whether that dog was a Rover client or a private one ('which has happened not with a rover client I think it was off rover but like maybe it was it was on rover'), and describes struggling in the moment to find the owner's contact information to call them while panicked ('I'm looking looking trying to find where to call this client. I can't find it, especially cuz I'm a little panicked').</t>
  </si>
  <si>
    <t xml:space="preserve">I'm looking looking trying to find where to call this client. I can't find it, especially cuz I'm a little panicked</t>
  </si>
  <si>
    <t xml:space="preserve">She also prefers boarding at her own home over housesitting at a client's home, for the same convenience reasons that inform how she prices the two services (see Payments and earnings for detail).</t>
  </si>
  <si>
    <t xml:space="preserve">Her hands-on care work also extends to cats, farm animals, and exotic pets, as well as dogs (see Context and provider model for detail).</t>
  </si>
  <si>
    <t xml:space="preserve">Client communication</t>
  </si>
  <si>
    <t xml:space="preserve">For her established/regular clients specifically, most communication still happens through Rover, though some of these regulars prefer to text her directly instead ("mostly through rover. Um some people will want to talk um via you know just text").</t>
  </si>
  <si>
    <t xml:space="preserve">mostly through rover. Um some people will want to talk um via you know just text</t>
  </si>
  <si>
    <t xml:space="preserve">During a first meet-and-greet, she deliberately keeps the conversation focused on the animal rather than making small talk with the owner, such as avoiding asking about the owner's vacation plans ("I'm not there to um I'm not there to, you know, I'm not there to find out, oh, where are you going on vacation?").</t>
  </si>
  <si>
    <t xml:space="preserve">I'm not there to um I'm not there to, you know, I'm not there to find out, oh, where are you going on vacation?</t>
  </si>
  <si>
    <t xml:space="preserve">Communication with clients happens almost exclusively via text message in the app ("Yes, almost exclusively through text message").</t>
  </si>
  <si>
    <t xml:space="preserve">Yes, almost exclusively through text message</t>
  </si>
  <si>
    <t xml:space="preserve">He personally prefers texting/messaging over phone calls, viewing it as the most reliable, accountable way to communicate ("texting and and messaging is the I think the best way to do it. just sort of the ideal way for accountability").</t>
  </si>
  <si>
    <t xml:space="preserve">texting and and messaging is the I think the best way to do it. just sort of the ideal way for accountability</t>
  </si>
  <si>
    <t xml:space="preserve">His communication style shifts by client experience level: brief and efficient with people who already know how Rover works, but more guided and explanatory with first-timers ("Other people are just kind of like they're brand new to it. And so I kind of, you know, hold their hand through it").</t>
  </si>
  <si>
    <t xml:space="preserve">Other people are just kind of like they're brand new to it. And so I kind of, you know, hold their hand through it</t>
  </si>
  <si>
    <t xml:space="preserve">He feels pressure to respond within an hour to maintain his Star Sitter status, which becomes especially hard during high-volume periods ("respond you know within an hour to every message. Like when I was getting a ton and ton of messages, like not only was it not possible, but I was just like, I feel bad after a while doing it").</t>
  </si>
  <si>
    <t xml:space="preserve">respond you know within an hour to every message. Like when I was getting a ton and ton of messages, like not only was it not possible, but I was just like, I feel bad after a while doing it</t>
  </si>
  <si>
    <t xml:space="preserve">She maintains constant text communication throughout a sit and says it worries her when a client doesn't respond to her messages, even though there is nothing she can do about it ("They check when they don't answer when I when I send them messages. That worries me").</t>
  </si>
  <si>
    <t xml:space="preserve">They check when they don't answer when I when I send them messages. That worries me</t>
  </si>
  <si>
    <t xml:space="preserve">She has had clients text her at very late hours expecting round-the-clock availability, but she does not respond until the next morning rather than feeling obligated to reply immediately ("I will get text messages at 12 and midnight. I'm like, I won't see them till the next morning").</t>
  </si>
  <si>
    <t xml:space="preserve">I will get text messages at 12 and midnight. I'm like, I won't see them till the next morning</t>
  </si>
  <si>
    <t xml:space="preserve">She restricts client communication to the Rover platform and will not use other personal messaging apps for client contact ("Oh, no. I don't I won't allow that on my" phone).</t>
  </si>
  <si>
    <t xml:space="preserve">Oh, no. I don't I won't allow that on my</t>
  </si>
  <si>
    <t xml:space="preserve">Beyond active bookings, she sustains longer-term relationships with some clients through personal gestures that deepen over time, such as sharing birthdays and giving birthday and Christmas gifts ("now, like now, we share birthdays. I I give birthday presents to them and their pet. I give Christmas presents").</t>
  </si>
  <si>
    <t xml:space="preserve">now, like now, we share birthdays. I I give birthday presents to them and their pet. I give Christmas presents</t>
  </si>
  <si>
    <t xml:space="preserve">Early in a client relationship she is deliberately upfront to build trust quickly, for example sharing her own driver's license so clients know who she is ("I share uh my personal ID. I give them my driver's license and so they know that I'm upfront").</t>
  </si>
  <si>
    <t xml:space="preserve">I share uh my personal ID. I give them my driver's license and so they know that I'm upfront</t>
  </si>
  <si>
    <t xml:space="preserve">She believes consistent, open communication throughout a stay is what keeps clients returning, illustrating this with a secondhand account of another sitter whose client got upset after the sitter was unreachable for seven hours ("as long as you keep that communication open, it will continue"; "there was a woman who said that she fell asleep for seven hours" and "the owner got mad").</t>
  </si>
  <si>
    <t xml:space="preserve">as long as you keep that communication open, it will continue</t>
  </si>
  <si>
    <t xml:space="preserve">She says she only goes onto the Rover app when she gets a request or message, or if she needs to update her calendar ("I only go on the app when I get a request or a message. Um, or if I need to update my calendar.").</t>
  </si>
  <si>
    <t xml:space="preserve">I only go on the app when I get a request or a message. Um, or if I need to update my calendar.</t>
  </si>
  <si>
    <t xml:space="preserve">Her general approach is to redirect Rover messages to her phone's regular text app rather than opening the Rover app, since it's easier than navigating the app's UI ("it's just easier just comes up as a text message rather than me having to open app and then navigate their UI.").</t>
  </si>
  <si>
    <t xml:space="preserve">it's just easier just comes up as a text message rather than me having to open app and then navigate their UI.</t>
  </si>
  <si>
    <t xml:space="preserve">She says she doesn't go into the app very often for regular communication, because it can be set up to text her directly via SMS ("I actually don't know that I don't go into the app all that often for regular communications because you can set it up to text you directly on SSM, SMS, whatever, just like").</t>
  </si>
  <si>
    <t xml:space="preserve">I actually don't know that I don't go into the app all that often for regular communications because you can set it up to text you directly on SSM, SMS, whatever, just like</t>
  </si>
  <si>
    <t xml:space="preserve">She says she mostly just uses the app to manage bookings and isn't actively doing much else on it ("I mostly just use it to manage bookings. I'm not like actively doing anything else on there.").</t>
  </si>
  <si>
    <t xml:space="preserve">I mostly just use it to manage bookings. I'm not like actively doing anything else on there.</t>
  </si>
  <si>
    <t xml:space="preserve">The one limitation she notes is that video doesn't come through via text the way photos do, so she has to return to the app for that ("trying to send a video. Like it'll it'll send photos over the app over text message but not video. It's weird.").</t>
  </si>
  <si>
    <t xml:space="preserve">trying to send a video. Like it'll it'll send photos over the app over text message but not video. It's weird.</t>
  </si>
  <si>
    <t xml:space="preserve">She says she'll take a video, for example of a dog doing something funny like running around, to send to the owners ("Dogs doing something funny like running around, I might take a a video to send to their humans.").</t>
  </si>
  <si>
    <t xml:space="preserve">Dogs doing something funny like running around, I might take a a video to send to their humans.</t>
  </si>
  <si>
    <t xml:space="preserve">For sending video specifically, she says she'd have to go onto the app itself to message ("probably I'd have to go onto the app to message").</t>
  </si>
  <si>
    <t xml:space="preserve">probably I'd have to go onto the app to message</t>
  </si>
  <si>
    <t xml:space="preserve">Early on in a multi-day stay, she says she sends a lot of updates, especially anything cute ("Oh, we're doing something cute today. Oh, we were go went on a walk.").</t>
  </si>
  <si>
    <t xml:space="preserve">Oh, we're doing something cute today. Oh, we were go went on a walk.</t>
  </si>
  <si>
    <t xml:space="preserve">By the end of a longer stay, she says her updates get simpler, often just reporting that things are fine ("Oh yeah, today was fine. Nothing interesting. Here's a picture.").</t>
  </si>
  <si>
    <t xml:space="preserve">Oh yeah, today was fine. Nothing interesting. Here's a picture.</t>
  </si>
  <si>
    <t xml:space="preserve">If an owner pings her mid-stay to ask what's new, her typical answer is that it's fine, nothing new ("sometimes I'll have um the owners are like will ping me and ask like, "Hey, anything going on today? What's new?" But typically I'm like, "Nah, it's fine. Nothing").</t>
  </si>
  <si>
    <t xml:space="preserve">sometimes I'll have um the owners are like will ping me and ask like, "Hey, anything going on today? What's new?" But typically I'm like, "Nah, it's fine. Nothing</t>
  </si>
  <si>
    <t xml:space="preserve">She holds it as a general philosophy that maintaining regular contact with the owner while their dog is in her care is the most vital part of being a sitter, a view she says comes from her own experience as a worried dog owner ("I put myself in the owner's shoes and when it was my dog, I liked bits"; "I think it's the most vital part of being a sitter is to have that contact when you have the person's dog").</t>
  </si>
  <si>
    <t xml:space="preserve">I think it's the most vital part of being a sitter is to have that contact when you have the person's dog</t>
  </si>
  <si>
    <t xml:space="preserve">Communication preferences vary by client: some want extra updates including video and a story about the day, while others are content with just the app-required daily photo ("They want a video. They want a cute story.").</t>
  </si>
  <si>
    <t xml:space="preserve">They want a video. They want a cute story.</t>
  </si>
  <si>
    <t xml:space="preserve">If he's a bit late sending an update, some clients will message asking about their dog ("How's my little princess doing?").</t>
  </si>
  <si>
    <t xml:space="preserve">How's my little princess doing?</t>
  </si>
  <si>
    <t xml:space="preserve">Rover's chat structure -- a general chat plus a separate chat for each specific job with the same client -- makes it confusing to track down where he asked something before ("it's kind of like juggling two different chat rooms with the same person").</t>
  </si>
  <si>
    <t xml:space="preserve">it's kind of like juggling two different chat rooms with the same person</t>
  </si>
  <si>
    <t xml:space="preserve">When trying to find a past question (e.g., about feeding time or where a leash was), he sometimes has to search the wrong chat room first before finding the right one ("oh crap, it wasn't this one, it was this one").</t>
  </si>
  <si>
    <t xml:space="preserve">oh crap, it wasn't this one, it was this one</t>
  </si>
  <si>
    <t xml:space="preserve">Even now, he still has to go through two separate chat rooms for the same client when something comes up mid-job ("I have two chat rooms that I have to go through").</t>
  </si>
  <si>
    <t xml:space="preserve">I have two chat rooms that I have to go through</t>
  </si>
  <si>
    <t xml:space="preserve">He says having two chats per client isn't a major problem but is sometimes annoying, and he'd prefer a single chat per client ("it's really not that annoying, but... sometimes it is"; "Yeah, like one chat per client.").</t>
  </si>
  <si>
    <t xml:space="preserve">Yeah, like one chat per client.</t>
  </si>
  <si>
    <t xml:space="preserve">The two-chat confusion is part of why his wife wanted to move communication with some clients away from the app, since the same client can end up with two different chats ("there's two there can be two different chats with the same client").</t>
  </si>
  <si>
    <t xml:space="preserve">there's two there can be two different chats with the same client</t>
  </si>
  <si>
    <t xml:space="preserve">For about five or six families he's especially close with, everyday questions about things like drop-offs or food are handled over standard text messaging or iMessage instead of the app, even though the booking itself is still made through Rover ("the communication like about drop offs or any questions about food or anything like that would usually just be done over standard text messaging").</t>
  </si>
  <si>
    <t xml:space="preserve">the communication like about drop offs or any questions about food or anything like that would usually just be done over standard text messaging</t>
  </si>
  <si>
    <t xml:space="preserve">He frames the move to texting these families as mostly a convenience for a quick call rather than a rejection of the app's messaging itself ("The the clash we actually I mean just got out of more like convenience for a quick phone call I think more than messaging").</t>
  </si>
  <si>
    <t xml:space="preserve">The the clash we actually I mean just got out of more like convenience for a quick phone call I think more than messaging</t>
  </si>
  <si>
    <t xml:space="preserve">After a successful meet-and-greet and agreement to the job, communication typically goes quiet again until close to the day of the sit ("after the meet and greet, we don't really see the dog or hear from them again").</t>
  </si>
  <si>
    <t xml:space="preserve">after the meet and greet, we don't really see the dog or hear from them again</t>
  </si>
  <si>
    <t xml:space="preserve">He describes the dogs themselves as usually easy to handle, with the bigger variable being each client's individual preferences around communication and updates ("the dogs are usually easy. It's kind of dealing with the the clients and what how they want to proceed with communication and updates and things like that").</t>
  </si>
  <si>
    <t xml:space="preserve">the dogs are usually easy. It's kind of dealing with the the clients and what how they want to proceed with communication and updates and things like that</t>
  </si>
  <si>
    <t xml:space="preserve">She deliberately keeps all messaging with Rover-sourced clients on the Rover platform rather than exchanging personal phone numbers, because it provides documentation if a dispute arises later and is easy to share ("if there's a problem later, it's on Rover... I don't have to put it up. It's already there... it's easy to share with Rover.").</t>
  </si>
  <si>
    <t xml:space="preserve">if there's a problem later, it's on Rover</t>
  </si>
  <si>
    <t xml:space="preserve">If a client offers their private phone number, she'll accept it only as an emergency backup while still keeping primary communication on Rover chat ("I'll let them give me their private number if they want to, you know, as a backup, but I still try to keep all the messaging through over[Rover]").</t>
  </si>
  <si>
    <t xml:space="preserve">I'll let them give me their private number if they want to, you know, as a backup</t>
  </si>
  <si>
    <t xml:space="preserve">She also believes the Rover app itself technically prevents exchanging private phone numbers within its messaging ("I don't even think the Rover app let you exchange private numbers on the platform.").</t>
  </si>
  <si>
    <t xml:space="preserve">I don't even think the Rover app let you exchange private numbers on the platform</t>
  </si>
  <si>
    <t xml:space="preserve">Her general approach is to proactively send owners updates without being asked, including photos and videos while out on walks ("keep parents posted even if they don't ask me I send them a couple of videos where while I walk them").</t>
  </si>
  <si>
    <t xml:space="preserve">keep parents posted even if they don't ask me I send them a couple of videos where while I walk them</t>
  </si>
  <si>
    <t xml:space="preserve">She says some parents want faster, more instant communication than the app provides, and she accommodates this ("there are some parents who prefer to have like more instant communication").</t>
  </si>
  <si>
    <t xml:space="preserve">there are some parents who prefer to have like more instant communication</t>
  </si>
  <si>
    <t xml:space="preserve">For those clients she shares her phone number so they can text her on WhatsApp, which she finds faster and checks more often than the Rover app ("best way to communicate with you because it's faster and I see it like more often").</t>
  </si>
  <si>
    <t xml:space="preserve">best way to communicate with you because it's faster and I see it like more often</t>
  </si>
  <si>
    <t xml:space="preserve">Her general timing habit is to check in on messages before bed and respond whenever she has free time during the day, rather than on any strict schedule ("before I go to bed, I usually just answer them. Um when I have some time like free time along the date, so I do it right away").</t>
  </si>
  <si>
    <t xml:space="preserve">before I go to bed, I usually just answer them. Um when I have some time like free time along the date, so I do it right away</t>
  </si>
  <si>
    <t xml:space="preserve">She doesn't experience this communication responsibility as urgent or overwhelming, saying it doesn't feel like a job that requires answering right away ("it doesn't feel like overwhelming or it doesn't feel like a real job that you need to answer right away because you are going").</t>
  </si>
  <si>
    <t xml:space="preserve">it doesn't feel like overwhelming or it doesn't feel like a real job that you need to answer right away because you are going</t>
  </si>
  <si>
    <t xml:space="preserve">As a general practice she always sends her updates through the Rover app no matter what, including for clients traveling internationally, because "I always message no matter what through the Rover app so that they can see um so that Rover knows that I'm updating."</t>
  </si>
  <si>
    <t xml:space="preserve">I always message no matter what through the Rover app so that they can see um so that Rover knows that I'm updating.</t>
  </si>
  <si>
    <t xml:space="preserve">During house-sits she gives one update per day rather than updating throughout the day, matching her own preference as a pet owner: "I like updates when I'm like going to bed um or waking up in the morning. I don't want to be like bombarded with updates". Her usual timing is around 9 or 10pm at night, except for clients with an extreme time difference, who she updates in the morning instead ("unless they're like somewhere where their time difference is like extreme. And then like I'll update them in the morning.").</t>
  </si>
  <si>
    <t xml:space="preserve">unless they're like somewhere where their time difference is like extreme. And then like I'll update them in the morning.</t>
  </si>
  <si>
    <t xml:space="preserve">The very first update during a house-sit specifically confirms she got into the house safely, since "that's like one of my main concerns when I'm pets or when I have pets sitters is that they actually got into the house."</t>
  </si>
  <si>
    <t xml:space="preserve">that's like one of my main concerns when I'm pets or when I have pets sitters is that they actually got into the house.</t>
  </si>
  <si>
    <t xml:space="preserve">For drop-ins and dog walks, updates happen once per visit rather than a single nightly summary ("I'll update them like once the rover card is complete.").</t>
  </si>
  <si>
    <t xml:space="preserve">I'll update them like once the rover card is complete.</t>
  </si>
  <si>
    <t xml:space="preserve">For a new client she proactively sends a photo or video on the first day to reassure them their dog has arrived safely ("if it's a new client, I try to send them a photo or a video on the first day. I'm I know that's what they want").</t>
  </si>
  <si>
    <t xml:space="preserve">if it's a new client, I try to send them a photo or a video on the first day. I'm I know that's what they want</t>
  </si>
  <si>
    <t xml:space="preserve">Once a client has been with her more regularly, her updates shift from routine reassurance to occasional 'cute' moments only, rather than confirming the dog is simply fine ("when clients have been with me a little bit more regularly, they only get the cute videos. They don't get like the your dog's here and they're cool. They're, you know, they're fine.").</t>
  </si>
  <si>
    <t xml:space="preserve">when clients have been with me a little bit more regularly, they only get the cute videos. They don't get like the your dog's here and they're cool. They're, you know, they're fine.</t>
  </si>
  <si>
    <t xml:space="preserve">She frames the new-client update as a general communication philosophy — that every pet owner wants that initial confirmation their dog is okay, which is why she front-loads it specifically with new clients ("I know that every single pet owner wants to see that their dog is okay. So I do that for new clients").</t>
  </si>
  <si>
    <t xml:space="preserve">I know that every single pet owner wants to see that their dog is okay. So I do that for new clients</t>
  </si>
  <si>
    <t xml:space="preserve">Because Rover's in-app chat has a poor experience for sending videos, she instead sends video updates to all clients via WhatsApp ("the videos are a awful experience sending so I do send videos through WhatsApp to my clients"... "I use WhatsApp for everyone").</t>
  </si>
  <si>
    <t xml:space="preserve">the videos are a awful experience sending so I do send videos through WhatsApp to my clients</t>
  </si>
  <si>
    <t xml:space="preserve">She also describes it as currently annoying that if she starts composing a message in Rover's chat and navigates away from the chat panel, the message gets deleted, which is why she wants an autosave feature added ("I don't like how when you create a message, if you navigate away from the chat panel, it'll delete the message. That's a very annoying situation.").</t>
  </si>
  <si>
    <t xml:space="preserve">I don't like how when you create a message, if you navigate away from the chat panel, it'll delete the message. That's a very annoying situation.</t>
  </si>
  <si>
    <t xml:space="preserve">By default, all communication with clients happens on the Rover app/chat across every stage of the relationship (before booking, during booking, during the sit, and afterward), and she has almost never needed anything else ("Yeah, it's all on Rover").</t>
  </si>
  <si>
    <t xml:space="preserve">Yeah, it's all on Rover</t>
  </si>
  <si>
    <t xml:space="preserve">She set a distinct notification sound on her phone specifically for Rover messages so she notices and can respond quickly: "I edited my phone to have a certain notification sound just for Rober. So like I know when they'll, you know, send me a message. So it's good to respond to."</t>
  </si>
  <si>
    <t xml:space="preserve">I edited my phone to have a certain notification sound just for Rober</t>
  </si>
  <si>
    <t xml:space="preserve">The only time she has used a channel besides Rover was with one client who knew ahead of time that their Wi-Fi wasn't reliable, so they added her on Facebook and communicated over Messenger for that one booking: "Sometimes if a rover isn't enough, like it's only happened one time though, but um that was because of they knew that their Wi-Fi situation wasn't going to be the best. So they did ask me to add them on Facebook and we were contacting on messenger during the booking."</t>
  </si>
  <si>
    <t xml:space="preserve">that was because of they knew that their Wi-Fi situation wasn't going to be the best. So they did ask me to add them on Facebook and we were contacting on messenger during the booking</t>
  </si>
  <si>
    <t xml:space="preserve">During a sit, she normally sends a couple of photos and videos to clients by default, but she adapts her communication style to individual client preference: for one client who didn't want any photos or videos, she respected that and kept the communication for that booking more minimal. "if I'm using the sitting, I will normally just send a couple photos and videos like during the sit, right? But this one specifically, like it didn't really want any of them, right? So, you know, like I respect their um their their wish to not really send photos or video. So, you know, for that booking, it's been more of a um streamlined [process]."</t>
  </si>
  <si>
    <t xml:space="preserve">if I'm using the sitting, I will normally just send a couple photos and videos like during the sit, right? But this one specifically, like it didn't really want any of them</t>
  </si>
  <si>
    <t xml:space="preserve">She says she has no deliberate strategy for bonding with clients or shifting her communication tone over a relationship: "I don't really have any strategies, right?" (see Client acquisition for how this connects to her low-key approach to winning bookings).</t>
  </si>
  <si>
    <t xml:space="preserve">I don't really have any strategies, right?</t>
  </si>
  <si>
    <t xml:space="preserve">Communication style shifts across the relationship: with new clients TR uses a prepared, more explanatory standardized script, while with regulars exchanges become brief since the relationship is already established ("because they already know me... usually they be like, 'Oh, want to take care?' Oh yeah, sure").</t>
  </si>
  <si>
    <t xml:space="preserve">TR primarily communicates through the Rover app, only switching to texting via WhatsApp on the rare occasions a client is traveling abroad and can't receive Rover messages ("I usually just communicates with Rover app... I will also like text the WhatsApp in case they don't receive the rover. But usually they receive the rover").</t>
  </si>
  <si>
    <t xml:space="preserve">I usually just communicates with Rover app</t>
  </si>
  <si>
    <t xml:space="preserve">TR wishes Rover's text-message notifications could display photos and videos directly, since clients who haven't downloaded the Rover app can't otherwise see media without logging into the app ("some clients just don't download the Rover app at all and they just only rely on the chats... if they can like also make the photos and a video show up on the text message interface going to be better").</t>
  </si>
  <si>
    <t xml:space="preserve">if they can like also make the photos and a video show up on the text message interface going to be better</t>
  </si>
  <si>
    <t xml:space="preserve">She says her overall communication style is 'pretty much the same' whether a client comes through Rover or privately — she texts and calls in both cases ('it's pretty much the same. The challenges on Rover are are the communication'; 'I'm just texting and calling clients whether it's Rover or whether it's through the business').</t>
  </si>
  <si>
    <t xml:space="preserve">I'm just texting and calling clients whether it's Rover or whether it's through the business</t>
  </si>
  <si>
    <t xml:space="preserve">Her main communication complaint is specific to the Rover app itself: it sends a notification, then a text, then flags her as unresponsive after 45 minutes even while she's working, which she finds annoying ('I find it really annoying that it sends me a notification on the app and then it sends me a text and then 45 minutes later it's like you haven't responded so you need to respond basically. And I'm like look Rover chill like I'm working').</t>
  </si>
  <si>
    <t xml:space="preserve">I find it really annoying that it sends me a notification on the app and then it sends me a text and then 45 minutes later it's like you haven't responded so you need to respond basically. And I'm like look Rover chill like I'm working</t>
  </si>
  <si>
    <t xml:space="preserve">She also finds the Rover app's folder-based message organization confusing, since it sometimes still shows a message as unread even after she's viewed it, because it's filed in the wrong folder ('sometimes it'll like still leave a notification as if I haven't checked it because I haven't clicked on the right folder or something').</t>
  </si>
  <si>
    <t xml:space="preserve">sometimes it'll like still leave a notification as if I haven't checked it because I haven't clicked on the right folder or something</t>
  </si>
  <si>
    <t xml:space="preserve">She likes that Rover puts a communication barrier in place before a client is accepted, for privacy and safety reasons, but feels that barrier should lift once a trusted relationship has formed ('I like that there is um a barrier before they're my client... because I don't want everyone to have my number or to know where I live... but after the fact, like then why does it matter? Like I know them now').</t>
  </si>
  <si>
    <t xml:space="preserve">I like that there is um a barrier before they're my client</t>
  </si>
  <si>
    <t xml:space="preserve">She also finds the Rover app slow to load messages, which delays back-and-forth communication ('the app will kind of like be a little slow, right? So, I'll be like trying to message and it'll kind of like finally pop up with a little message').</t>
  </si>
  <si>
    <t xml:space="preserve">the app will kind of like be a little slow, right? So, I'll be like trying to message and it'll kind of like finally pop up with a little message</t>
  </si>
  <si>
    <t xml:space="preserve">Completion and feedback</t>
  </si>
  <si>
    <t xml:space="preserve">When she knows it's her last visit before the client returns, she follows a rule of leaving things as nice as or nicer than when she arrived — for example washing bowls, sweeping the feeding area, and wiping counters ("leave things as as nice or nicer than when you got there").</t>
  </si>
  <si>
    <t xml:space="preserve">leave things as as nice or nicer than when you got there</t>
  </si>
  <si>
    <t xml:space="preserve">reviews-feedback-process</t>
  </si>
  <si>
    <t xml:space="preserve">After a sit, clients sometimes send her a thank-you message or leave a review; when they do, she acknowledges it, for example messaging back to say thank you ("they'll they'll send a message of thanks" and "if they leave a review or something I'll message and acknowledge thank you I appreciate").</t>
  </si>
  <si>
    <t xml:space="preserve">if they leave a review or something I'll message and acknowledge thank you I appreciate</t>
  </si>
  <si>
    <t xml:space="preserve">She receives an email notification from Rover whenever a client leaves a rating or review, which she likes ("I like the fact that I get the email like I'll get the email").</t>
  </si>
  <si>
    <t xml:space="preserve">I like the fact that I get the email like I'll get the email</t>
  </si>
  <si>
    <t xml:space="preserve">With regular clients, she describes an ongoing relationship built around the animal and trust — knowing she'll care for the pet the way the owners would and leave their home the way they left it ("there's a personal connection, but it's it's all around the animal" and "I have clients that that trust me in their home").</t>
  </si>
  <si>
    <t xml:space="preserve">there's a personal connection, but it's it's all around the animal</t>
  </si>
  <si>
    <t xml:space="preserve">Under the current review system, if a client leaves him a review he generally has to leave one too for it to unlock, or it becomes visible automatically once seven days pass ("if they leave you a review, you also have to go and leave a review for them for it to unlock or at least for it to you to see it before the seven days has passed").</t>
  </si>
  <si>
    <t xml:space="preserve">if they leave you a review, you also have to go and leave a review for them for it to unlock or at least for it to you to see it before the seven days has passed</t>
  </si>
  <si>
    <t xml:space="preserve">He considers writing post-sit feedback his least favorite part of the job, describing himself as not good at it ("that's my least favorite part. I'm so bad at at doing like feedback on the dogs afterwards").</t>
  </si>
  <si>
    <t xml:space="preserve">that's my least favorite part. I'm so bad at at doing like feedback on the dogs afterwards</t>
  </si>
  <si>
    <t xml:space="preserve">He specifically finds it awkward to write a review of an owner he had little direct interaction with, distinguishing this from reviewing the dog itself, which feels more natural to him ("it feels weird to leave a review for a client that that you didn't interact with a whole lot").</t>
  </si>
  <si>
    <t xml:space="preserve">it feels weird to leave a review for a client that that you didn't interact with a whole lot</t>
  </si>
  <si>
    <t xml:space="preserve">He estimates maybe one in four clients leave a written review ("No, most of the times they they they don't. I I say Maybe one out of four people will leave a little review."), though he assumes some others leave star-only ratings without comment and says he isn't sure how review-leaving works for the boarding side of his business specifically ("I'm assuming some of them just leave star reviews and don't write anything down"; "I don't really remember how that works uh for the um for the boarding part of it").</t>
  </si>
  <si>
    <t xml:space="preserve">No, most of the times they they they don't. I I say Maybe one out of four people will leave a little review.</t>
  </si>
  <si>
    <t xml:space="preserve">He recognizes that reviews affect his ranking in search results, which makes him think he should encourage clients to leave more feedback even though he dislikes self-promotion ("having it a review on there kicks them higher up in the algorithm").</t>
  </si>
  <si>
    <t xml:space="preserve">having it a review on there kicks them higher up in the algorithm</t>
  </si>
  <si>
    <t xml:space="preserve">He is wary of making feedback mandatory, worrying it could make reviews turn more negative out of resentment rather than more numerous ("I worry if you if you mandate feedback, people the feedback suddenly becomes more negative instantly").</t>
  </si>
  <si>
    <t xml:space="preserve">I worry if you if you mandate feedback, people the feedback suddenly becomes more negative instantly</t>
  </si>
  <si>
    <t xml:space="preserve">He finds writing a full review somewhat time-consuming but not a real burden overall ("hyping up a whole review every time feels a little timeconsuming, but in the grand scheme of things, I think it's it's fine.").</t>
  </si>
  <si>
    <t xml:space="preserve">hyping up a whole review every time feels a little timeconsuming, but in the grand scheme of things, I think it's it's fine.</t>
  </si>
  <si>
    <t xml:space="preserve">He is unclear on how the app's incident-reporting questions (e.g., about bites or escape attempts) are used after a sit, such as whether the data is compiled anywhere or triggers follow-up, though he affirms it's still worth asking the questions ("it's definitely important to ask the questions").</t>
  </si>
  <si>
    <t xml:space="preserve">it's definitely important to ask the questions</t>
  </si>
  <si>
    <t xml:space="preserve">He mentions that other sitters' written reviews of a dog can include informal behavior warnings, such as a note that a dog is a "bolter" that will try to get out the door, but says he has not personally seen any official incident flags generated by the app itself ("I have seen things listed in other people's like review of the dogs like this dog is a bolter").</t>
  </si>
  <si>
    <t xml:space="preserve">I have seen things listed in other people's like review of the dogs like this dog is a bolter</t>
  </si>
  <si>
    <t xml:space="preserve">After a sit, most clients respond on the Rover platform with thanks, comments on her photo updates, or questions about future availability ("They they'll normally will say" thank you, "the pictures are great," or ask "When can we do this again"), which she describes as "usually very, very informative."</t>
  </si>
  <si>
    <t xml:space="preserve">usually very, very informative</t>
  </si>
  <si>
    <t xml:space="preserve">She says she very rarely has an owner who doesn't acknowledge her service in some way, at minimum with a thank-you ("I very rarely have an owner who doesn't um, ask questions or say thank you or just say thank you").</t>
  </si>
  <si>
    <t xml:space="preserve">I very rarely have an owner who doesn't um, ask questions or say thank you or just say thank you</t>
  </si>
  <si>
    <t xml:space="preserve">She said she receives what the interview transcript rendered as "Ray reviews" [unclear - most likely intended as "great reviews"] because of her one-on-one attentiveness with both pet and owner ("I get Ray reviews because I'm one-on-one").</t>
  </si>
  <si>
    <t xml:space="preserve">I get Ray reviews because I'm one-on-one</t>
  </si>
  <si>
    <t xml:space="preserve">Several longer-term clients rebook her on a recurring but infrequent basis, such as a cat owner who books her roughly every three to four months for a couple of days at a time ("it's a repeat, but it's like every three or four" "months he he'll go on a trip and he'll book me for a couple of days") and another client who books about every two months when traveling ("he's again like once every two months").</t>
  </si>
  <si>
    <t xml:space="preserve">he's again like once every two months</t>
  </si>
  <si>
    <t xml:space="preserve">When a client picks up their dog from her own home, she says they come to the door, she lets them in, gathers all the dog's things, and gives it back to them ("they'll come to the door. I'll let them in, gather all their things, and then give it back to them.").</t>
  </si>
  <si>
    <t xml:space="preserve">they'll come to the door. I'll let them in, gather all their things, and then give it back to them.</t>
  </si>
  <si>
    <t xml:space="preserve">Afterward, she says the app automatically prompts her to provide feedback on the dog, expected within about 24 hours of the booking, and she tries to do that consistently ("the app the app automatically is like, "Hey, here's provide some feedback on the dog." Um, they want you to do that within like 24 hours of of the booking. So, and I try to do that consistently.").</t>
  </si>
  <si>
    <t xml:space="preserve">the app the app automatically is like, "Hey, here's provide some feedback on the dog." Um, they want you to do that within like 24 hours of of the booking. So, and I try to do that consistently.</t>
  </si>
  <si>
    <t xml:space="preserve">The feedback form asks questions about the dog, such as whether it bit anyone, tried to escape, or ruined anything ("did the dog bite anyone? Did they try to escape? Did they ruin anything?").</t>
  </si>
  <si>
    <t xml:space="preserve">did the dog bite anyone? Did they try to escape? Did they ruin anything?</t>
  </si>
  <si>
    <t xml:space="preserve">It also asks for feedback about the owners, which for her is usually simple and positive — that they were nice and answered all her questions ("they were nice and they answered all my questions.").</t>
  </si>
  <si>
    <t xml:space="preserve">they were nice and they answered all my questions.</t>
  </si>
  <si>
    <t xml:space="preserve">She describes the whole post-sitting process as very straightforward, and says she doesn't do anything special outside of the app ("So, it's very straightforward. Um, but I don't do anything really special outside of the app, you know.").</t>
  </si>
  <si>
    <t xml:space="preserve">So, it's very straightforward. Um, but I don't do anything really special outside of the app, you know.</t>
  </si>
  <si>
    <t xml:space="preserve">Before pickup, she texts the owner to confirm timing and asks for a heads-up text when they're about ten minutes away, since the app only gives an approximate time window ("if you could uh give me a like just text me when you're like 10 minutes away, cuz then I can just go downstairs with your dog").</t>
  </si>
  <si>
    <t xml:space="preserve">if you could uh give me a like just text me when you're like 10 minutes away</t>
  </si>
  <si>
    <t xml:space="preserve">At handoff she gives verbal, not written, feedback about anything notable from the stay — for example mentioning if the dog has been licking a paw, lunging at other dogs, or had soft stool — and does not keep a written record of it ("I just mention if anything like... his poop was a little bit soft today, so maybe take a look at that... I don't write it down").</t>
  </si>
  <si>
    <t xml:space="preserve">I don't write it down</t>
  </si>
  <si>
    <t xml:space="preserve">At handoff, if she's noticed something the owner might want addressed, like lunging at other dogs, she'll mention it and offer her dog-training business card ("I can give him my dog training card").</t>
  </si>
  <si>
    <t xml:space="preserve">I can give him my dog training card</t>
  </si>
  <si>
    <t xml:space="preserve">The Rover chat thread with a client stays open after the stay ends ("the chat stays open so the the owner can always text me or me text the owner"); typically no further contact happens until the owner submits a new request when they need her again ("usually it's just the next time they come back, they text, they they put in a request and that's it").</t>
  </si>
  <si>
    <t xml:space="preserve">the chat stays open so the the owner can always text me or me text the owner</t>
  </si>
  <si>
    <t xml:space="preserve">For repeat clients, she goes back to the earlier request/chat thread in the Rover app to recall the dog's and owner's details rather than keeping a separate personal record, though she reflected during the interview that she probably should start writing it down ("I can always go back to the old uh to the previous uh request and then I can just see what we talked about... I should actually write it down").</t>
  </si>
  <si>
    <t xml:space="preserve">I should actually write it down</t>
  </si>
  <si>
    <t xml:space="preserve">After a sit ends, clients typically send a thank-you message and often a couple of photos ("everyone usually send, you know, like a thank you and a couple pictures").</t>
  </si>
  <si>
    <t xml:space="preserve">everyone usually send, you know, like a thank you and a couple pictures</t>
  </si>
  <si>
    <t xml:space="preserve">Beyond the thank-you, follow-up is usually just a quick message or two -- checking whether there were any issues, or a practical note like where a key was left ("usually there's not other than like a quick message or two of just saying thanks or was there any issues").</t>
  </si>
  <si>
    <t xml:space="preserve">usually there's not other than like a quick message or two of just saying thanks or was there any issues</t>
  </si>
  <si>
    <t xml:space="preserve">He describes himself and his role as an afterthought at this stage, since clients are focused on being reunited with their pet rather than continuing to engage with him ("We're usually like the afterthought.").</t>
  </si>
  <si>
    <t xml:space="preserve">We're usually like the afterthought.</t>
  </si>
  <si>
    <t xml:space="preserve">Ongoing relationships with clients continue mainly through them getting back in touch if and when they need the service again, rather than continued casual contact ("they just get in contact if they do need another one of your services").</t>
  </si>
  <si>
    <t xml:space="preserve">they just get in contact if they do need another one of your services</t>
  </si>
  <si>
    <t xml:space="preserve">He confirms that everything, including payment, is finalized through the app itself rather than after the fact separately ("Everything is done through the app.").</t>
  </si>
  <si>
    <t xml:space="preserve">Everything is done through the app.</t>
  </si>
  <si>
    <t xml:space="preserve">He understands that Rover charges the dog owner's payment almost immediately once both parties confirm a booking, and holds it until the job is finished, even for bookings made well in advance ("I think that Rover takes that money out at that moment and kind of like holds it until the job is finished").</t>
  </si>
  <si>
    <t xml:space="preserve">I think that Rover takes that money out at that moment and kind of like holds it until the job is finished</t>
  </si>
  <si>
    <t xml:space="preserve">Because of this early-charge timing, he proactively lets clients booking far ahead know that confirming now means Rover will charge them right away, and offers them the option to wait to confirm closer to the date if they'd rather avoid that ("if you want to wait to confirm until it's closer, it's up to you").</t>
  </si>
  <si>
    <t xml:space="preserve">if you want to wait to confirm until it's closer, it's up to you</t>
  </si>
  <si>
    <t xml:space="preserve">Most of his clients, in what he describes as a fairly affluent area, don't seem bothered by being charged early, though he says he personally would care about that ("we live in a pretty nice affluent area. Most people don't"; "I would care").</t>
  </si>
  <si>
    <t xml:space="preserve">I would care</t>
  </si>
  <si>
    <t xml:space="preserve">Post-sit communication is minimal, usually only occurring if there's a lingering question, such as something left behind at her house or whether the dog already ate ("They could have left something at my house... I have a question about did their dog already eat.").</t>
  </si>
  <si>
    <t xml:space="preserve">about did their dog already eat</t>
  </si>
  <si>
    <t xml:space="preserve">Clients sometimes reach back out afterward through an old Rover chat thread to ask about booking her again for another date ("they might contact me again through an old chat and say, 'Hey, are you available for such and such date?'").</t>
  </si>
  <si>
    <t xml:space="preserve">Hey, are you available for such and such date</t>
  </si>
  <si>
    <t xml:space="preserve">She says her regular clients specifically prefer her over having another person care for their pet ("Yeah. Now I have regular customers who definitely prefer me to take care of their babies uh uh rather than to have them with another person").</t>
  </si>
  <si>
    <t xml:space="preserve">Yeah. Now I have regular customers who definitely prefer me to take care of their babies uh uh rather than to have them with another person</t>
  </si>
  <si>
    <t xml:space="preserve">She does not describe an explicit post-sit payment-trigger step, nor does she mention leaving or receiving reviews anywhere in the interview -- neither is discussed.</t>
  </si>
  <si>
    <t xml:space="preserve">Her relationship with clients often continues past a single sit: a regular client, the owner of a dog named Bella, keeps booking her on an ongoing basis for one or a couple of nights a week ("she pays me for one or a couple nights a week").</t>
  </si>
  <si>
    <t xml:space="preserve">she pays me for one or a couple nights a week</t>
  </si>
  <si>
    <t xml:space="preserve">Some regulars also pre-book her again ahead of a future trip rather than reaching out fresh each time ("if they are planning to go to a trip, then they book me in advance").</t>
  </si>
  <si>
    <t xml:space="preserve">if they are planning to go to a trip, then they book me in advance</t>
  </si>
  <si>
    <t xml:space="preserve">After a sit she sends a standard closing message: "I typically send safe travels. Thank you again for letting me care for blank and blank. Um, please let me know how I can return your key."</t>
  </si>
  <si>
    <t xml:space="preserve">I typically send safe travels. Thank you again for letting me care for blank and blank. Um, please let me know how I can return your key.</t>
  </si>
  <si>
    <t xml:space="preserve">She doesn't keep a separate record of client details between sits, relying on memory instead ("I have a really good memory. My clients are super impressed.").</t>
  </si>
  <si>
    <t xml:space="preserve">I have a really good memory. My clients are super impressed.</t>
  </si>
  <si>
    <t xml:space="preserve">For repeat bookings she asks about any changes and gives a rundown of what she remembers ("I'll ask them if there's any changes. They say no. I typically give them a rundown of what I remember if it's been a while."); if a client isn't fully comfortable with her walking in on memory alone she offers a quick in-person walkthrough, and otherwise sends a text reminder of key details, which returning clients have responded to warmly ("they're like, 'Oh, you remember?' And they love that.").</t>
  </si>
  <si>
    <t xml:space="preserve">they're like, 'Oh, you remember?' And they love that.</t>
  </si>
  <si>
    <t xml:space="preserve">She doesn't see a need for a formal key-return reminder feature, since "clients typically want us to keep the keys."</t>
  </si>
  <si>
    <t xml:space="preserve">clients typically want us to keep the keys.</t>
  </si>
  <si>
    <t xml:space="preserve">She asks new private clients to pay upfront, without strictly enforcing it ("I ask them to pay upfront. I don't enforce it, but I ask for it."), while some returning private clients pay on their own timeline ("some of my returning clients, you know, they pay me when they pay me").</t>
  </si>
  <si>
    <t xml:space="preserve">I ask them to pay upfront. I don't enforce it, but I ask for it.</t>
  </si>
  <si>
    <t xml:space="preserve">With Rover, payment is automatically handled via the client's card on file, which she values even though the payout itself takes some time to arrive ("with Rover, you know, it's nice that it's all managed because I know that the credit card is there. It does take a little while to get the payout, but that's fine").</t>
  </si>
  <si>
    <t xml:space="preserve">with Rover, you know, it's nice that it's all managed because I know that the credit card is there. It does take a little while to get the payout, but that's fine</t>
  </si>
  <si>
    <t xml:space="preserve">Beyond payment, she says the only other things that come up after a sit tend to be minor practical items, like something forgotten ("ideally, that's all I have to worry about because if not, it's usually because, you know, I forgot to pack something or they forgot to... oh, I forgot the water bowl").</t>
  </si>
  <si>
    <t xml:space="preserve">ideally, that's all I have to worry about because if not, it's usually because, you know, I forgot to pack something or they forgot to</t>
  </si>
  <si>
    <t xml:space="preserve">She names the end-of-sit stage "the home stretch," reflecting that the sit is almost, but not quite, over: "I would call it the uh like the home stretch. You know, we're almost done."</t>
  </si>
  <si>
    <t xml:space="preserve">I would call it the uh like the home stretch</t>
  </si>
  <si>
    <t xml:space="preserve">A few days before a sit ends, she proactively asks the client about close-up logistics (such as how to lock certain doors and how to leave without leaving the dog alone too long), building on what was already covered at the meet-and-greet: "a few days before it ends, right, I'll ask them like how how would I um like close up and things like cuz s some of their uh doors they would lock like from the inside... So I want to know like uh how do I like leave and not like leave the dogs alone for too long."</t>
  </si>
  <si>
    <t xml:space="preserve">a few days before it ends, right, I'll ask them like how how would I um like close up and things</t>
  </si>
  <si>
    <t xml:space="preserve">Client relationships often continue after a sit ends: several past clients have messaged her back afterward asking for more bookings, and one client has now booked her three times for long-term pet-sitting with another stay coming up. "She's already called me in three times for like long-term petsitting gigs and I'm having another one with her later this year."</t>
  </si>
  <si>
    <t xml:space="preserve">She's already called me in three times for like long-term petsitting gigs and I'm having another one with her later this year</t>
  </si>
  <si>
    <t xml:space="preserve">She continues to communicate through Rover after the sit is over unless the client already knows their Rover connectivity is unreliable, in which case they'll switch to Messenger: "it's all on Rover, right? If uh if they know that Rover might not be working, then we'll use Messenger. But that's really it."</t>
  </si>
  <si>
    <t xml:space="preserve">If uh if they know that Rover might not be working, then we'll use Messenger. But that's really it</t>
  </si>
  <si>
    <t xml:space="preserve">After a sit, TR sends a standardized closing message saying they enjoyed the stay and look forward to seeing the pet again ("I really enjoyed this day and then they are great looking forward to see them again").</t>
  </si>
  <si>
    <t xml:space="preserve">I really enjoyed this day and then they are great looking forward to see them again</t>
  </si>
  <si>
    <t xml:space="preserve">TR asks satisfied clients for a five-star review ("I appreciate if you can give me the like five star review if you're happy with my service") and separately offers returning clients a discount as a rebooking incentive (amount detailed under Payments and earnings).</t>
  </si>
  <si>
    <t xml:space="preserve">I appreciate if you can give me the like five star review if you're happy with my service</t>
  </si>
  <si>
    <t xml:space="preserve">Clients who receive the returning-client discount usually leave a review and book again ("they usually would leave me a review and then book me").</t>
  </si>
  <si>
    <t xml:space="preserve">they usually would leave me a review and then book me</t>
  </si>
  <si>
    <t xml:space="preserve">TR believes Rover should do more to encourage reviews generally, saying other sitters they've talked to report getting reviews only about a third of the time ("for a lot of other over sitters I talked to, they probably only leave review like one third of the time").</t>
  </si>
  <si>
    <t xml:space="preserve">they probably only leave review like one third of the time</t>
  </si>
  <si>
    <t xml:space="preserve">TR feels hesitant to leave a fully honest, critical review of a difficult pet or owner because the client can also leave them a review in return ("it is really hard for the sitter to leave honest review when the clients can also uh leave them a review").</t>
  </si>
  <si>
    <t xml:space="preserve">it is really hard for the sitter to leave honest review when the clients can also uh leave them a review</t>
  </si>
  <si>
    <t xml:space="preserve">TR proposes a feature letting sitters leave a few notes visible only to other sitters, not to owners, so they can flag a difficult pet honestly without the owner seeing it ("if they can leave a review that's like leave like a maybe a few notes, a few sentence or a few words that only sitters can see, that's maybe better").</t>
  </si>
  <si>
    <t xml:space="preserve">if they can leave a review that's like leave like a maybe a few notes, a few sentence or a few words that only sitters can see, that's maybe better</t>
  </si>
  <si>
    <t xml:space="preserve">TR explains the safety reasoning behind wanting sitter-only-visible notes: owners know where the sitter lives, and nothing would stop an unhappy owner from showing up in person, which they describe as a particular hazard given many sitters are single young women ("that's can be like a safety hazard when a lot of sitters are single and a young woman on the platform").</t>
  </si>
  <si>
    <t xml:space="preserve">that's can be like a safety hazard when a lot of sitters are single and a young woman on the platform</t>
  </si>
  <si>
    <t xml:space="preserve">TR wants Rover to filter out ratings that seem unfair, personal, or subjective rather than based on objective service quality, and says the same issue applies in both directions — sitters rating pets and clients rating sitters ("if the rover detects it can be like um subjective or like unfair or subjective rating uh the rover should filter it out").</t>
  </si>
  <si>
    <t xml:space="preserve">the rover should filter it out</t>
  </si>
  <si>
    <t xml:space="preserve">TR describes clients sometimes rating a sitter low for personal reasons rather than objective service quality, such as being 'too demanding' themselves and taking it out in the rating ("instead of like rate you objectively they rate you because don't like you for personal reasons and then they only give you four star or like give you a one star just because they are way too demanding").</t>
  </si>
  <si>
    <t xml:space="preserve">instead of like rate you objectively they rate you because don't like you for personal reasons and then they only give you four star or like give you a one star just because they are way too demanding</t>
  </si>
  <si>
    <t xml:space="preserve">TR reports a very high current rating, transcribed ambiguously as "5.04" (most consistent with a 5.0 rating), and their answer trails off into "but I am too nervous about rating" before the interviewer interrupts to clarify she'd meant to ask about their rates/prices instead.</t>
  </si>
  <si>
    <t xml:space="preserve">She avoids being fully honest in written reviews about difficult dogs because she's unsure who can see her comments, including whether other Rover users who are themselves sitters could see it, and worries clients would get upset ('I've really been leerary about um like my reviews for clients'; 'I'm really worried who's going to see that and if the client's going to be, you know, upset').</t>
  </si>
  <si>
    <t xml:space="preserve">I'm really worried who's going to see that and if the client's going to be, you know, upset</t>
  </si>
  <si>
    <t xml:space="preserve">As a result, she only writes positive review content and leaves out warnings about a dog's difficult behavior, to protect her business relationships ('I just I say the positive stuff and then I just leave the rest because, you know, how am I supposed to say that and keep my jobs?').</t>
  </si>
  <si>
    <t xml:space="preserve">I just I say the positive stuff and then I just leave the rest because, you know, how am I supposed to say that and keep my jobs?</t>
  </si>
  <si>
    <t xml:space="preserve">She has many long-standing regular clients who return to her repeatedly over the years ('I've had a lot of regulars through out the years').</t>
  </si>
  <si>
    <t xml:space="preserve">I've had a lot of regulars through out the years</t>
  </si>
  <si>
    <t xml:space="preserve">Some regular clients occasionally book other sitters and later return to her, so her repeat-client base has some fluctuation ('sometimes like I just have a client right now who is like oh last time I used someone else and now but now she's back to me').</t>
  </si>
  <si>
    <t xml:space="preserve">sometimes like I just have a client right now who is like oh last time I used someone else and now but now she's back to me</t>
  </si>
  <si>
    <t xml:space="preserve">One long-time regular client primarily books her but also occasionally uses other sitters ('she's pretty consistent with me, but she also uses other people at from time to time').</t>
  </si>
  <si>
    <t xml:space="preserve">she's pretty consistent with me, but she also uses other people at from time to time</t>
  </si>
  <si>
    <t xml:space="preserve">Payments and earnings</t>
  </si>
  <si>
    <t xml:space="preserve">After she accepts a booking, Rover marks the request as "waiting for payment," and the client is generally supposed to pay within about five days before the request gets archived ("It'll say waiting for payment" and "they're supposed to pay within like five days a certain amount of time and then if they don't the request gets archived or something").</t>
  </si>
  <si>
    <t xml:space="preserve">It'll say waiting for payment</t>
  </si>
  <si>
    <t xml:space="preserve">She does not charge clients for meet-and-greets ("I don't charge for it, you know.").</t>
  </si>
  <si>
    <t xml:space="preserve">I don't charge for it, you know.</t>
  </si>
  <si>
    <t xml:space="preserve">She is considering raising her rates once she hits her one-year mark on Rover, partly because her clients outside of Rover have told her she isn't charging enough ("when I hit that one year official mark, I'm gonna kick it up a little bit" and "they think that I'm being that I'm not asking enough").</t>
  </si>
  <si>
    <t xml:space="preserve">when I hit that one year official mark, I'm gonna kick it up a little bit</t>
  </si>
  <si>
    <t xml:space="preserve">She raised her rate for one off-platform client whose dog has significant medical needs (heart issues and medication) because the dog requires more care ("I did raise my rate with them because he's a higher maintenance dog and he's he requires more care").</t>
  </si>
  <si>
    <t xml:space="preserve">I did raise my rate with them because he's a higher maintenance dog and he's he requires more care</t>
  </si>
  <si>
    <t xml:space="preserve">fee-commission-structure</t>
  </si>
  <si>
    <t xml:space="preserve">She says she's fine with Rover's service fee, even though her son, who works in business finance, disapproves of how much Rover takes ("I'm okay with it. My son, who is a business finance guy, is like, 'Mom,' he just rolls his eyes like they're taking so much of, you know, he's he's not pleased.").</t>
  </si>
  <si>
    <t xml:space="preserve">I'm okay with it. My son, who is a business finance guy, is like, 'Mom,' he just rolls his eyes like they're taking so much of, you know, he's he's not pleased.</t>
  </si>
  <si>
    <t xml:space="preserve">She says being okay with Rover's fee is partly about convenience — paying it means she can get on with the rest of her day instead of having to manage things herself ("it's convenience for me. It's I don't mind it because it's convenient and I can get on with the rest of my day and do other things that I want to do without managing all of that.").</t>
  </si>
  <si>
    <t xml:space="preserve">it's convenience for me. It's I don't mind it because it's convenient and I can get on with the rest of my day and do other things that I want to do without managing all of that.</t>
  </si>
  <si>
    <t xml:space="preserve">tipping</t>
  </si>
  <si>
    <t xml:space="preserve">Clients sometimes tip her, and when they do she thanks them; the tip amount will sometimes cover whatever Rover's service fee was ("they'll they'll send a message of thanks or um a tip and if they do tip I usually you know thank them" and "a lot of times people will when they tip me will sometimes tip me whatever the rover fee was, you know, will cover that fee").</t>
  </si>
  <si>
    <t xml:space="preserve">a lot of times people will when they tip me will sometimes tip me whatever the rover fee was, you know, will cover that fee</t>
  </si>
  <si>
    <t xml:space="preserve">He considers Rover's 20% commission worthwhile given what it covers, comparing it to what he'd otherwise pay across multiple separate services ("that's kind of worth 20% to me. Like if I was if I if I was using a bunch of different services, I would probably be giving them at least that much to cover all that stuff").</t>
  </si>
  <si>
    <t xml:space="preserve">that's kind of worth 20% to me. Like if I was if I if I was using a bunch of different services, I would probably be giving them at least that much to cover all that stuff</t>
  </si>
  <si>
    <t xml:space="preserve">He raised his fees by $10 at one point, which brought an overwhelming volume of requests down to a manageable level; this was a one-time adjustment ("I up up my fees by like $10 and then suddenly much more manageable"; "uh just the one time really").</t>
  </si>
  <si>
    <t xml:space="preserve">up my fees by like $10 and then suddenly much more</t>
  </si>
  <si>
    <t xml:space="preserve">He once found and used a discount-code feature to knock $100 off a long, 11-day booking, telling the client "How about I just knock $100 off the price and we'll all that," after finding the feature himself ("I found that button uh after some poking around").</t>
  </si>
  <si>
    <t xml:space="preserve">I found that button uh after some poking around</t>
  </si>
  <si>
    <t xml:space="preserve">He finds it frustrating when clients don't complete the payment step after requesting a booking, since he doesn't want to have to chase them for money ("that's a big source of frustration. You never I don't want to I don't want to have to chase down payment. I don't want to hound them for money").</t>
  </si>
  <si>
    <t xml:space="preserve">that's a big source of frustration. You never I don't want to I don't want to have to chase down payment. I don't want to hound them for money</t>
  </si>
  <si>
    <t xml:space="preserve">His practice is to send one or two reminders, gauging the client socially, before closing out an unpaid request after about 48 hours ("I'll usually send them one or two reminders depending on, you know, just sort of sussing them out socially").</t>
  </si>
  <si>
    <t xml:space="preserve">I'll usually send them one or two reminders depending on, you know, just sort of sussing them out socially</t>
  </si>
  <si>
    <t xml:space="preserve">He does not track his earnings with any outside tool and describes himself as bad with money, often forgetting when payouts are due ("No, no. I'm really bad with money. Uh, in fact, you should not I would say do not use me for advice.").</t>
  </si>
  <si>
    <t xml:space="preserve">No, no. I'm really bad with money. Uh, in fact, you should not I would say do not use me for advice.</t>
  </si>
  <si>
    <t xml:space="preserve">He describes the app's current earnings view as "perfectly sufficient" for showing how much money is coming in, while also noting he rarely thinks to check it himself and that the view is just a single lump total that shrinks as services occur rather than being broken down by date ("I think is perfectly sufficient in telling people like how much money they're making"; "it's just a number that's big and then gets smaller as the the the services happen").</t>
  </si>
  <si>
    <t xml:space="preserve">it's just a number that's big and then gets smaller as the the the services happen</t>
  </si>
  <si>
    <t xml:space="preserve">He would prefer a payout breakdown by specific date and booking rather than one lump total ("I would find that a little more useful to know to to know like not just how much is coming, but specifically when and for what").</t>
  </si>
  <si>
    <t xml:space="preserve">I would find that a little more useful to know to to know like not just how much is coming, but specifically when and for what</t>
  </si>
  <si>
    <t xml:space="preserve">He described one specific case where a prospective client requested nearly a full month of booking (which soft-blocked those dates on his calendar) and then went unresponsive when it was time to pay, which nearly cost him his July bookings while he waited to hear back ("I almost didn't have bookings for July because I had somebody who wanted to book basically the whole month and then when it was time to pay, they they ghosted me").</t>
  </si>
  <si>
    <t xml:space="preserve">I almost didn't have bookings for July because I had somebody who wanted to book basically the whole month and then when it was time to pay, they they ghosted me</t>
  </si>
  <si>
    <t xml:space="preserve">Rover takes approximately a 20% commission on her earnings ("like if I you make 170, they take 20% of that. That's a big chunk that I could use.").</t>
  </si>
  <si>
    <t xml:space="preserve">That's a big chunk that I could use.</t>
  </si>
  <si>
    <t xml:space="preserve">She considers the fee a fair trade-off for the leads and client access Rover provides and does not resent it, even though she needs the income at her age ("I understand they're they're opening a door for" "me to find new people"; "it is a a means to help me keep working. So I'm I'm not going to begrudge him" that).</t>
  </si>
  <si>
    <t xml:space="preserve">I understand they're they're opening a door for</t>
  </si>
  <si>
    <t xml:space="preserve">She sets her rates at what she calls the highest tier available on the platform ("my rate is the highest. I'm at I'm I'm I'm at the highest rate").</t>
  </si>
  <si>
    <t xml:space="preserve">my rate is the highest. I'm at I'm I'm I'm at the highest rate</t>
  </si>
  <si>
    <t xml:space="preserve">Tipping is available through Rover and is not taken as commission, but she believes many owners don't realize tipping is an option, and only some clients tip her ("most owners don't know that you can tip"; "that's free money to you"; "Rover doesn't take money from that").</t>
  </si>
  <si>
    <t xml:space="preserve">Rover doesn't take money from that</t>
  </si>
  <si>
    <t xml:space="preserve">She wishes Rover would more actively promote the tipping option to clients, believing awareness is currently low ("I would hope that they would because some people don't tip at all").</t>
  </si>
  <si>
    <t xml:space="preserve">I would hope that they would because some people don't tip at all</t>
  </si>
  <si>
    <t xml:space="preserve">She does not charge clients for last-minute cancellations, viewing them as an unavoidable part of life; she cited a repeat client who canceled twice but continued rebooking afterward ("I don't charge them or" "anything because life is complicated"; "I didn't charge them anything because I don't want them to feel like, oh, they're going to have to pay for that").</t>
  </si>
  <si>
    <t xml:space="preserve">I didn't charge them anything because I don't want them to feel like, oh, they're going to have to pay for that</t>
  </si>
  <si>
    <t xml:space="preserve">She says the seasonal, on-and-off nature of bookings makes her income unpredictable and hard to depend on ("It's it's not continuous. You can't depend on it regularly"; "you never know what's going to happen. Tomorrow I could have three more and maybe none").</t>
  </si>
  <si>
    <t xml:space="preserve">It's it's not continuous. You can't depend on it regularly</t>
  </si>
  <si>
    <t xml:space="preserve">She says boarding pays more than other services and that she ended up making more money than she expected ("boarding um is more you can charge more for boarding. Like I was making more money than I thought I would.").</t>
  </si>
  <si>
    <t xml:space="preserve">boarding um is more you can charge more for boarding. Like I was making more money than I thought I would.</t>
  </si>
  <si>
    <t xml:space="preserve">She doesn't recall her original income expectation, but confirms it was exceeded ("I don't remember how much I was expecting to make, but").</t>
  </si>
  <si>
    <t xml:space="preserve">I don't remember how much I was expecting to make, but</t>
  </si>
  <si>
    <t xml:space="preserve">When she takes a repeat client's booking offline, she says she charges them less than Rover would, splitting the difference between her Rover take-home and the full Rover listing price so the client pays less while she keeps more of the money ("I typically charge less than what Rover would charge, but I like split the difference between my take-home from Rover and Got over the booking the listing price. So they pay less and I get to take home").</t>
  </si>
  <si>
    <t xml:space="preserve">I typically charge less than what Rover would charge, but I like split the difference between my take-home from Rover and Got over the booking the listing price. So they pay less and I get to take home</t>
  </si>
  <si>
    <t xml:space="preserve">Asked what would make her keep more bookings on the Rover platform itself, she says only if Rover decreased the amount of its upcharge ("That's only if they like decrease the amount of um upcharge that they have.").</t>
  </si>
  <si>
    <t xml:space="preserve">That's only if they like decrease the amount of um upcharge that they have.</t>
  </si>
  <si>
    <t xml:space="preserve">For her on-platform earnings, she relies on Rover, which tracks her total income and sends it to her at the end of the year for taxes ("Rover will send me um they like keep track of my total income and then they'll send it to me at the end of the year for taxes. So I don't do anything else with").</t>
  </si>
  <si>
    <t xml:space="preserve">Rover will send me um they like keep track of my total income and then they'll send it to me at the end of the year for taxes. So I don't do anything else with</t>
  </si>
  <si>
    <t xml:space="preserve">For her offline bookings, which Rover doesn't track, she keeps her own record in a spreadsheet of when she has bookings and how much she charges per night or per day ("I just track everything in a spreadsheet. Um like when I have bookings, offline bookings, and how much I charge per night or per day or whatever the scenario is.").</t>
  </si>
  <si>
    <t xml:space="preserve">I just track everything in a spreadsheet. Um like when I have bookings, offline bookings, and how much I charge per night or per day or whatever the scenario is.</t>
  </si>
  <si>
    <t xml:space="preserve">She said the booking and payment process itself works well for her, without specific complaints ("the booking and payment is all working well").</t>
  </si>
  <si>
    <t xml:space="preserve">the booking and payment is all working well</t>
  </si>
  <si>
    <t xml:space="preserve">She strongly dislikes Rover's current 30% commission fee on first-time bookings, comparing it unfavorably to the previous 20% rate, which she considered fair ("I don't love the new 30% that they're taking out of the cash from the first time bookers"; "before it was 20%... Which is fair").</t>
  </si>
  <si>
    <t xml:space="preserve">I don't love the new 30% that they're taking out of the cash from the first time bookers</t>
  </si>
  <si>
    <t xml:space="preserve">She feels the fee tiers that step down toward lower rates as bookings/revenue accumulate don't fit the actual pace of dog sitting, since most owners don't rebook often enough to reach those tiers ("dog sitting is not something so regular that repeated customers are that common... I lost a lot of money before it actually matters").</t>
  </si>
  <si>
    <t xml:space="preserve">I lost a lot of money before it actually matters</t>
  </si>
  <si>
    <t xml:space="preserve">She believes this fee structure makes people who are just starting on the platform less excited about it than she was when she started ("it also I think it's something that makes people who are just starting on the platform kind of not as excited about it as I was when I started").</t>
  </si>
  <si>
    <t xml:space="preserve">it also I think it's something that makes people who are just starting on the platform kind of not as excited about it as I was when I started</t>
  </si>
  <si>
    <t xml:space="preserve">Her plan for managing the financial pressure is to keep raising her own prices to filter/manage the high demand she already has ("I think the projection for me is just keep increasing my prices um to filter the demand that I'm I've been having").</t>
  </si>
  <si>
    <t xml:space="preserve">I think the projection for me is just keep increasing my prices um to filter the demand that I'm I've been having</t>
  </si>
  <si>
    <t xml:space="preserve">She keeps a personal lead tracker in Notion, outside Rover, to try to track why leads didn't convert into bookings, because Rover doesn't currently provide that information ("I do have a lead tracker on notion that I have on my own").</t>
  </si>
  <si>
    <t xml:space="preserve">I do have a lead tracker on notion that I have on my own</t>
  </si>
  <si>
    <t xml:space="preserve">She wishes Rover's analytics would show why a specific booking didn't happen (e.g. owner's plans changed vs. she was unavailable), saying that information would help her make pricing decisions ("if you're always busy, you should raise your prices, right? It's basic business mentality").</t>
  </si>
  <si>
    <t xml:space="preserve">if you're always busy, you should raise your prices, right? It's basic business mentality</t>
  </si>
  <si>
    <t xml:space="preserve">He has no personal complaints about the payment process as a sitter ("Not not from my end as the dog sitter.").</t>
  </si>
  <si>
    <t xml:space="preserve">Not not from my end as the dog sitter.</t>
  </si>
  <si>
    <t xml:space="preserve">Pricing within the app is tied to duration tiers (e.g., 12-hour vs. 24-hour blocks), which determines the charge amount ("it charges, you know, like video clips is 12 hours, 24 hours, and you charge more").</t>
  </si>
  <si>
    <t xml:space="preserve">it charges, you know, like video clips is 12 hours, 24 hours, and you charge more</t>
  </si>
  <si>
    <t xml:space="preserve">Dog sitting is priced higher within the app than cat sitting ("dog sitting is more expensive within the app").</t>
  </si>
  <si>
    <t xml:space="preserve">dog sitting is more expensive within the app</t>
  </si>
  <si>
    <t xml:space="preserve">He values that Rover makes it easy to cancel a job so clients aren't charged for a service that doesn't happen, since he dislikes people being charged unnecessarily ("I hate when people get charged for things that they don't they don't need to pay for"; "it's been really easy just to cancel that for someone so you know they're not charged $30").</t>
  </si>
  <si>
    <t xml:space="preserve">I hate when people get charged for things that they don't they don't need to pay for</t>
  </si>
  <si>
    <t xml:space="preserve">In one case, after a last-minute walk cancellation still resulted in the client being charged, he chose to walk the dog anyway on a later occasion to make it even for the client ("then next time we'll cancel it and then I'll walk the dog anyway to make it even").</t>
  </si>
  <si>
    <t xml:space="preserve">then next time we'll cancel it and then I'll walk the dog anyway to make it even</t>
  </si>
  <si>
    <t xml:space="preserve">Clients can leave a tip within the app after a service is finished, and he sometimes receives a tip with a thank-you note a day or two later, though not on every job ("within the app they are allowed to tip after the service is finished"; "it's not always").</t>
  </si>
  <si>
    <t xml:space="preserve">within the app they are allowed to tip after the service is finished</t>
  </si>
  <si>
    <t xml:space="preserve">He describes his Rover income overall as "nice little money bumps" rather than a central source of income ("it's nice little money bumps").</t>
  </si>
  <si>
    <t xml:space="preserve">it's nice little money bumps</t>
  </si>
  <si>
    <t xml:space="preserve">She started charging about $20 a night when she began on Rover ("I leave it like uh $20 a night, something like that").</t>
  </si>
  <si>
    <t xml:space="preserve">I leave it like uh $20 a night, something like that</t>
  </si>
  <si>
    <t xml:space="preserve">She believes that rate is still the same today, and doesn't recall ever raising it ("I think this is the same present that I have now").</t>
  </si>
  <si>
    <t xml:space="preserve">I think this is the same present that I have now</t>
  </si>
  <si>
    <t xml:space="preserve">Rover's roughly 20% commission can feel substantial on longer bookings -- she gives an example of a $600 job where she keeps only about 80% ("it's $600 and then from that money, you're getting only like 80%").</t>
  </si>
  <si>
    <t xml:space="preserve">it's $600 and then from that money, you're getting only like 80%</t>
  </si>
  <si>
    <t xml:space="preserve">Even so, she doesn't consider the fee unfair, since she sees it as funding the app's upkeep ("I'm not going to say that it's unfair").</t>
  </si>
  <si>
    <t xml:space="preserve">I'm not going to say that it's unfair</t>
  </si>
  <si>
    <t xml:space="preserve">She describes a recently introduced tiered payout system that increases her cut to 85% once she passes $500 in earnings with a given recurring client ("if you do more than $500 then you're going to get 85% of the" [future services with that person]).</t>
  </si>
  <si>
    <t xml:space="preserve">if you do more than $500 then you're going to get 85% of the</t>
  </si>
  <si>
    <t xml:space="preserve">She views this loyalty-tier change positively, as a reward for having recurring clients ("So, that's nice.").</t>
  </si>
  <si>
    <t xml:space="preserve">So, that's nice.</t>
  </si>
  <si>
    <t xml:space="preserve">insurance-liability-coverage</t>
  </si>
  <si>
    <t xml:space="preserve">She described an incident where a cat urinated on her couch during a sit, and she contacted Rover to ask about coverage for professional cleaning ("I communicated with Robert that day that to see if there was like any coverage on like furniture dam actually it was not damage I just wanted to have like professional cleaning").</t>
  </si>
  <si>
    <t xml:space="preserve">I communicated with Robert that day that to see if there was like any coverage on like furniture dam actually it was not damage I just wanted to have like professional cleaning</t>
  </si>
  <si>
    <t xml:space="preserve">Rover told her this cost would be on her, which she says felt unfair, and the professional cleaning (roughly $200) ended up costing more than she'd earned from that booking (about $100) ("unfair. Yeah. Because I took a service I won like $100 and professional cleaning. It cost me almost" [$200]).</t>
  </si>
  <si>
    <t xml:space="preserve">unfair. Yeah. Because I took a service I won like $100 and professional cleaning. It cost me almost</t>
  </si>
  <si>
    <t xml:space="preserve">She would like Rover to offer at least a partial credit or some form of help in situations like this, even if not full coverage ("at least a credit or maybe I don't know something that helps a little bit").</t>
  </si>
  <si>
    <t xml:space="preserve">at least a credit or maybe I don't know something that helps a little bit</t>
  </si>
  <si>
    <t xml:space="preserve">Rover's 20% fee is a major improvement over her previous platform, Wag, where "they took 40% versus like the 20% I'm at now."</t>
  </si>
  <si>
    <t xml:space="preserve">they took 40% versus like the 20% I'm at now.</t>
  </si>
  <si>
    <t xml:space="preserve">For her private (non-Rover) clients, "I'll accept like literally anything. I have QuickBooks that I can send an invoice. They can pay over that. PayPal," Venmo, Zelle, cash, or check.</t>
  </si>
  <si>
    <t xml:space="preserve">I'll accept like literally anything. I have QuickBooks that I can send an invoice. They can pay over that. PayPal,</t>
  </si>
  <si>
    <t xml:space="preserve">She doesn't know how payment works on "I don't know how the client side" of Rover works, but has no issue getting paid herself.</t>
  </si>
  <si>
    <t xml:space="preserve">I don't know how the client side</t>
  </si>
  <si>
    <t xml:space="preserve">Payment for a Rover booking is finalized about 2 days after the sit is completed ("So to clarify, I don't get the money until 2 days after the booking is completed.").</t>
  </si>
  <si>
    <t xml:space="preserve">So to clarify, I don't get the money until 2 days after the booking is completed.</t>
  </si>
  <si>
    <t xml:space="preserve">She builds Rover's 20% fee into her overall pricing, since "I typically plan them in on my um fee structure and they're tax deductible."</t>
  </si>
  <si>
    <t xml:space="preserve">I typically plan them in on my um fee structure and they're tax deductible.</t>
  </si>
  <si>
    <t xml:space="preserve">Her price increases have not been driven by Rover's fee, since it's "not due to the 20%. Um it was more due to the living wage" increase and her own growing experience and tenure.</t>
  </si>
  <si>
    <t xml:space="preserve">not due to the 20%. Um it was more due to the living wage</t>
  </si>
  <si>
    <t xml:space="preserve">She sees the fee as reasonable because "Rover can charge whatever they do advertising, they bring in clients, they have their overhead fees. So Rover can charge the 20% and get their" share.</t>
  </si>
  <si>
    <t xml:space="preserve">Rover can charge whatever they do advertising, they bring in clients, they have their overhead fees. So Rover can charge the 20% and get their</t>
  </si>
  <si>
    <t xml:space="preserve">Rover accounts for roughly a third of her overall income, and she doubts that share could grow further given her self-imposed capacity limits ("Rover is like a third of my income, I would say"... "I don't think it possibly even could ever be more than a third").</t>
  </si>
  <si>
    <t xml:space="preserve">I don't think it possibly even could ever be more than a third</t>
  </si>
  <si>
    <t xml:space="preserve">For her private clients she primarily uses Venmo, Zelle, and Cash App ("Venmo, Zel, and Cash App for my private clients"); she also mentioned having used PayPal in the past but indicated a preference against it related to fees, though that specific portion of the transcript is garbled [unclear] beyond the general point.</t>
  </si>
  <si>
    <t xml:space="preserve">Venmo, Zel, and Cash App for my private clients</t>
  </si>
  <si>
    <t xml:space="preserve">She finds Rover's display of pending earnings confusing ("I do feel like the the way that Rover shows pending earnings is confusing") and would like clearer visibility into what's pending versus paid out, pointing to Airbnb's earnings interface as a better model ("Airbnb does a really good job of showing me what um what's pending").</t>
  </si>
  <si>
    <t xml:space="preserve">I do feel like the the way that Rover shows pending earnings is confusing</t>
  </si>
  <si>
    <t xml:space="preserve">She stopped taking daycare bookings partly because the financial return didn't match the effort involved — daycare required more work but clients tended to expect to pay less for it than for boarding ("I didn't feel like the financial return on that was much because you don't actually make um that much more from daycare or people expect you to charge less, but it's more work").</t>
  </si>
  <si>
    <t xml:space="preserve">I didn't feel like the financial return on that was much because you don't actually make um that much more from daycare or people expect you to charge less, but it's more work</t>
  </si>
  <si>
    <t xml:space="preserve">She is seeking a separate, fourth income stream apart from Rover ("Right now, I'm looking for basically a fourth stream of income."), and believes a return to the tech industry — rather than growing her dog-sitting income — is the more realistic way to significantly increase earnings ("if I'm going to make more money, it's going to be through tech").</t>
  </si>
  <si>
    <t xml:space="preserve">Right now, I'm looking for basically a fourth stream of income.</t>
  </si>
  <si>
    <t xml:space="preserve">Clients pay through the Rover app, and she deliberately avoids explaining payment logistics upfront so as not to make them second-guess booking with her: "I just like I let them use the Rover app, right? like there's nothing that I really tell them about because I don't want to make them uh like second guess their you know them booking with me."</t>
  </si>
  <si>
    <t xml:space="preserve">I just like I let them use the Rover app, right? like there's nothing that I really tell them about because I don't want to make them uh like second guess their you know them booking with me</t>
  </si>
  <si>
    <t xml:space="preserve">If a booking date is approaching and payment hasn't come through, she'll nudge the client to pay before the booking starts, though she says this has rarely been necessary.</t>
  </si>
  <si>
    <t xml:space="preserve">When she first set up her profile, she deliberately priced her dog-walking rate at the low end ($16/walk) — low enough to be competitive but not so low that clients would get suspicious — compared to other sitters charging $18 to $22: "when I first made my profile, I really wanted to make the lowest rate possible, but not like so low that the client gets suspicious, you know. But, uh, yeah, $16 was around the lower end of a walk rate. Everyone else was charging around $18 to uh $22."</t>
  </si>
  <si>
    <t xml:space="preserve">I really wanted to make the lowest rate possible, but not like so low that the client gets suspicious</t>
  </si>
  <si>
    <t xml:space="preserve">She raised her dog-walking rate from $16 to $18 in 2024 once she started receiving many requests at once, tentatively linking the timing to rising gas prices: "it was when uh I was receiving lots of different requests at a time... I think it was maybe because of the um increase of gas prices... So, I increased it to $18. Not a big amount."</t>
  </si>
  <si>
    <t xml:space="preserve">I think it was maybe because of the um increase of gas prices</t>
  </si>
  <si>
    <t xml:space="preserve">She has not touched her walking rate since that one increase, noting there's a ceiling to what can be charged for a 30-minute walk: "I haven't touched that one since. But... there's just so much you could charge for a 30 minute walk."</t>
  </si>
  <si>
    <t xml:space="preserve">I haven't touched that one since</t>
  </si>
  <si>
    <t xml:space="preserve">Unlike her fixed walking rate, she periodically raises her drop-in visit and house-sitting rates when she notices high demand for those specific services: "the um drop in visits or the uh housesitting, I do raise the rates when there's a high demand like every now and then."</t>
  </si>
  <si>
    <t xml:space="preserve">the um drop in visits or the uh housesitting, I do raise the rates when there's a high demand like every now and then</t>
  </si>
  <si>
    <t xml:space="preserve">She defines 'high demand' as getting multiple requests for the same service within about a two-to-three month span, and specifies the increase is tied to clients actually booking (and booking frequently), not just messaging: "when I get multiple messages for the same service in like a two month, three month span, right? When I book with them, like not necessarily when they send a [message], like if they book and they book frequently, right, that's when I'll increase by a couple dollars."</t>
  </si>
  <si>
    <t xml:space="preserve">when I get multiple messages for the same service in like a two month, three month span</t>
  </si>
  <si>
    <t xml:space="preserve">She also raised her drop-in visit rate following the extended Texas client situation; she frames the increase as connected to the client's lack of transparency about her return date rather than pure demand, and clarifies that the change was to her rate, not an expansion of the service itself: "I had to uh well not expand the [sitting] service but that was also when I did increase my rate for drop in visits... she wasn't being very transparent like as to when she was going to return back to Canada."</t>
  </si>
  <si>
    <t xml:space="preserve">I did increase my rate for drop in visits</t>
  </si>
  <si>
    <t xml:space="preserve">She views Rover's roughly 20% platform fee neutrally, comparing it to a modest extra tax rather than a real burden: "it doesn't bother me. I mean 20%... like it's better than most uh platforms but you know I'll say It's almost like uh tax, you know, tax is already 15%. So, another 5% isn't going to be uh the end of the world."</t>
  </si>
  <si>
    <t xml:space="preserve">It's almost like uh tax, you know, tax is already 15%. So, another 5% isn't going to be uh the end of the world</t>
  </si>
  <si>
    <t xml:space="preserve">She thinks a loyalty program that lowered fees for repeat clients 'would be cool,' but says she isn't fussy about the absence of one since she can simply raise her own rates if she wants higher pay: "Yeah, that would be cool. But, uh, you know, I'm not very, uh, fussy about it because at the end of the day, I pick the rates. So, if I wanted, uh, higher pay, I could just, uh, put up the rates a little bit."</t>
  </si>
  <si>
    <t xml:space="preserve">Yeah, that would be cool. But, uh, you know, I'm not very, uh, fussy about it because at the end of the day, I pick the rates</t>
  </si>
  <si>
    <t xml:space="preserve">To help land their first booking during a slow period, TR considered and slightly lowered their rate ("I think I might change my rate. I think I might lower my rate slightly").</t>
  </si>
  <si>
    <t xml:space="preserve">I think I might change my rate. I think I might lower my rate slightly</t>
  </si>
  <si>
    <t xml:space="preserve">TR feels Rover's roughly 30% service fee is high ("I do feel like the 30% off it was pretty high um for [sitting]").</t>
  </si>
  <si>
    <t xml:space="preserve">I do feel like the 30%</t>
  </si>
  <si>
    <t xml:space="preserve">TR is aware Rover is piloting a tiered fee structure in some areas where the percentage taken decreases as client spend increases, for example 20% at around $2,000 and 10% above that, and thinks this direction would be an improvement ("if the clients spend the maybe like $2,000 they only take 20% and even more they only take 10%").</t>
  </si>
  <si>
    <t xml:space="preserve">if the clients spend the maybe like $2,000 they only take 20% and even more they only take 10%</t>
  </si>
  <si>
    <t xml:space="preserve">TR would find a lower fee of around 15-20% more acceptable, particularly for regular clients, reasoning that regulars carry lower risk and need less platform intervention ("I think maybe like uh 15% 20% is something I'm more accepting honestly because I do feel like for my regulars they tend to have like lower risk").</t>
  </si>
  <si>
    <t xml:space="preserve">I think maybe like uh 15% 20% is something I'm more accepting honestly because I do feel like for my regulars they tend to have like lower risk</t>
  </si>
  <si>
    <t xml:space="preserve">TR offers a 10% discount on long-stay bookings above $1,000, reasoning that discounts matter a lot to clients spending that much ("for if they like plenty for a longer stay, which is like $1,000 above booking, I would offer them like a discount for 10% off").</t>
  </si>
  <si>
    <t xml:space="preserve">for if they like plenty for a longer stay, which is like $1,000 above booking, I would offer them like a discount for 10% off</t>
  </si>
  <si>
    <t xml:space="preserve">TR offers a $5 discount to returning clients as an incentive to rebook and leave a review ("I can all offer $5 discounts uh just for like a returning client").</t>
  </si>
  <si>
    <t xml:space="preserve">I can all offer $5 discounts uh just for like a returning client</t>
  </si>
  <si>
    <t xml:space="preserve">TR says the current payment process generally makes sense but is inefficient for very long stays, since a sitter isn't paid until the full stay (e.g. three months) is complete ("I think right now the payment process kind of makes sense. But um, but I think it can be like kind of ineffective for a longer stay").</t>
  </si>
  <si>
    <t xml:space="preserve">I think right now the payment process kind of makes sense. But um, but I think it can be like kind of ineffective for a longer stay</t>
  </si>
  <si>
    <t xml:space="preserve">TR suggests that for long stays, Rover should split payment into installments (e.g. paid out month by month) rather than holding all funds until the end, arguing this would keep sitters motivated to continue ("the rob maybe like can be dividing the payments into like different parts like first month pay first month second month second month").</t>
  </si>
  <si>
    <t xml:space="preserve">the rob maybe like can be dividing the payments into like different parts like first month pay first month second month second month</t>
  </si>
  <si>
    <t xml:space="preserve">TR does not plan to raise their rates unless they become significantly busier ("I don't think I will change it very much unless I am like a on a much busier time").</t>
  </si>
  <si>
    <t xml:space="preserve">I don't think I will change it very much unless I am like a on a much busier time</t>
  </si>
  <si>
    <t xml:space="preserve">She started at roughly $35 a night for boarding and $50 a night for housesitting, and was initially nervous no one would pay those rates ('I started um at like 35 a night, I think, for boarding and maybe 50 for housesitting'; 'I was really nervous when I first started because I thought, Oh man, who's going to pay that?').</t>
  </si>
  <si>
    <t xml:space="preserve">I was really nervous when I first started because I thought, Oh man, who's going to pay that?</t>
  </si>
  <si>
    <t xml:space="preserve">Prompted by a friend telling her to raise her rates, she eventually increased to her current prices of $50 a night for boarding and $65 a night for housesitting ('now I'm 65 a night for housesitting'; 'I do boarding at 50').</t>
  </si>
  <si>
    <t xml:space="preserve">now I'm 65 a night for housesitting</t>
  </si>
  <si>
    <t xml:space="preserve">She observed that lower prices attracted more clients but also more complicated dogs and clients, while higher prices attracted fewer but more responsible clients with better-behaved dogs ('the quality of clients... how well behaved their dogs are I would say goes up when you put your prices higher').</t>
  </si>
  <si>
    <t xml:space="preserve">how well behaved their dogs are I would say goes up when you put your prices higher</t>
  </si>
  <si>
    <t xml:space="preserve">She experimented with raising housesitting to $75 a night, inspired by a friend who charges $100 and attracts 'bougie' clients, but reverted after it didn't pan out ('I'll go to 75 and see how it goes. But then it didn't really pan out').</t>
  </si>
  <si>
    <t xml:space="preserve">I'll go to 75 and see how it goes. But then it didn't really pan out</t>
  </si>
  <si>
    <t xml:space="preserve">That price experiment happened to coincide with a seasonally slow period (January through April) with less booking demand overall, though she describes the higher price itself as a one-time experiment rather than a seasonal strategy ('No, it's not seasonal. I did it as an experiment').</t>
  </si>
  <si>
    <t xml:space="preserve">No, it's not seasonal. I did it as an experiment</t>
  </si>
  <si>
    <t xml:space="preserve">Raising prices was complicated by her existing long-term clients, whom she kept honoring at old rates, creating bookkeeping confusion in her own private invoicing over which client was charged which rate ('I had all these like long-term clients that I wasn't going to up their prices, too'; 'is this a client that's 65 or 75? You know, like I didn't know').</t>
  </si>
  <si>
    <t xml:space="preserve">is this a client that's 65 or 75? You know, like I didn't know</t>
  </si>
  <si>
    <t xml:space="preserve">She intentionally prices boarding at her own home lower than housesitting because staying home is simply more convenient for her personally, not because of client demand ('I put the boarding here a little lower because it's more convenient for me... and that's what I prefer').</t>
  </si>
  <si>
    <t xml:space="preserve">I put the boarding here a little lower because it's more convenient for me</t>
  </si>
  <si>
    <t xml:space="preserve">She is comfortable with Rover's 20% commission, viewing it as a reasonable cost given the platform's value ('I get the 20%. I'm totally not against that, you know, like because everybody needs to make their money, you know, and that is a total great platform').</t>
  </si>
  <si>
    <t xml:space="preserve">I get the 20%. I'm totally not against that, you know, like because everybody needs to make their money</t>
  </si>
  <si>
    <t xml:space="preserve">Her main financial frustration with Rover is the delay before she gets paid after a booking ends — usually around five days, though she says the timing varies and her most recent payout came through faster ('it takes like 5 days to get paid after a booking ends'; 'this last time I got paid almost right away, a couple days later, but um sometimes it's long') — and she wants it shortened to around 24 hours ('it would be really nice if they release the money like 24 hours after the booking').</t>
  </si>
  <si>
    <t xml:space="preserve">this last time I got paid almost right away, a couple days later, but um sometimes it's long</t>
  </si>
  <si>
    <t xml:space="preserve">For her private clients, she requires payment upfront on the first day, a practice she says she adopted directly from watching how Rover collects and holds client payment ('I make them pay first day. I learned that from Rover. Rover gets them gets their money right away and holds it').</t>
  </si>
  <si>
    <t xml:space="preserve">I make them pay first day. I learned that from Rover. Rover gets them gets their money right away and holds it</t>
  </si>
  <si>
    <t xml:space="preserve">Cross-platform behavior</t>
  </si>
  <si>
    <t xml:space="preserve">Two of her Rover clients proposed moving their arrangement off-platform after first contacting her through Rover, and she went along with it ("We started with Rover and then they just said, 'Hey, let's just do this, you know, let's let's just do this outside of Rover.'" and "that's happened in I want to say maybe two cases").</t>
  </si>
  <si>
    <t xml:space="preserve">We started with Rover and then they just said, 'Hey, let's just do this, you know, let's let's just do this outside of Rover.'</t>
  </si>
  <si>
    <t xml:space="preserve">For one of the two cases where a client moved the relationship off-platform, she said she had doubts because the dog had significant heart issues and was on medication, which led her to look into Rover's coverage policy ("the only thing I doubted because that particular dog had major heart issues and was on medication" and "I was digging into the, you know, the Rover's policy about having covering you up to a certain amount of money and stuff"); she said only that things "worked out okay" without specifying exactly how the coverage question was resolved.</t>
  </si>
  <si>
    <t xml:space="preserve">the only thing I doubted because that particular dog had major heart issues and was on medication</t>
  </si>
  <si>
    <t xml:space="preserve">She doesn't proactively suggest moving a relationship off Rover herself, but will agree if the client requests it ("I usually I don't say anything to the person. I if they say something to me like I'd rather do this outside of Rover then I'll be like okay we we can do that").</t>
  </si>
  <si>
    <t xml:space="preserve">I usually I don't say anything to the person. I if they say something to me like I'd rather do this outside of Rover then I'll be like okay we we can do that</t>
  </si>
  <si>
    <t xml:space="preserve">She generally prefers to keep bookings on Rover because it provides coverage up to a certain amount, which she says makes her feel more secure ("I tend to prefer to keep it on rover because I know that there's a certain amount of coverage" and "which makes me feel more secure").</t>
  </si>
  <si>
    <t xml:space="preserve">I tend to prefer to keep it on rover because I know that there's a certain amount of coverage</t>
  </si>
  <si>
    <t xml:space="preserve">She has some private clients — friends from before she joined Rover — who have always been kept outside of Rover, separate from her Rover business ("I have some friends that, you know, I' I had prior to that I just keep they're out of Rover").</t>
  </si>
  <si>
    <t xml:space="preserve">I have some friends that, you know, I' I had prior to that I just keep they're out of Rover</t>
  </si>
  <si>
    <t xml:space="preserve">He has no off-platform clients at all; everything runs through Rover ("No, it's all on rover").</t>
  </si>
  <si>
    <t xml:space="preserve">No, it's all on rover</t>
  </si>
  <si>
    <t xml:space="preserve">He considered but rejected doing pet sitting independently, because Rover already handles communication, scheduling, and provides a sense of security/liability that he'd otherwise have to arrange himself ("there's just so many things I feel like Rover takes care of like a lot of little especially communication scheduling uh and just providing a sense of security and liability for both parties").</t>
  </si>
  <si>
    <t xml:space="preserve">there's just so many things I feel like Rover takes care of like a lot of little especially communication scheduling uh and just providing a sense of security and liability for both parties</t>
  </si>
  <si>
    <t xml:space="preserve">He compares Rover favorably to alternative self-marketing channels he considered unappealing, like flyers at the dog park or figuring out Nextdoor ("I'm like putting up flyers at the dog park. I'm trying to figure out how Next Door works as a platform. Uh and none of that's very appealing to me").</t>
  </si>
  <si>
    <t xml:space="preserve">I'm like putting up flyers at the dog park. I'm trying to figure out how Next Door works as a platform. Uh and none of that's very appealing to me</t>
  </si>
  <si>
    <t xml:space="preserve">He also cites avoiding administrative paperwork as a reason for staying on Rover rather than operating independently, describing himself as bad at it ("I'm also terrible at paperwork. It was like if I could just force that all off on somebody").</t>
  </si>
  <si>
    <t xml:space="preserve">I'm also terrible at paperwork. It was like if I could just force that all off on somebody</t>
  </si>
  <si>
    <t xml:space="preserve">Clients have tried to move some bookings off the Rover platform directly to avoid Rover's fees; she confirms this has happened, and frames it as the owner's decision rather than something within her control ("it has happened only because the owners don't want to pay" the fees; "that's not in my control, you know, that's something it's up to the owner").</t>
  </si>
  <si>
    <t xml:space="preserve">it has happened only because the owners don't want to pay</t>
  </si>
  <si>
    <t xml:space="preserve">She will decline an owner's request to move a booking off-platform if she judges the animal too risky health-wise, since she couldn't personally afford to cover a medical emergency herself ("they will ask me and I will turn it down if I think the dog is too old or if the dog is sick"; "I'd be afraid if something happened to that cat. I couldn't afford to pay").</t>
  </si>
  <si>
    <t xml:space="preserve">they will ask me and I will turn it down if I think the dog is too old or if the dog is sick</t>
  </si>
  <si>
    <t xml:space="preserve">She says she likes keeping new client relationships on Rover for the first couple of bookings because of the built-in insurance, which gives her peace of mind especially with dogs that have behavioral challenges ("I like using Rover the first couple of times um because they have like insurance built in and stuff. So, just in case, especially with dogs that are, you know, have some behavioral challenges, um it's a like nice peace of mind").</t>
  </si>
  <si>
    <t xml:space="preserve">I like using Rover the first couple of times um because they have like insurance built in and stuff. So, just in case, especially with dogs that are, you know, have some behavioral challenges, um it's a like nice peace of mind</t>
  </si>
  <si>
    <t xml:space="preserve">Once she and a client are friendly and both feel comfortable, she says they can take the arrangement offline ("once we're friends, um if if everyone feels good about taking it offline, we can take it offline.").</t>
  </si>
  <si>
    <t xml:space="preserve">once we're friends, um if if everyone feels good about taking it offline, we can take it offline.</t>
  </si>
  <si>
    <t xml:space="preserve">She acknowledges that taking bookings offline isn't technically permitted under Rover's rules ("I think technically that's breaking the rules.").</t>
  </si>
  <si>
    <t xml:space="preserve">I think technically that's breaking the rules.</t>
  </si>
  <si>
    <t xml:space="preserve">She says sometimes it's the client who asks her directly if there's a way to take the arrangement offline so they don't need to use Rover ("they'll ask me like is there a way to take this offline? We don't need to use Rover. Um so we've done that in the past.").</t>
  </si>
  <si>
    <t xml:space="preserve">they'll ask me like is there a way to take this offline? We don't need to use Rover. Um so we've done that in the past.</t>
  </si>
  <si>
    <t xml:space="preserve">Once offline, she says clients reach her directly by getting her number, or sometimes by checking her Rover calendar to see when she's free and asking to book that time with her directly ("people just get my number directly and they're like, "Hey, are you available this time?" Or or sometimes they they check my Rover calendar. It's like, "I see you're free this week. Um can I steal that time?"").</t>
  </si>
  <si>
    <t xml:space="preserve">people just get my number directly and they're like, "Hey, are you available this time?" Or or sometimes they they check my Rover calendar. It's like, "I see you're free this week. Um can I steal that time?"</t>
  </si>
  <si>
    <t xml:space="preserve">She says this offline arrangement has happened with more than one client ("Some of the people or I've had some people like book offline. So we're not using Rover.").</t>
  </si>
  <si>
    <t xml:space="preserve">Some of the people or I've had some people like book offline. So we're not using Rover.</t>
  </si>
  <si>
    <t xml:space="preserve">Rover is the only booking platform she uses for pet sitting; she gets some referrals through her private network of other dog trainers but no other app or platform ("no other platform or Rover is the only platform that I use but I do get referrals").</t>
  </si>
  <si>
    <t xml:space="preserve">no other platform or Rover is the only platform that I use but I do get referrals</t>
  </si>
  <si>
    <t xml:space="preserve">Her dog-training business has its own separate web presence rather than being run through Rover — she only advertises the training side of the business on her own website ("I only put on my website the dog training side of the business"), while boarding is booked exclusively through the Rover platform.</t>
  </si>
  <si>
    <t xml:space="preserve">I only put on my website the dog training side of the business</t>
  </si>
  <si>
    <t xml:space="preserve">A few former boarding clients ask for her Instagram, which she'll share (her dog-training account), but she describes this as very rare ("a few clients have asked me for my my Instagram and then I give them my dog training Instagram... but it's very very rare").</t>
  </si>
  <si>
    <t xml:space="preserve">a few clients have asked me for my my Instagram and then I give them my dog training Instagram</t>
  </si>
  <si>
    <t xml:space="preserve">She networks with other positive-reinforcement dog trainers and with sitters/trainers in Vancouver's Brazilian community via personal contacts and a WhatsApp group, entirely outside Rover ("we have a WhatsApp group with the Brazilian community in general").</t>
  </si>
  <si>
    <t xml:space="preserve">we have a WhatsApp group with the Brazilian community in general</t>
  </si>
  <si>
    <t xml:space="preserve">All booking logistics and payments stay within the Rover app itself -- he doesn't use a separate platform to arrange or pay for jobs ("Everything is done through the app.").</t>
  </si>
  <si>
    <t xml:space="preserve">The only other scheduling tools he uses alongside Rover's own calendar are a Google Calendar export to his phone and a physical dry-erase calendar at home (see Booking and availability) -- both supplementary reminders, not a shift of the booking relationship off Rover.</t>
  </si>
  <si>
    <t xml:space="preserve">Day-to-day communication with about five or six close, repeat client families has moved off the Rover app to standard texting/iMessage (see Client communication), but this reflects a communication-convenience preference rather than those relationships moving off-platform, since bookings for these same clients still go through Rover.</t>
  </si>
  <si>
    <t xml:space="preserve">In addition to her Rover clients, she has her own private, non-Rover pet-sitting clients; she flagged this distinction herself early in the call by asking whether pet-sitting done "outside a rover" would count for the study ("if I'm if I was peting a dog outside a rover, this just wouldn't apply, right?").</t>
  </si>
  <si>
    <t xml:space="preserve">if I'm if I was peting a dog outside a rover, this just wouldn't apply, right?</t>
  </si>
  <si>
    <t xml:space="preserve">She reports little to no scheduling conflict between her private and Rover clients ("there it usually hasn't been a problem because I really don't have that problem").</t>
  </si>
  <si>
    <t xml:space="preserve">there it usually hasn't been a problem because I really don't have that problem</t>
  </si>
  <si>
    <t xml:space="preserve">Separately, she said she organizes her sitting using her own personal calendar rather than a Rover-specific scheduling tool ("I usually just use my calendar.").</t>
  </si>
  <si>
    <t xml:space="preserve">I usually just use my calendar.</t>
  </si>
  <si>
    <t xml:space="preserve">[Unclear/garbled due to a connectivity issue] When asked whether her business started with private clients or with Rover, and how the two compare now, her answer was interrupted by audio problems and is not fully intelligible; the closest she got to an answer was "It's starting to over. It's mostly mostly rubber," which may indicate her business is now mostly Rover-based, but this cannot be confirmed with confidence from the transcript.</t>
  </si>
  <si>
    <t xml:space="preserve">It's starting to over. It's mostly mostly rubber,</t>
  </si>
  <si>
    <t xml:space="preserve">As a general rule, she never books new clients outside the Rover app ("I usually never do uh like any books for new people without" [the app]).</t>
  </si>
  <si>
    <t xml:space="preserve">I usually never do uh like any books for new people without</t>
  </si>
  <si>
    <t xml:space="preserve">The one exception is personal friends who already know she offers this kind of service; she'll arrange care for their pets informally, without going through Rover ("I don't like doing like any bookings outside from the app unless they are friends of mine").</t>
  </si>
  <si>
    <t xml:space="preserve">I don't like doing like any bookings outside from the app unless they are friends of mine</t>
  </si>
  <si>
    <t xml:space="preserve">For those friends, she'll host their pet or check on it at their home during short trips as an informal favor ("if they are going on vacations I don't know like couple days I don't mind to having them at home").</t>
  </si>
  <si>
    <t xml:space="preserve">if they are going on vacations I don't know like couple days I don't mind to having them at home</t>
  </si>
  <si>
    <t xml:space="preserve">For anyone outside that circle, she prefers to keep bookings on Rover because she believes it gives her some insurance protection if something goes wrong ("it's kind of risky because when they decide to go with a rubber service, they I don't know if uh I'm completely sure about this, but they can have like a insurance").</t>
  </si>
  <si>
    <t xml:space="preserve">it's kind of risky because when they decide to go with a rubber service, they I don't know if uh I'm completely sure about this, but they can have like a insurance</t>
  </si>
  <si>
    <t xml:space="preserve">She says she's never had to take a pet to the vet because of an incident while sitting ("that I had to take them to the vet. Never. So I do my best to take care of them, but if incidents happen or something").</t>
  </si>
  <si>
    <t xml:space="preserve">that I had to take them to the vet. Never. So I do my best to take care of them, but if incidents happen or something</t>
  </si>
  <si>
    <t xml:space="preserve">She feels that if something did happen, she'd be backed by staying on the app ("then I feel that I'm back by the app as" [well]).</t>
  </si>
  <si>
    <t xml:space="preserve">then I feel that I'm back by the app as</t>
  </si>
  <si>
    <t xml:space="preserve">About 10% of her clients also book with her fully off-platform, mostly elderly clients who default to NextDoor, Facebook, or a phone number instead of the Rover app: "let's say out of a hundred Rover clients I'll get like 10 off booking like off Rover."</t>
  </si>
  <si>
    <t xml:space="preserve">let's say out of a hundred Rover clients I'll get like 10 off booking like off Rover.</t>
  </si>
  <si>
    <t xml:space="preserve">She previously used a competing platform, Wag, but stopped entirely; unlike Rover, on Wag "multiple pet sitters are looking at the exact same" request, and "if you grab it, great. And if you don't, great. And then and then it's a crapshoot of what the what client you're getting, what dog you're getting."</t>
  </si>
  <si>
    <t xml:space="preserve">multiple pet sitters are looking at the exact same</t>
  </si>
  <si>
    <t xml:space="preserve">By her account, Wag worked more like a first-come, blind-acceptance system ("it worked more like an Uber or a lift type situation where like it just like popped up and like you had to like grab it as quick as possible"), whereas on Rover "it's not like grab or lose the clients. It's more message and then if the client messages everybody, they interview um the client or the client interviews the pets sitter and then whoever's the right fit is the right fit."</t>
  </si>
  <si>
    <t xml:space="preserve">it's not like grab or lose the clients. It's more message and then if the client messages everybody, they interview um the client or the client interviews the pets sitter and then whoever's the right fit is the right fit.</t>
  </si>
  <si>
    <t xml:space="preserve">Rover messaging doesn't work well (or costs extra) for clients traveling internationally, so for those clients she supplements her always-through-Rover messaging with WhatsApp or Signal ("if the client is going internationally, I supplement with WhatsApp or Signal."), though she describes this as optional ("It's not required. I just offer it for the clients.").</t>
  </si>
  <si>
    <t xml:space="preserve">if the client is going internationally, I supplement with WhatsApp or Signal.</t>
  </si>
  <si>
    <t xml:space="preserve">She networks with a standby group of five local pet sitters who recommend clients to each other ("I have what five pet sitters um on standby that we recommend each other."), including some who can't take cat clients due to allergy or pregnancy ("one of which is pregnant and can't sit cats, another is allergic") and who are spread across different parts of town for coverage; this network became especially useful when she needed coverage after a recent surgery.</t>
  </si>
  <si>
    <t xml:space="preserve">I have what five pet sitters um on standby that we recommend each other.</t>
  </si>
  <si>
    <t xml:space="preserve">For her own private, non-Rover clients specifically, she names four tools she relies on: Google Calendar, Google spreadsheets, a cell phone, and a payment processor ("there's only four tools that I use for my private business. I use Google Calendar, Google spreadsheets, a cell phone, um, and then a payment processor"); Google Calendar in particular isn't exclusive to that side of her business, since she also uses it day-to-day to track when any dog, Rover or private, is coming and going.</t>
  </si>
  <si>
    <t xml:space="preserve">there's only four tools that I use for my private business. I use Google Calendar, Google spreadsheets, a cell phone, um, and then a payment processor</t>
  </si>
  <si>
    <t xml:space="preserve">She has never listed or advertised her private pet-sitting business online, keeping that side of her work fully informal and separate from Rover ("I haven't listed my business on Google. I've just had neighborhood clients").</t>
  </si>
  <si>
    <t xml:space="preserve">She previously had an arrangement in which a tenant ran his own larger dog-walking/boarding operation using her property, drawing on a separate Manhattan client base entirely unrelated to Rover; he would travel to Manhattan to pick up those dogs ("he went to Manhattan to pick them up"), and the arrangement ended when he moved out.</t>
  </si>
  <si>
    <t xml:space="preserve">he went to Manhattan to pick them up</t>
  </si>
  <si>
    <t xml:space="preserve">Rover is the only pet-sitting platform she has ever used; she never did informal or word-of-mouth pet sitting before joining, and has stayed on Rover since: "No, I haven't. Actually, Rover is the um the first one that I did."</t>
  </si>
  <si>
    <t xml:space="preserve">Actually, Rover is the um the first one that I did.</t>
  </si>
  <si>
    <t xml:space="preserve">She found Rover indirectly: while doing DoorDash, she watched a YouTube video about someone using a different pet-sitting app called Wag, looked Wag up, found it wasn't available in Canada, and searched for 'the next best thing': "he was doing a separate um pet sitting app called Wag, right? And I looked that up first, but they didn't offer it in Canada. So, I looked for the next best thing."</t>
  </si>
  <si>
    <t xml:space="preserve">he was doing a separate um pet sitting app called Wag, right? And I looked that up first, but they didn't offer it in Canada</t>
  </si>
  <si>
    <t xml:space="preserve">She has never taken a client relationship off Rover and has no private clients at all: "I haven't um I haven't done that. I haven't had any like clients off of Rover."</t>
  </si>
  <si>
    <t xml:space="preserve">I haven't um I haven't done that. I haven't had any like clients off of Rover</t>
  </si>
  <si>
    <t xml:space="preserve">She deliberately keeps everything centralized on Rover rather than using word-of-mouth, specifically because it's easier to track her calendar and availability in one place: "It's just easier to um see my calendar and things that like you know instead of just doing word of mouth. It's all a centralized platform."</t>
  </si>
  <si>
    <t xml:space="preserve">It's just easier to um see my calendar and things that like you know instead of just doing word of mouth</t>
  </si>
  <si>
    <t xml:space="preserve">She learned most of her pet-sitting skills from YouTube rather than from Rover's own resources; she looked at Rover's blog section once when she first set up her account, but that's not where her ongoing learning came from: "I know they do have a uh blog section. like I I checked it out when I first made my account, but um everything that I like like learned to do now. I just really got it from YouTube."</t>
  </si>
  <si>
    <t xml:space="preserve">everything that I like like learned to do now. I just really got it from YouTube</t>
  </si>
  <si>
    <t xml:space="preserve">Some regular clients have asked TR to move their arrangement off-platform to avoid Rover's fee, but TR generally declines because staying on Rover gives them insurance coverage and liability protection they would otherwise be without ("I do have some clients who talk to me and want to move out of platform and usually I tend not to because I just feel like um in that case I have more liability because I don't have insurance").</t>
  </si>
  <si>
    <t xml:space="preserve">I do have some clients who talk to me and want to move out of platform and usually I tend not to because I just feel like um in that case I have more liability because I don't have insurance</t>
  </si>
  <si>
    <t xml:space="preserve">TR explains that staying on-platform means Rover can step in if something goes wrong, whereas going private would make them solely responsible for any issues that come up ("I don't have like if anything comes up I need to be the one responsible for everything and then instead of having robot to step in for me").</t>
  </si>
  <si>
    <t xml:space="preserve">I don't have like if anything comes up I need to be the one responsible for everything and then instead of having robot to step in for me</t>
  </si>
  <si>
    <t xml:space="preserve">Beyond Rover, her private client base also grows through Facebook — both a business page she built and local community groups where she gets tagged by name — tools already described under Client acquisition.</t>
  </si>
  <si>
    <t xml:space="preserve">She uses Canva to create invoices for her private, off-Rover business ('I use Canva for my invoices for my side business').</t>
  </si>
  <si>
    <t xml:space="preserve">I use Canva for my invoices for my side business</t>
  </si>
  <si>
    <t xml:space="preserve">She creates a personalized video set to music of each client's dog for Facebook as marketing content ('every client I make like a real, you know, um like set to music of their dog').</t>
  </si>
  <si>
    <t xml:space="preserve">every client I make like a real, you know, um like set to music of their dog</t>
  </si>
  <si>
    <t xml:space="preserve">She has posted one video to TikTok and considered using the platform to potentially monetize pet content, but hasn't built it into her regular workflow ('I just only have one thing on TikTok. So, I don't really use that. It's not like to use to schedule or anything. It's just, you know, to post content').</t>
  </si>
  <si>
    <t xml:space="preserve">I just only have one thing on TikTok. So, I don't really use that. It's not like to use to schedule or anything. It's just, you know, to post content</t>
  </si>
  <si>
    <t xml:space="preserve">In her first year on Rover, her prices were low and she got many Rover clients, while she had not yet started promoting her private business elsewhere, just testing out whether pet sitting was something she wanted to do ('I was trying to see if this was something that I wanted to do. Just playing with it'). As people began tagging her in local Facebook pages, her off-Rover presence grew until it evened out and became more active than Rover, which now generates roughly one booking every two weeks ('my private business is more active than Rover for sure'; 'it's probably every two weeks on river').</t>
  </si>
  <si>
    <t xml:space="preserve">my private business is more active than Rover for sure</t>
  </si>
  <si>
    <t xml:space="preserve">She deliberately doesn't try to move clients she met through Rover off the platform, out of respect for Rover and fear of losing her standing there, leaving that choice up to the client instead ('I'm scared of not keeping clients on Rover if I got them on Rover because I don't want to lose Rover'; 'I'm not advertising like I have my own business. Go ahead and you know whatever').</t>
  </si>
  <si>
    <t xml:space="preserve">I'm scared of not keeping clients on Rover if I got them on Rover because I don't want to lose Rover</t>
  </si>
  <si>
    <t xml:space="preserve">She notes that at least one regular Rover client is aware of her private business but continues to book her through Rover anyway, partly for the insurance coverage, which she says she respects ('I respect that about her... they want their insurance and whatever').</t>
  </si>
  <si>
    <t xml:space="preserve">I respect that about her</t>
  </si>
  <si>
    <t xml:space="preserve">Growth and future plans</t>
  </si>
  <si>
    <t xml:space="preserve">She plans to reopen to new clients around mid-August, once her daughter leaves home and family demands ease, which falls within the nine-week diary study window ("on um August mid August I'm going open that up because my daughter will be my daughter will be leaving" and "within the nineweek study I will be reopening to new clients").</t>
  </si>
  <si>
    <t xml:space="preserve">on um August mid August I'm going open that up because my daughter will be my daughter will be leaving</t>
  </si>
  <si>
    <t xml:space="preserve">She thinks her pet-sitting business could grow bigger, but says growth has to balance against her personal life ("I think it could be bigger" and "it has to balance with my personal life").</t>
  </si>
  <si>
    <t xml:space="preserve">I think it could be bigger</t>
  </si>
  <si>
    <t xml:space="preserve">In an ideal setting, she says she would want to be doing dog sitting about four times a week ("In an ideal world, in an ideal setting, um I would be let's maybe like four times a week").</t>
  </si>
  <si>
    <t xml:space="preserve">In an ideal world, in an ideal setting, um I would be let's maybe like four times a week</t>
  </si>
  <si>
    <t xml:space="preserve">She would like Rover to build in periodic prompts nudging providers toward business growth, such as suggesting a rate increase after a year on the platform and checking in on how things are going ("acknowledging, oh, you've been on the platform for a year. Have you considered raising your rates" and "tell us how it's going?").</t>
  </si>
  <si>
    <t xml:space="preserve">acknowledging, oh, you've been on the platform for a year. Have you considered raising your rates</t>
  </si>
  <si>
    <t xml:space="preserve">She values that Rover periodically offers training resources for providers, like courses on dog body language and behavior, seeing them as a good resource even though she hasn't used them much herself since she gained similar knowledge volunteering at an animal shelter before Rover ("I think it's good that they offer like, you know, we have training on this" and "I haven't really pursued it because I feel like I got a lot of that when I when I volunteered at the shelter").</t>
  </si>
  <si>
    <t xml:space="preserve">I think it's good that they offer like, you know, we have training on this</t>
  </si>
  <si>
    <t xml:space="preserve">She will also be away for a week's vacation near the end of the month with no clients scheduled, illustrating how her business activity fluctuates around her personal life during the study period ("I also um am out for a week. We have a a week vacation at the end of this month" and "there will be a whole week where I don't have any clients").</t>
  </si>
  <si>
    <t xml:space="preserve">I also um am out for a week. We have a a week vacation at the end of this month</t>
  </si>
  <si>
    <t xml:space="preserve">She'd find a quick-reference format for training content useful, even something as simple as a single-sheet PDF listing signs to watch for, like stress or overheating signals ("12 signs of uh stress in in animals" and "a a a single sheet PDF, you know, just being able to access and go").</t>
  </si>
  <si>
    <t xml:space="preserve">a a a single sheet PDF, you know, just being able to access and go</t>
  </si>
  <si>
    <t xml:space="preserve">He is considering expanding his capacity by taking on another dog and dedicating more permanent space in his house to dog care ("I am really considering expanding my offerings at least maybe bringing on you know taking in another dog and then uh devoting more space in the house to like permanent dog fixtures").</t>
  </si>
  <si>
    <t xml:space="preserve">I am really considering expanding my offerings at least maybe bringing on you know taking in another dog and then uh devoting more space in the house to like permanent dog fixtures</t>
  </si>
  <si>
    <t xml:space="preserve">As part of that expansion, he is considering investing in higher-quality kennels so clients don't need to bring their own ("get a couple of u like high quality kennels so that people don't have to bring their own").</t>
  </si>
  <si>
    <t xml:space="preserve">get a couple of u like high quality kennels so that people don't have to bring their own</t>
  </si>
  <si>
    <t xml:space="preserve">He is moving toward treating pet sitting as a more primary, stable income source, citing how reliable it has been for him ("creating a a slightly more stable environment that is focused on this as a more primary means of income. Uh just because it has been pretty reliable.").</t>
  </si>
  <si>
    <t xml:space="preserve">creating a a slightly more stable environment that is focused on this as a more primary means of income. Uh just because it has been pretty reliable.</t>
  </si>
  <si>
    <t xml:space="preserve">He would like Rover to use its provider network to offer sitters discounted basic dog-care supplies and equipment, like crates, closer to cost than retail ("it would be kind of nice if they had options for basic sort of dog necessities or even stuff like equipment like crates and things").</t>
  </si>
  <si>
    <t xml:space="preserve">it would be kind of nice if they had options for basic sort of dog necessities or even stuff like equipment like crates and things</t>
  </si>
  <si>
    <t xml:space="preserve">She would like to grow her Rover business back to a much busier volume, ideally five dogs a day, which is what made her happiest ("would like five dogs a day. I loved it when I had five dog").</t>
  </si>
  <si>
    <t xml:space="preserve">would like five dogs a day. I loved it when I had five dog</t>
  </si>
  <si>
    <t xml:space="preserve">She hopes to rebuild toward the scale she had in New York before moving and before COVID, when she rotated a base of about 50 dogs ("I had a a base of 50 dogs that" "rotated"), compared to her current occasional base of about 10 to 15 ("I'm up to about 10 or 15 now" "occasionally").</t>
  </si>
  <si>
    <t xml:space="preserve">I had a a base of 50 dogs that</t>
  </si>
  <si>
    <t xml:space="preserve">She said COVID sharply reduced her client base, from that large rotating base in New York down to just one client, as people stayed home and stopped needing sitters ("COVID happened and it killed everything. I lost all my clients. It was down to one because of COVID. Everybody was staying home.").</t>
  </si>
  <si>
    <t xml:space="preserve">COVID happened and it killed everything. I lost all my clients. It was down to one because of COVID. Everybody was staying home.</t>
  </si>
  <si>
    <t xml:space="preserve">After she then moved to a new city, she had to rebuild her client base from nothing since no one knew her there yet, and describes herself as slowly growing it back since ("the first year I only had one because nobody knew me but then slowly I'm building up again.").</t>
  </si>
  <si>
    <t xml:space="preserve">the first year I only had one because nobody knew me but then slowly I'm building up again.</t>
  </si>
  <si>
    <t xml:space="preserve">She attributes her client base staying smaller than before partly to ongoing economic conditions, saying people are less willing or able to pay for a sitter - sometimes finding free alternatives instead - and that a stronger economy with more travel would increase her income ("people, the economy, I think, is affecting a lot of it because people don't want to pay"; "if the economy was better and people were going away more, I make more money when people go away for two weeks").</t>
  </si>
  <si>
    <t xml:space="preserve">people, the economy, I think, is affecting a lot of it because people don't want to pay</t>
  </si>
  <si>
    <t xml:space="preserve">She considers Rover essential to her business, saying she would only look for another platform if Rover itself shut down ("If not, I would have to go find another one").</t>
  </si>
  <si>
    <t xml:space="preserve">If not, I would have to go find another one</t>
  </si>
  <si>
    <t xml:space="preserve">Before signing up with Rover, she had heard of another platform called Wags but picked Rover instead ("I kept hearing about Rover and then another one I think it's called Wags or something like that and I picked Rover").</t>
  </si>
  <si>
    <t xml:space="preserve">I kept hearing about Rover and then another one I think it's called Wags or something like that and I picked Rover</t>
  </si>
  <si>
    <t xml:space="preserve">After signing on to Rover, she never seriously considered switching to a different pet-sitting platform ("No, once I got signed on to Rover, I didn't look elsewhere. I know there's other ones, but I'm comfortable with Rover").</t>
  </si>
  <si>
    <t xml:space="preserve">No, once I got signed on to Rover, I didn't look elsewhere. I know there's other ones, but I'm comfortable with Rover</t>
  </si>
  <si>
    <t xml:space="preserve">Part of her reluctance to switch platforms is the cost of starting over: she noted Rover put her through a roughly three-month background check when she signed up ("threemon um background check on me before they even signed me" up) and expects a new platform would require a similar wait ("I would imagine I would have to wait 3" months, and "I don't want to do that").</t>
  </si>
  <si>
    <t xml:space="preserve">threemon um background check on me before they even signed me</t>
  </si>
  <si>
    <t xml:space="preserve">She would like Rover to become more proactive in helping her find more clients, rather than functioning as a passive networking platform ("if they wanted to become more active, proactive, that would be" "helpful in some situations"; "finding more uh clients right now" "would help, you know, it really would help").</t>
  </si>
  <si>
    <t xml:space="preserve">finding more uh clients right now</t>
  </si>
  <si>
    <t xml:space="preserve">She suggested Rover could help sitters promote their own businesses, floating the idea of business cards, though she was unsure this was the right solution and noted she personally wouldn't feel safe handing them out to strangers ("Maybe they could offer business cards. I don't know"; "I'm not going to go out and hand out business cards to people I don't know because I'd be afraid").</t>
  </si>
  <si>
    <t xml:space="preserve">Maybe they could offer business cards. I don't know</t>
  </si>
  <si>
    <t xml:space="preserve">She initially said Rover ads are rarely visible ("you never see ads for Rover"), then clarified that she personally does see Rover ads on her own phone, which she attributes to already being a Rover user rather than to broad advertising ("I have them on my phone, but that's because I use Rover, you know, so I get ads"); she said she doesn't know of another way the company could raise awareness among people not already using it ("I don't know any other way that they could promote the company more, you know, so that people are aware of it").</t>
  </si>
  <si>
    <t xml:space="preserve">I have them on my phone, but that's because I use Rover, you know, so I get ads</t>
  </si>
  <si>
    <t xml:space="preserve">She says she has no plans to expand dog sitting into a full-time business, since she doesn't make enough money for that ("I've seen things about people like quitting their day jobs to do petsitting full-time. I don't make enough money for that.").</t>
  </si>
  <si>
    <t xml:space="preserve">I've seen things about people like quitting their day jobs to do petsitting full-time. I don't make enough money for that.</t>
  </si>
  <si>
    <t xml:space="preserve">She associates full-time pet sitting with handling many dogs at once, which she says sounds extremely stressful, so she'd rather keep to just one at a time ("I think you have to have like a many dogs at a time and that sounds extremely stressful for me. So just one is good.").</t>
  </si>
  <si>
    <t xml:space="preserve">I think you have to have like a many dogs at a time and that sounds extremely stressful for me. So just one is good.</t>
  </si>
  <si>
    <t xml:space="preserve">She expects her use of the app to stay about the same for now ("I don't see my interactions with the app changing in the immediate future.").</t>
  </si>
  <si>
    <t xml:space="preserve">I don't see my interactions with the app changing in the immediate future.</t>
  </si>
  <si>
    <t xml:space="preserve">She raises one possible change: she currently lives in a condo without a dedicated yard, and says there's a possibility she'd move, which would be nice ("there is like a possibility that I would move um because I live in a condo now and there's I don't have like a dedicated yard. Um, that would be nice.").</t>
  </si>
  <si>
    <t xml:space="preserve">there is like a possibility that I would move um because I live in a condo now and there's I don't have like a dedicated yard. Um, that would be nice.</t>
  </si>
  <si>
    <t xml:space="preserve">She says she might choose to get her own dog someday instead of watching other people's dogs, though she isn't there yet ("potentially someday I might actually choose to get my own dog instead of watching other people's dogs, but I'm not there at the moment.").</t>
  </si>
  <si>
    <t xml:space="preserve">potentially someday I might actually choose to get my own dog instead of watching other people's dogs, but I'm not there at the moment.</t>
  </si>
  <si>
    <t xml:space="preserve">If she did get her own dog, she says she would probably stop dog sitting, partly because she mostly watches single-dog clients whose dogs aren't there to make friends with other dogs ("Yeah, I would probably stop dogsitting. A lot of I do watch like single dog people. They're not they're not there to make friends with other dogs.").</t>
  </si>
  <si>
    <t xml:space="preserve">Yeah, I would probably stop dogsitting. A lot of I do watch like single dog people. They're not they're not there to make friends with other dogs.</t>
  </si>
  <si>
    <t xml:space="preserve">Asked if there's room for growth, she says no — when she's not booked through Rover, she's booked with people who've taken their arrangement offline, so her schedule is already full with dogs through October ("if I'm not on Rover, then I'm booked with like people who have who taken this offline. So, I don't really I mean, my schedule I'm like booked with dogs through into October.").</t>
  </si>
  <si>
    <t xml:space="preserve">if I'm not on Rover, then I'm booked with like people who have who taken this offline. So, I don't really I mean, my schedule I'm like booked with dogs through into October.</t>
  </si>
  <si>
    <t xml:space="preserve">She says she isn't desperate for more time, describing August as mostly weekends but September and October as full of week-long bookings ("So, like I don't it's not like I'm desperate for more time. I mean, I think August is mostly just weekends, but September and October I have like week-long bookings.").</t>
  </si>
  <si>
    <t xml:space="preserve">So, like I don't it's not like I'm desperate for more time. I mean, I think August is mostly just weekends, but September and October I have like week-long bookings.</t>
  </si>
  <si>
    <t xml:space="preserve">She wants to keep growing and improving, with a roughly five-year goal of buying a house so she can take on more than one household of dogs at a time, since she's currently limited by living in an apartment ("in 5 years I plan on on actually um perhaps purchasing a house"; "I will have availability for more than two dogs at a time").</t>
  </si>
  <si>
    <t xml:space="preserve">in 5 years I plan on on actually um perhaps purchasing a house</t>
  </si>
  <si>
    <t xml:space="preserve">She thinks a Rover networking/community feature for sitters would be valuable for sharing knowledge about handling difficult cases, such as dogs with separation anxiety or pacing ("I think a community would be great").</t>
  </si>
  <si>
    <t xml:space="preserve">I think a community would be great</t>
  </si>
  <si>
    <t xml:space="preserve">She doesn't see other sitters as competitors, believing demand for pet sitting/training exceeds the supply of sitters ("There's dogs for everybody, man... It's not a competition").</t>
  </si>
  <si>
    <t xml:space="preserve">There's dogs for everybody, man</t>
  </si>
  <si>
    <t xml:space="preserve">She is not currently planning to diversify into other platforms, since she's already fully booked through Rover and her own network ("Right now I'm pretty booked solid so I don't see the point in getting another channel").</t>
  </si>
  <si>
    <t xml:space="preserve">Right now I'm pretty booked solid so I don't see the point in getting another channel</t>
  </si>
  <si>
    <t xml:space="preserve">When asked about her future outlook, she again mentioned that she doesn't like the current fee changes, without elaborating further ("I don't know. I don't I don't love the changes they did in the rating.").</t>
  </si>
  <si>
    <t xml:space="preserve">I don't know. I don't I don't love the changes they did in the rating.</t>
  </si>
  <si>
    <t xml:space="preserve">He doesn't plan to take pet sitting seriously as a business again, now that his life situation and work opportunities have changed ("Probably not taking it that serious again.").</t>
  </si>
  <si>
    <t xml:space="preserve">Probably not taking it that serious again.</t>
  </si>
  <si>
    <t xml:space="preserve">Going forward, he expects Rover to stay a part-time thing rather than something he grows ("Rover is really nice, but it's going to be excuse me, it's going to be a part-time thing.").</t>
  </si>
  <si>
    <t xml:space="preserve">Rover is really nice, but it's going to be excuse me, it's going to be a part-time thing.</t>
  </si>
  <si>
    <t xml:space="preserve">He doesn't see them stopping Rover altogether, and doesn't expect to take on many new dogs or big gigs going forward ("I don't I don't see that changing. Probably not taking on many new dogs or any big gigs like that... We're not going to close it off for sure.").</t>
  </si>
  <si>
    <t xml:space="preserve">We're not going to close it off for sure.</t>
  </si>
  <si>
    <t xml:space="preserve">He'd specifically like a few more local clients who travel and need housesitting, ideally close by ("It would be nice to have a few more local clients who like to travel").</t>
  </si>
  <si>
    <t xml:space="preserve">It would be nice to have a few more local clients who like to travel</t>
  </si>
  <si>
    <t xml:space="preserve">Housesitting is the rarest job type that comes his way, and he'd like more of it ("a couple more housesitting would be nice, but those are the that's the most rare job I feel like that comes across").</t>
  </si>
  <si>
    <t xml:space="preserve">a couple more housesitting would be nice</t>
  </si>
  <si>
    <t xml:space="preserve">He'd prefer housesitting over boarding going forward because boarding is stressful given how small his apartment is ("boarding just becomes stressful").</t>
  </si>
  <si>
    <t xml:space="preserve">boarding just becomes stressful</t>
  </si>
  <si>
    <t xml:space="preserve">Adding another dog to board alongside his own leaves no one comfortable, given his own dog's size and space needs ("no no one's really sleeping and no one's very happy").</t>
  </si>
  <si>
    <t xml:space="preserve">no no one's really sleeping and no one's very happy</t>
  </si>
  <si>
    <t xml:space="preserve">He's open to the possibility of accepting more in-home boarding later if his own dog adjusts over time, though this is uncertain ("as our dog adjusts, maybe we'll open up our doors a little bit more for boarding in our home").</t>
  </si>
  <si>
    <t xml:space="preserve">as our dog adjusts, maybe we'll open up our doors a little bit more for boarding in our home</t>
  </si>
  <si>
    <t xml:space="preserve">Being married with his own dog caps how much housesitting he can personally take on -- even a week a month would be too much ("Every month even would a week every month would be too much.").</t>
  </si>
  <si>
    <t xml:space="preserve">Every month even would a week every month would be too much.</t>
  </si>
  <si>
    <t xml:space="preserve">He has no major unmet needs or suggestions for Rover going forward, describing the app as user-friendly overall with only minor annoyances that don't affect his usage ("I think the app is pretty user friendly"; "small annoyances but it's really it doesn't affect the usage").</t>
  </si>
  <si>
    <t xml:space="preserve">small annoyances but it's really it doesn't affect the usage</t>
  </si>
  <si>
    <t xml:space="preserve">Her growth intention is modest: when asked if she wants her business to grow, she said only a little, not a large amount ("Um maybe a little bit. Um not a huge amount.").</t>
  </si>
  <si>
    <t xml:space="preserve">Um maybe a little bit. Um not a huge amount.</t>
  </si>
  <si>
    <t xml:space="preserve">She hasn't been actively trying to grow her business right now because other, unspecified things going on in her life outside pet sitting have been taking her attention ("I haven't like been actively trying to grow it right now" ... "because I've had other things going outside outside pet setting that I have to take care of.").</t>
  </si>
  <si>
    <t xml:space="preserve">I haven't like been actively trying to grow it right now</t>
  </si>
  <si>
    <t xml:space="preserve">When asked to describe her ideal pet-sitting platform looking forward, her one specific, concrete ask was the calendar/search-visibility change already detailed under Booking and availability; beyond that single point she said she was having trouble coming up with anything else to add ("I'm having a hard time thinking of anything right now.").</t>
  </si>
  <si>
    <t xml:space="preserve">I'm having a hard time thinking of anything right now.</t>
  </si>
  <si>
    <t xml:space="preserve">This year her calendar has become almost fully booked, which she describes as happening on its own rather than through any deliberate growth push ("this year uh for some reason in my calendar has been almost fully booked").</t>
  </si>
  <si>
    <t xml:space="preserve">this year uh for some reason in my calendar has been almost fully booked</t>
  </si>
  <si>
    <t xml:space="preserve">Her main wish for the platform's future is faster, more instant communication, ideally through some kind of WhatsApp integration with the Rover app ("having a part instant messages would be nice to have it on WhatsApp because I definitely personally I use a lot of WhatsApp so I think that it'll be easier to communicate to parents").</t>
  </si>
  <si>
    <t xml:space="preserve">having a part instant messages would be nice to have it on WhatsApp because I definitely personally I use a lot of WhatsApp so I think that it'll be easier to communicate to parents</t>
  </si>
  <si>
    <t xml:space="preserve">She frames this as the app being generally good but sometimes slow to process messages ("sometimes a robber app is good but it takes some time to process messages").</t>
  </si>
  <si>
    <t xml:space="preserve">sometimes a robber app is good but it takes some time to process messages</t>
  </si>
  <si>
    <t xml:space="preserve">Beyond the messaging-speed wish, she says she hasn't thought of any other features she'd want to see on the app in the future ("about like any other features that I would like to see on the app in the future").</t>
  </si>
  <si>
    <t xml:space="preserve">about like any other features that I would like to see on the app in the future</t>
  </si>
  <si>
    <t xml:space="preserve">She plans to retire from her full-time day job and pick petsitting back up full-time at that point ("I plan on retiring probably within the next like fourish years.").</t>
  </si>
  <si>
    <t xml:space="preserve">I plan on retiring probably within the next like fourish years.</t>
  </si>
  <si>
    <t xml:space="preserve">She believes her existing client base and workflow can scale up easily by reversing what she did before when working Rover full-time alongside her day job: "what I did is I just closed off my availability and then I'd reopen it and then I'd be able to work the 9 hours that I'm unavailable right now."</t>
  </si>
  <si>
    <t xml:space="preserve">what I did is I just closed off my availability and then I'd reopen it and then I'd be able to work the 9 hours that I'm unavailable right now.</t>
  </si>
  <si>
    <t xml:space="preserve">She intends to keep using Rover rather than go independent, because "Rover does the advertising for you. So, and brings the client base to you. So, it's there's no reason to change that."</t>
  </si>
  <si>
    <t xml:space="preserve">Rover does the advertising for you. So, and brings the client base to you. So, it's there's no reason to change that.</t>
  </si>
  <si>
    <t xml:space="preserve">She doesn't feel she needs additional support from Rover to return to full-time sitting, since "they did just fine when I was doing it full-time."</t>
  </si>
  <si>
    <t xml:space="preserve">they did just fine when I was doing it full-time.</t>
  </si>
  <si>
    <t xml:space="preserve">Based on 8 years of experience with the platform, she trusts future changes will be positive too, since "every change that they've made in the last eight years has been beneficial."</t>
  </si>
  <si>
    <t xml:space="preserve">every change that they've made in the last eight years has been beneficial.</t>
  </si>
  <si>
    <t xml:space="preserve">She would like to see a co-hosting or referral feature, similar to Airbnb's, that lets verified sitters recommend each other's clients: "a sitter program that's open to network to get more clients."</t>
  </si>
  <si>
    <t xml:space="preserve">a sitter program that's open to network to get more clients.</t>
  </si>
  <si>
    <t xml:space="preserve">She describes her current cap as 'three overlapping maybe five' Rover-and-neighborhood dogs and says she is still watching how it feels before deciding whether to settle there long-term, rather than treating it as a fixed decision ("I'm just seeing how I feel with this level, which is like three overlapping maybe five, and only boarding, no dog daycare").</t>
  </si>
  <si>
    <t xml:space="preserve">Elsewhere in the interview she frames her outer ceiling differently — a base of five dogs with occasional overlap to seven — saying she doesn't want more than seven, a somewhat higher figure than the three-to-five she describes as her current practice; she doesn't reconcile the two figures herself ("I'm not sure if I ever want more than like a flex five, meaning that like I set the number at five and sometimes there's overlap to seven, but I don't see myself wanting more than seven dogs, though I have a large property").</t>
  </si>
  <si>
    <t xml:space="preserve">I'm not sure if I ever want more than like a flex five, meaning that like I set the number at five and sometimes there's overlap to seven, but I don't see myself wanting more than seven dogs, though I have a large property</t>
  </si>
  <si>
    <t xml:space="preserve">She has no desire to formalize or scale her pet sitting into a larger commercial business, having concluded from her tenant's larger operation that it wasn't worth it for her ("I don't want to go rent a commercial property. I don't want to make a business out of this.").</t>
  </si>
  <si>
    <t xml:space="preserve">I don't want to go rent a commercial property. I don't want to make a business out of this.</t>
  </si>
  <si>
    <t xml:space="preserve">She considers Rover already strong on its core value — getting her clients and ensuring she gets paid — describing it as 'pretty close' to her ideal, with a fair amount of remaining development needed on the details ("Rover is very good at getting me new clients and ensuring that payment occurs"... "Rover's pretty close... there's there's a fair amount of development to be done").</t>
  </si>
  <si>
    <t xml:space="preserve">Rover is very good at getting me new clients and ensuring that payment occurs</t>
  </si>
  <si>
    <t xml:space="preserve">For Rover to stay her preferred long-term channel, she specifically wants the chat bugs fixed — an autosave for in-progress messages and reliable video loading — which she views as bugs rather than missing features ("fixing fixing some of the chat bugs like which I do view more as bugs than added functionality cuz like the autosave thing really feels like a bug... and then the videos not loading also a bug").</t>
  </si>
  <si>
    <t xml:space="preserve">fixing fixing some of the chat bugs like which I do view more as bugs than added functionality cuz like the autosave thing really feels like a bug</t>
  </si>
  <si>
    <t xml:space="preserve">She's not actively trying to grow her business and is content with her current volume, which she has built without advertising: "I don't mind if it grows, right?... as of right now, it's kind of good how it is, right? Because I don't really advertise my my services, right? Like, they find me."</t>
  </si>
  <si>
    <t xml:space="preserve">I don't mind if it grows, right?... as of right now, it's kind of good how it is, right? Because I don't really advertise my my services</t>
  </si>
  <si>
    <t xml:space="preserve">She explicitly says she isn't forcing growth: "I'm not trying to force something from it."</t>
  </si>
  <si>
    <t xml:space="preserve">I'm not trying to force something from it</t>
  </si>
  <si>
    <t xml:space="preserve">Family members have suggested she promote her services more actively on Facebook; she said it 'sounds fine' and wouldn't mind doing it, but hasn't pursued it, since her results without advertising are already good: "the rate that it's at right now without advertising is is pretty good."</t>
  </si>
  <si>
    <t xml:space="preserve">sounds fine</t>
  </si>
  <si>
    <t xml:space="preserve">Her ideal future pet-sitting setup would essentially be a copy of her current Rover experience, prioritizing her ability to balance sitting with her other job and personal time: "I think it would just be a copy paste of what I do right now. like you know as long as I could balance everything with my work and other you know uh personal time."</t>
  </si>
  <si>
    <t xml:space="preserve">I think it would just be a copy paste of what I do right now</t>
  </si>
  <si>
    <t xml:space="preserve">She envisions dog sitting continuing to play a secondary, balancing role relative to her other job rather than becoming central, with her timing shifted around work: "it would be more of a like uh balance in between work, right? Obviously ahead of time I would let the client know that I would have work, right? But it's just more of a shifting of when I would be there and what time I would leave to actually go to work."</t>
  </si>
  <si>
    <t xml:space="preserve">it would be more of a like uh balance in between work</t>
  </si>
  <si>
    <t xml:space="preserve">She currently sees no unmet needs or problems that Rover would need to fix to make her life easier as a sitter: "I don't know off the top of my head right now what they could do, but... as of right now, like at the rate that I use it at, it's been pretty pretty good to me."</t>
  </si>
  <si>
    <t xml:space="preserve">as of right now, like at the rate that I use it at, it's been pretty pretty good to me</t>
  </si>
  <si>
    <t xml:space="preserve">The one concrete idea she raised for how Rover could support her growth is expanding sponsored/promotional links to other platforms like Facebook (similar to what she believes Rover already offers for Kijiji), while acknowledging that Rover paying for ads on her behalf would be costly and she wouldn't expect it as standard: "they do uh have uh certain like links that you can uh just send express like I think on Kijiji, but uh not really on Facebook that they have. So maybe add a Facebook link or make Facebook ads for for me. That would be like great, but you know, those costs a lot of money. So, I wouldn't expect them to really do that all the time."</t>
  </si>
  <si>
    <t xml:space="preserve">they do uh have uh certain like links that you can uh just send express like I think on Kijiji, but uh not really on Facebook that they have</t>
  </si>
  <si>
    <t xml:space="preserve">TR expects some growth ahead ("I feel like in the future they will still growing a little bit"), and elsewhere quantifies this same expected growth as roughly doubling their current volume as bookings become fuller ("I do expect it will like have another growth like maybe two times growth").</t>
  </si>
  <si>
    <t xml:space="preserve">I do expect it will like have another growth like maybe two times growth</t>
  </si>
  <si>
    <t xml:space="preserve">TR expects to take on more drop-ins once they have more free time after finishing their grad school applications ("after I finish my application I'll have more free time. So probably I will take care more drop in").</t>
  </si>
  <si>
    <t xml:space="preserve">after I finish my application I'll have more free time. So probably I will take care more drop in</t>
  </si>
  <si>
    <t xml:space="preserve">TR currently still has occasional gaps of one to two weeks without bookings, but expects those to decrease going forward ("right now I still have some time like one or two weeks without booking but I feel like in the future situation like that's probably going to even decrease more").</t>
  </si>
  <si>
    <t xml:space="preserve">right now I still have some time like one or two weeks without booking but I feel like in the future situation like that's probably going to even decrease more</t>
  </si>
  <si>
    <t xml:space="preserve">TR would like a feature letting sitters indicate whether they want more clients or are satisfied with their current volume, which would raise or lower their platform ranking accordingly, rather than a sitter's rank dropping simply because they decline bookings ("if the sitter choose like oh I'm really happy with that right now no more new clients I'm done and then a thinking rover can just like lower the rank of this person a little bit more... for those who thinking that they can take more they can just like fill up saying like oh yeah I'm down to take more give me more like that then they can like even higher up the rank").</t>
  </si>
  <si>
    <t xml:space="preserve">if the sitter choose like oh I'm really happy with that right now no more new clients I'm done</t>
  </si>
  <si>
    <t xml:space="preserve">Describing an ideal future platform, TR reiterates wanting the search algorithm to give new sitters more visibility and to rank by location, for the sake of fairness ("for the algorithm parts I would give more space for new sitters... I thinking ranking by the location make sense"); TR also mentions wanting a lower platform take-rate in this same breath, consistent with the fee concerns detailed under Payments and earnings.</t>
  </si>
  <si>
    <t xml:space="preserve">I thinking ranking by the location make sense</t>
  </si>
  <si>
    <t xml:space="preserve">TR wants more sitter-protective safety features, such as a dedicated call/support line sitters could use if something comes up during a sit, given the risk of having shared their address ("maybe like some calling and then more ready call line would be better for the sitter in which like anything come up they can just like call and then figure out the way").</t>
  </si>
  <si>
    <t xml:space="preserve">maybe like some calling and then more ready call line would be better for the sitter</t>
  </si>
  <si>
    <t xml:space="preserve">For the future, TR would like Rover itself to incentivize clients (e.g. with a discount) to leave reviews, so that sitters aren't the ones having to offer discounts to get reviews ("I hope the platform can offer incentive for the clients be like all right uh leave the review for the sitter and then we can like next time we can give you like a more some kind of discounts").</t>
  </si>
  <si>
    <t xml:space="preserve">I hope the platform can offer incentive for the clients be like all right uh leave the review for the sitter and then we can like next time we can give you like a more some kind of discounts</t>
  </si>
  <si>
    <t xml:space="preserve">Her growth over the past few years has occurred in her independent private business rather than in expanding her presence on Rover, and she says she wants to keep her existing Rover clients rather than risk losing her standing on the platform (see Cross-platform behavior for detail).</t>
  </si>
  <si>
    <t xml:space="preserve">She envisions an ideal platform with much faster payouts, released within about 24 hours instead of the current delay, which she describes as usually around five days though it has varied (see Payments and earnings for detail).</t>
  </si>
  <si>
    <t xml:space="preserve">Part of her ideal platform includes a visually clearer calendar tool that shows what type of booking is blocking a given day, a request covered in full under Booking and availability.</t>
  </si>
  <si>
    <t xml:space="preserve">She wants more freedom to communicate directly with clients once a trusting relationship is established, while still valuing the initial platform-mediated barrier before that point (see Client communication for detail).</t>
  </si>
  <si>
    <t xml:space="preserve">She is skeptical that Rover could meaningfully help with vetting clients or setting per-client prices, since what doesn't work for her as a sitter could work fine for another sitter — when she has to decline a client she sometimes personally refers them to a better-suited sitter instead (see Evaluation and meet-and-greet for detail) — and she believes this kind of judgment mainly comes from a sitter's own experience over time rather than something Rover could standardize ('I don't know if Rover could help with that other than like just experience and over time').</t>
  </si>
  <si>
    <t xml:space="preserve">I don't know if Rover could help with that other than like just experience and over time</t>
  </si>
  <si>
    <t xml:space="preserve">She is uncertain what protection or support Rover would actually provide her as a sitter if she were injured or something went wrong during a sit, and feels the platform leans toward protecting the client rather than the sitter ('I don't know if I feel supported by Rover'; 'if a dog bites me and I have to go get medical, like are they going to pay my medical bills? Do they have my back? You know, I don't know. Maybe').</t>
  </si>
  <si>
    <t xml:space="preserve">if a dog bites me and I have to go get medical, like are they going to pay my medical bills? Do they have my back? You know, I don't know. Maybe</t>
  </si>
  <si>
    <t xml:space="preserve">Ashley P.</t>
  </si>
  <si>
    <t xml:space="preserve">She is 30 years old, about to turn 31, and has been on Rover for about a year and a half to two years ("I started Rover about almost two years ago at this point, probably about a year and a half ago.").</t>
  </si>
  <si>
    <t xml:space="preserve">I started Rover about almost two years ago at this point, probably about a year and a half ago.</t>
  </si>
  <si>
    <t xml:space="preserve">She works a full-time job separate from Rover -- previously at a tech company, now at an apple orchard -- and says the orchard job still lets her keep doing Rover because she controls her own availability ("now I don't work at the tech company anymore and I actually work uh in an apple orchard, which is kind of a silly change of pace, but it's still I'm still able to keep Rover um because I can still change when I can and can't be available.").</t>
  </si>
  <si>
    <t xml:space="preserve">now I don't work at the tech company anymore and I actually work uh in an apple orchard, which is kind of a silly change of pace, but it's still I'm still able to keep Rover um because I can still change when I can and can't be available.</t>
  </si>
  <si>
    <t xml:space="preserve">She started Rover because she needed extra income that was more flexible than a typical second job with an externally set schedule ("I worked full-time at a tech company. Um, but I needed extra income that was more flexible").</t>
  </si>
  <si>
    <t xml:space="preserve">I worked full-time at a tech company. Um, but I needed extra income that was more flexible</t>
  </si>
  <si>
    <t xml:space="preserve">She describes pet sitting as a consistent but sporadic second job that fits around her day job, involving multiple separate check-ins spread throughout a single day ("it's very much like a second job but it's very sporadic throughout my day.").</t>
  </si>
  <si>
    <t xml:space="preserve">it's very much like a second job but it's very sporadic throughout my day.</t>
  </si>
  <si>
    <t xml:space="preserve">She says she has never really experienced friction between her day job and her Rover work, though it can feel overwhelming with little personal time during busy periods like the holidays ("I've never really had friction between them. I mean, it overwhelms me sometimes because I don't have a lot of time to myself some days, especially like holiday season.").</t>
  </si>
  <si>
    <t xml:space="preserve">I've never really had friction between them. I mean, it overwhelms me sometimes because I don't have a lot of time to myself some days, especially like holiday season.</t>
  </si>
  <si>
    <t xml:space="preserve">Her current Rover client base includes a handful of recurring clients -- more than 10 in total -- plus roughly one to two new client bookings per month outside of the holiday season ("it's definitely over 10, but it's just not like they they don't book me every month" and "I'd say probably one to two new consistent clients a month").</t>
  </si>
  <si>
    <t xml:space="preserve">it's definitely over 10, but it's just not like they they don't book me every month</t>
  </si>
  <si>
    <t xml:space="preserve">Alongside Rover, she also pet-sits privately for friends, which she considers a separate category of "private clients," most of whom she doesn't charge much of anything, except one friend she charges for a long drive ("I guess I'd consider it private clients. Most of the time I don't really charge them much of anything").</t>
  </si>
  <si>
    <t xml:space="preserve">I guess I'd consider it private clients. Most of the time I don't really charge them much of anything</t>
  </si>
  <si>
    <t xml:space="preserve">She notes that since friends learned she pet-sits professionally, more of them now ask her to watch their pets, which she says is "kind of annoying sometimes," even though she has always enjoyed taking care of friends' pets.</t>
  </si>
  <si>
    <t xml:space="preserve">kind of annoying sometimes</t>
  </si>
  <si>
    <t xml:space="preserve">She says she likes being around animals, which made pet sitting feel like an easy way to earn extra money ("I just I like being around animals, so it felt like a pretty easy pathway for extra money").</t>
  </si>
  <si>
    <t xml:space="preserve">I just I like being around animals, so it felt like a pretty easy pathway for extra money</t>
  </si>
  <si>
    <t xml:space="preserve">She describes feeling like she is both helping someone and getting something for herself, since she gets to spend time with the pets she cares for ("also not feeling, I don't know, like you're helping someone, but you're also like getting something out of it cuz you can just hang out with their pets").</t>
  </si>
  <si>
    <t xml:space="preserve">also not feeling, I don't know, like you're helping someone, but you're also like getting something out of it cuz you can just hang out with their pets</t>
  </si>
  <si>
    <t xml:space="preserve">The flexibility of the work was a major draw for her ("the flexibility was huge for me").</t>
  </si>
  <si>
    <t xml:space="preserve">the flexibility was huge for me</t>
  </si>
  <si>
    <t xml:space="preserve">She finds being around animals personally relaxing most of the time, comparing it to getting to know a person ("I think that it's really just relaxing to be around a lot of different animals... It's kind of like getting to know somebody, but it's an animal.").</t>
  </si>
  <si>
    <t xml:space="preserve">I think that it's really just relaxing to be around a lot of different animals</t>
  </si>
  <si>
    <t xml:space="preserve">Because she repeatedly sits for the same pets, she experiences it like reconnecting with a friend, and she enjoys building relationships with pets even when she doesn't know their owners well ("it's kind of like seeing a friend again... I like just building relationships, whether it be people or pets or whatever.").</t>
  </si>
  <si>
    <t xml:space="preserve">it's kind of like seeing a friend again</t>
  </si>
  <si>
    <t xml:space="preserve">Her main intention when she started was simply to make more money, though she also wanted to do right by the pets in her care ("my main intention was in intention was just to make more money... I obviously wanted to do a good job and like take care of people's pets well").</t>
  </si>
  <si>
    <t xml:space="preserve">my main intention was in intention was just to make more money</t>
  </si>
  <si>
    <t xml:space="preserve">She describes her long-standing, mostly unpaid care for friends' pets -- including one she considers essentially her own -- as an extension of her own pet family ("I've always loved taking care of the friends pets that I have taken care of... it's just kind of like extending my my little pet family, I guess.").</t>
  </si>
  <si>
    <t xml:space="preserve">it's just kind of like extending my my little pet family, I guess.</t>
  </si>
  <si>
    <t xml:space="preserve">She discovered Rover through social media, most likely TikTok, and thought about it for a while before actually signing up ("I think that I found it probably through like Tik Tok or something along those lines... it was just an idea in my mind for a little while").</t>
  </si>
  <si>
    <t xml:space="preserve">I think that I found it probably through like Tik Tok or something along those lines</t>
  </si>
  <si>
    <t xml:space="preserve">Setting up her profile felt to her like creating a dating profile, which she didn't enjoy but treated as a one-time task ("I always feel like it's like creating like a dating profile kind of and um I don't love doing that").</t>
  </si>
  <si>
    <t xml:space="preserve">I always feel like it's like creating like a dating profile kind of and um I don't love doing that</t>
  </si>
  <si>
    <t xml:space="preserve">She had no way of knowing whether she'd actually get booked when she signed up ("I was kind of just taking a shot in the dark because you don't really know if anyone's actually going to book you or not").</t>
  </si>
  <si>
    <t xml:space="preserve">I was kind of just taking a shot in the dark because you don't really know if anyone's actually going to book you or not</t>
  </si>
  <si>
    <t xml:space="preserve">It took about two to three weeks with no bookings before she landed her first client, a period during which she also lowered her pricing (detailed under Payments and earnings) ("it it probably took me like two or three weeks of just like crickets, like nobody").</t>
  </si>
  <si>
    <t xml:space="preserve">it it probably took me like two or three weeks of just like crickets, like nobody</t>
  </si>
  <si>
    <t xml:space="preserve">New booking requests arrive with a burst of app notifications and duplicate text messages, which is how she recognizes someone is trying to book her ("my phone just kind of blows up because it sends you like eight text messages and eight notifications... otherwise like a group text is going crazy").</t>
  </si>
  <si>
    <t xml:space="preserve">my phone just kind of blows up because it sends you like eight text messages and eight notifications</t>
  </si>
  <si>
    <t xml:space="preserve">For recurring clients, they often message her directly to check her availability before formally submitting a booking request, whereas new clients typically send the request first and message afterward ("if it's someone that's reoccurring sometimes before they send the requests they'll just message me in the app... 'Are you available? What does this look like for you?'").</t>
  </si>
  <si>
    <t xml:space="preserve">if it's someone that's reoccurring sometimes before they send the requests they'll just message me in the app</t>
  </si>
  <si>
    <t xml:space="preserve">She compares her own trajectory to two friends who also joined Rover: one had a slow start similar to hers until adopting the same lower-then-raise pricing approach, while the other, a man, has only ever had one client (though recurring) and no others, and she is not sure whether that is about him, the local area, or gender ("I don't know if he is just less motivated or if it's the area that we live in or it's that he's like a man versus a woman, you know... I'm not sure if like I just found the right people at the right time in my area... or what if like my strategy was right, you know?").</t>
  </si>
  <si>
    <t xml:space="preserve">I don't know if he is just less motivated or if it's the area that we live in or it's that he's like a man versus a woman, you know</t>
  </si>
  <si>
    <t xml:space="preserve">She has standard opening questions to gauge how intense a visit will be, such as asking what the client wants done during the visit ("A lot of the times I'll be like, 'What would you like done during the visit?'... just to kind of gauge how intense the visit might be").</t>
  </si>
  <si>
    <t xml:space="preserve">just to kind of gauge how intense the visit might be</t>
  </si>
  <si>
    <t xml:space="preserve">She feels the nature and volume of a client's requests give her a read on what the client will be like to work with, and while she prefers "chill, nice people," she does still take on more demanding clients sometimes ("I have certain clients who are very particular and very overwhelming. So like uh I don't love I like more like chill, nice people to work with, but sometimes I do take those other clients that are a little much.").</t>
  </si>
  <si>
    <t xml:space="preserve">I have certain clients who are very particular and very overwhelming. So like uh I don't love I like more like chill, nice people to work with, but sometimes I do take those other clients that are a little much.</t>
  </si>
  <si>
    <t xml:space="preserve">She finds it "weird" that new booking-request notifications give a pet's name but not whether it's a cat or a dog, which affects what questions she'll ask, so she has to check the attached photo herself ("something that I find weird that it doesn't do that it should do I think is tell you if it's a cat or a dog... it doesn't tell you if it's a cat or dog, which, you know, sometimes changes what type of questions you'll be asking. So then I have to like go in and look at the picture.").</t>
  </si>
  <si>
    <t xml:space="preserve">something that I find weird that it doesn't do that it should do I think is tell you if it's a cat or a dog</t>
  </si>
  <si>
    <t xml:space="preserve">During meet-and-greets, she has the client walk her through the home and introduce her to everything ("I kind of just go I have them show me everything, get introduced to everything").</t>
  </si>
  <si>
    <t xml:space="preserve">I kind of just go I have them show me everything, get introduced to everything</t>
  </si>
  <si>
    <t xml:space="preserve">She believes clients specifically want an in-person meet-and-greet rather than a phone or video call because they want to see her interact with the dog, observe her demeanor, and feel comfortable having her in their home ("they really want you there in person. They want to see you interact with the dog. They want to see your demeanor. They want to make sure that like they're comfortable with you being in their house.").</t>
  </si>
  <si>
    <t xml:space="preserve">they really want you there in person. They want to see you interact with the dog. They want to see your demeanor.</t>
  </si>
  <si>
    <t xml:space="preserve">When a request comes in, she checks her Rover calendar to confirm there's no overlap with an existing booking ("I'll double check my um, Rover calendar to make sure that it's not like overlapping in any way.").</t>
  </si>
  <si>
    <t xml:space="preserve">I'll double check my um, Rover calendar to make sure that it's not like overlapping in any way.</t>
  </si>
  <si>
    <t xml:space="preserve">She manages her overall personal schedule entirely from memory rather than any calendar tool, having previously used a physical desk calendar at a former job but not since leaving it ("most of the time I just kind of keep it in my head, to be honest.").</t>
  </si>
  <si>
    <t xml:space="preserve">most of the time I just kind of keep it in my head, to be honest.</t>
  </si>
  <si>
    <t xml:space="preserve">To prevent conflicts between her day job and Rover, she proactively tells pet parents the specific hours she is unavailable, which she says sets clear expectations and avoids friction ("I always tell the pet parents that I have a job from this time to this time. I can I am not available at all during that time... I always set their expectations to what I can actually offer so that there isn't friction.").</t>
  </si>
  <si>
    <t xml:space="preserve">I always tell the pet parents that I have a job from this time to this time. I can I am not available at all during that time.</t>
  </si>
  <si>
    <t xml:space="preserve">She says there is no way within Rover to schedule a meet-and-greet as its own event ahead of a confirmed booking, so she arranges it separately and informally, going to an unbooked appointment beforehand ("there's nowhere to like schedule a meet and greet and so I'm doing that for free... I'm going there at a separate time before it's even booked").</t>
  </si>
  <si>
    <t xml:space="preserve">there's nowhere to like schedule a meet and greet and so I'm doing that for free</t>
  </si>
  <si>
    <t xml:space="preserve">She suggests Rover create a distinct schedulable category for meet-and-greets that could be added to a booking ("I think having like a separate category in which like meet and greet was an option... could be beneficial."); the compensation aspect of this same wish is covered under Payments and earnings.</t>
  </si>
  <si>
    <t xml:space="preserve">I think having like a separate category in which like meet and greet was an option</t>
  </si>
  <si>
    <t xml:space="preserve">Her booking volume is fairly consistent across the year but with clear peaks around the holidays; she expected summer to bring more bookings than it did, and she sometimes goes as long as three weeks without one ("I'd say pretty consistent. Um, however, there are huge like peaks... over the holidays... sometimes I won't have a booking for like three weeks").</t>
  </si>
  <si>
    <t xml:space="preserve">I'd say pretty consistent. Um, however, there are huge like peaks</t>
  </si>
  <si>
    <t xml:space="preserve">She asks pet parents to send key care details -- especially feeding times and food information, which she says varies a lot between households -- through the Rover chat rather than writing them down herself, so she can reference them without having to ask again ("I always just tell them that I I may forget, so I'd rather you send it to me so I can reference it and then I don't have to ask... most of the time I won't personally write the information down. I leave it to the pet parent to at least send it to me in the chat.").</t>
  </si>
  <si>
    <t xml:space="preserve">most of the time I won't personally write the information down. I leave it to the pet parent to at least send it to me in the chat.</t>
  </si>
  <si>
    <t xml:space="preserve">She uses the same approach for door codes and access information, having clients send it through chat so she can look it up at any point, even before she arrives, without relying on a paper note ("Same with like door codes and things like that, I have them send it to me in the chat so that I can have it as reference at any point... I can still like look at it without having to see it on like a piece of paper and a note.").</t>
  </si>
  <si>
    <t xml:space="preserve">I have them send it to me in the chat so that I can have it as reference at any point</t>
  </si>
  <si>
    <t xml:space="preserve">She thinks Rover's booking flow would benefit from a dedicated, easily accessible field for details like door codes and per-pet feeding amounts, since the current fields for that aren't commonly used or specific enough, so pet parents wouldn't need to keep re-sending the same information every time ("having a section in the booking where the pet parent can put you know the door code or how much food per pet... an area where it would make more sense for them would probably be beneficial... so they don't have to keep updating it, but it's just there and easily accessible.").</t>
  </si>
  <si>
    <t xml:space="preserve">so they don't have to keep updating it, but it's just there and easily accessible.</t>
  </si>
  <si>
    <t xml:space="preserve">As a future improvement, she'd like a required notes section for pet parents to fill out on the platform ("I think that there'd be a little like more notes sections for the pet parents. Um, that would be like required fill out space.").</t>
  </si>
  <si>
    <t xml:space="preserve">I think that there'd be a little like more notes sections for the pet parents. Um, that would be like required fill out space.</t>
  </si>
  <si>
    <t xml:space="preserve">During an active housesitting job, her day involves checking on the same pet before and after her day job (without staying overnight), plus visiting a separate cat for a 30-minute check-in, fitting personal time into the gaps in between ("every day that I work before I go to work, I'm checking on a pet. After I get off of work, I'm checking on the same pet because I'm housesitting, but they don't want me to stay the night... I have another cat that I'm checking on um after that for a 30 minute visit. So I'm kind of like all over the place.").</t>
  </si>
  <si>
    <t xml:space="preserve">every day that I work before I go to work, I'm checking on a pet.</t>
  </si>
  <si>
    <t xml:space="preserve">She describes a current client with a skittish cat where a required 30-minute check-in visit is far longer than the actual tasks need -- she estimates she could finish everything in about six minutes but is required to stay the full 30 because that's what was booked and paid for ("I could be there for six minutes, you know? I could clean the litter box, fill the water, fill the food, vacuum the area, take the pictures, physically see the cat, and then leave, but I can't because I'm stuck there for the 30 minutes cuz that's what they paid for.").</t>
  </si>
  <si>
    <t xml:space="preserve">I could be there for six minutes, you know? I could clean the litter box, fill the water, fill the food, vacuum the area, take the pictures, physically see the cat, and then leave, but I can't because I'm stuck there for the 30 minutes cuz that's what they paid for.</t>
  </si>
  <si>
    <t xml:space="preserve">She acknowledges that a full 30-minute visit does make sense in other cases, where the pet benefits from the extra attention and time, so she sees the value as depending on the specific pet ("sometimes a 30-minute visit makes sense because you're you're giving them attention during that time.").</t>
  </si>
  <si>
    <t xml:space="preserve">sometimes a 30-minute visit makes sense because you're you're giving them attention during that time.</t>
  </si>
  <si>
    <t xml:space="preserve">She would like the option of a different, shorter check-in length for lower-maintenance pets, feeling that sitting out a fixed timer in those cases is pointless ("having a specific timer on it sometimes feels pointless... having a different option for that kind of check-in I think would be something that I would change for sure like in my petsitting app.").</t>
  </si>
  <si>
    <t xml:space="preserve">having a specific timer on it sometimes feels pointless</t>
  </si>
  <si>
    <t xml:space="preserve">She keeps all client communication inside Rover and doesn't use a separate messaging app to talk to clients ("I just use Rover. Yeah. I don't use like a another app or anything to communicate with them.").</t>
  </si>
  <si>
    <t xml:space="preserve">I just use Rover. Yeah. I don't use like a another app or anything to communicate with them.</t>
  </si>
  <si>
    <t xml:space="preserve">She sometimes replies through her phone's regular text messaging instead of opening the Rover app, but only because Rover already forwards a duplicate SMS copy of the in-app message and the app itself can be slow to open, so she still considers it "through Rover" ("there's it's still like through Rover. Just sometimes the app takes so long to open and I'm just like they it sends you like a duplicate text to whatever text they send in Rover. Um, so sometimes I'll respond through that instead.").</t>
  </si>
  <si>
    <t xml:space="preserve">there's it's still like through Rover. Just sometimes the app takes so long to open and I'm just like they it sends you like a duplicate text to whatever text they send in Rover.</t>
  </si>
  <si>
    <t xml:space="preserve">She avoids moving communication to outside platforms like Facebook Messenger, partly because Rover flags attempts to share other contact methods, and partly because, as a "younger woman," she feels it's safer to keep everything on the platform, especially with clients she doesn't know well yet or is just starting to book with ("I keep everything on rover just cuz it I mean they give you like a big scary message if you like try to like give any other like form of communication for them. Um, but I do think like as a younger woman, it's at least safer to stay there cuz like especially if I don't know them yet or I'm just like starting to book.").</t>
  </si>
  <si>
    <t xml:space="preserve">I do think like as a younger woman, it's at least safer to stay there cuz like especially if I don't know them yet or I'm just like starting to book.</t>
  </si>
  <si>
    <t xml:space="preserve">Payment is deposited directly into her bank account after some unspecified delay, and she doesn't have a clear sense of the timeline ("it goes into my bank account like direct deposit after a certain amount of time. I never really know how long it's going to be. It just kind of shows up.").</t>
  </si>
  <si>
    <t xml:space="preserve">it goes into my bank account like direct deposit after a certain amount of time. I never really know how long it's going to be.</t>
  </si>
  <si>
    <t xml:space="preserve">She wishes Rover would send a notification confirming that payment is processing and roughly when it will arrive, since she finds the current communication about deposit timing unclear, even though she says she's never urgently needed the money that quickly ("there isn't great communication when it is getting deposited. It just kind of happens." and "I think maybe if they just send a notification that the payment is being processed and that it will be in your bank in x amount of days").</t>
  </si>
  <si>
    <t xml:space="preserve">there isn't great communication when it is getting deposited. It just kind of happens.</t>
  </si>
  <si>
    <t xml:space="preserve">She has to write an individual review for every pet in a household at every booking, even for pets she sits for often and has little new to say about -- she gives the example of a five-pet household that includes a turtle she barely interacts with ("I have to individually write a review for five different pets and one is a turtle. So, I don't really have a lot to say about him... I have to write a new review on this turtle every single time and you know I don't really have that much to say. So it feels kind of silly sometimes.").</t>
  </si>
  <si>
    <t xml:space="preserve">I have to individually write a review for five different pets and one is a turtle. So, I don't really have a lot to say about him.</t>
  </si>
  <si>
    <t xml:space="preserve">This same repeat-review requirement applies to her regular, recurring clients too -- every booking requires a brand new review rather than reusing a past one ("They they do a lot of the times and then they do have to write another review over and over again.").</t>
  </si>
  <si>
    <t xml:space="preserve">They they do a lot of the times and then they do have to write another review over and over again.</t>
  </si>
  <si>
    <t xml:space="preserve">She can't see the review a client leaves for her until she submits her own review of them first, and the app doesn't preview whether the incoming review is positive or negative ("it also won't let you see the review that they give you until you review them... it doesn't tell you if it's good or bad."). She added a further, partly garbled comment suggesting this design is meant to influence how she reviews ("so it kind of stresses you out on purpose to try to get you to review um the opposite"), which was unclear in the transcript and is noted here rather than resolved into a clean claim.</t>
  </si>
  <si>
    <t xml:space="preserve">it also won't let you see the review that they give you until you review them</t>
  </si>
  <si>
    <t xml:space="preserve">She'd like the ability to skip certain parts of the review process, while acknowledging that reviews benefit both sides and that most people are reluctant to write them in the first place, and she isn't sure how else it could be improved ("make it to where you can skip certain parts potentially... I understand the point of the reviews are beneficial for both sides and no one really wants to write them... I don't know how it could be improved that well").</t>
  </si>
  <si>
    <t xml:space="preserve">I understand the point of the reviews are beneficial for both sides and no one really wants to write them</t>
  </si>
  <si>
    <t xml:space="preserve">Signing up for Rover required paying a $40 fee for a background check, which made her want to earn at least that much back to feel it was worthwhile ("there's like a $40 fee when you first sign up for like them to do a background check. And I was like, 'Well, I have to at least make $40... so it's worth it.'").</t>
  </si>
  <si>
    <t xml:space="preserve">there's like a $40 fee when you first sign up for like them to do a background check.</t>
  </si>
  <si>
    <t xml:space="preserve">With no bookings or reviews yet, she repeatedly lowered her price below Rover's suggested amount every couple of days until she got her first booking, then raised her prices again once she had a few bookings and reviews, after which bookings stayed consistent ("since I had no reviews and no bookings I was like well this obviously isn't working so I just yeah started making my prices lower and lower and lower... after I got like a couple bookings, then I started raising my prices, but then the bookings like stayed pretty consistent").</t>
  </si>
  <si>
    <t xml:space="preserve">since I had no reviews and no bookings I was like well this obviously isn't working so I just yeah started making my prices lower and lower and lower</t>
  </si>
  <si>
    <t xml:space="preserve">She shared this same lower-then-raise pricing approach with a friend who was also struggling to get bookings on Rover, and says it worked for her too ("I told her about like, oh, just keep lowering your prices until you get a couple reviews in and then bring them back up. And then now she she does it the same.").</t>
  </si>
  <si>
    <t xml:space="preserve">I told her about like, oh, just keep lowering your prices until you get a couple reviews in and then bring them back up.</t>
  </si>
  <si>
    <t xml:space="preserve">She describes Rover income as "pretty important" to her, especially since she covers her bills alone following a divorce about a year and a half ago, after which she had to take on the full amount of costs that had previously been split 50/50 ("I got divorced about a year and a half ago, and so I still I we always split our bills 50/50 the whole time... I had to take over that 50% when I like separated.").</t>
  </si>
  <si>
    <t xml:space="preserve">I got divorced about a year and a half ago, and so I still I we always split our bills 50/50 the whole time</t>
  </si>
  <si>
    <t xml:space="preserve">She considers her Rover income supplemental rather than something she could rely on full-time, even though it consistently helps cover extra costs like credit card bills ("I personally don't feel like I could do it full-time and just do that. To me, I have to look at it as supplemental.").</t>
  </si>
  <si>
    <t xml:space="preserve">I personally don't feel like I could do it full-time and just do that. To me, I have to look at it as supplemental.</t>
  </si>
  <si>
    <t xml:space="preserve">She is not compensated for the 15 to 30 minutes she spends traveling to and conducting in-person meet-and-greets before a booking is confirmed, and she'd like a separate, lower-cost meet-and-greet booking category that at least pays for her time and driving ("I'm going there at a separate time before it's even booked and spending... 15 to 30 minutes with pet parents. And I'm not being compensated for that time... a separate category in which like meet and greet was an option that... maybe cost less than a normal check-in visit or something, but at least you're getting compensated for like your driving time and things like that.").</t>
  </si>
  <si>
    <t xml:space="preserve">I'm not being compensated for that time</t>
  </si>
  <si>
    <t xml:space="preserve">She says clients often tip her, but the tip option only becomes available after the client submits a full review first, which she believes reduces how often people tip, even though she also understands the design likely helps ensure more consistent reviews ("The problem is is they have to leave a full review basically to get to the tip part... I think that there would be the potential for more tips if it wasn't um like dug into that section, but also I understand it in a way because it it gets people to review which may not happen as consistently if it wasn't in that same area.").</t>
  </si>
  <si>
    <t xml:space="preserve">The problem is is they have to leave a full review basically to get to the tip part</t>
  </si>
  <si>
    <t xml:space="preserve">When the interviewer raised the idea of Rover charging lower fees for loyal, repeat clients, Ashley agreed and added in her own words that she thinks this would reduce clients leaving the platform, since once someone finds a trusted sitter they don't want to redo that search, though she believes this incentive matters more for Rover's own retention than for sitters themselves, since clients choose a sitter for who they are, not the app ("I believe once someone has a pet sitter, a lot of the times they want to stay with the same pet sitter because they don't want to do the whole setup again... It doesn't really make a difference for like pet sitters because they're they're they want you. They don't care about the app sometimes.").</t>
  </si>
  <si>
    <t xml:space="preserve">I believe once someone has a pet sitter, a lot of the times they want to stay with the same pet sitter because they don't want to do the whole setup again</t>
  </si>
  <si>
    <t xml:space="preserve">She personally agrees with keeping almost all of her clients on Rover rather than moving them off-platform, even ones she's stayed with multiple times; only about three clients in total have ever proposed moving the relationship off Rover to avoid fees, and she says it's always the client, never her, who raises it ("I mean, I agree. Most people I do keep on Rover. Um, even if I've been staying with them for a while, unless I meet with them multiple times and I kind of understand them more, there's only been maybe like three different people that have moved off a rover. And I'm never the one that brings it up.").</t>
  </si>
  <si>
    <t xml:space="preserve">I mean, I agree. Most people I do keep on Rover. Um, even if I've been staying with them for a while, unless I meet with them multiple times and I kind of understand them more, there's only been maybe like three different people that have moved off a rover. And I'm never the one that brings it up.</t>
  </si>
  <si>
    <t xml:space="preserve">In those cases, the pet parent frames it as wanting to stop paying fees that "go nowhere" while still paying her the same amount, which she describes as a "win-win" ("It's always the pet parent that's like, 'Hey,... I don't want to pay these fees that are going nowhere, and I want you to get paid the same amount.' So, it's like a win-win in those scenarios.").</t>
  </si>
  <si>
    <t xml:space="preserve">It's always the pet parent that's like</t>
  </si>
  <si>
    <t xml:space="preserve">Separately, she notes that Rover's platform does have protections, but she's never had to use them, so she doesn't know how protective they actually are or what they'd truly provide if something did happen ("it it does have the protections. I've never had to use them, so I don't know how protective they are... I just haven't had that experience yet to know if it is or not.").</t>
  </si>
  <si>
    <t xml:space="preserve">it it does have the protections. I've never had to use them, so I don't know how protective they are.</t>
  </si>
  <si>
    <t xml:space="preserve">She says she's happy staying at roughly her current level rather than actively growing the business, though she'd welcome more consistent, nearby clients if that happened naturally, since it would mean more income ("potentially I like where I'm at right now to be honest... if I had more consistent clients that were close, of course, that would be great because it's more money.").</t>
  </si>
  <si>
    <t xml:space="preserve">potentially I like where I'm at right now to be honest</t>
  </si>
  <si>
    <t xml:space="preserve">She feels she's currently sitting in a comfortable balance between having a decent number of bookings and keeping her full-time job ("I feel like I'm I'm sitting pretty comfortably in like a balance of having a decent amount of bookings, but also like having my full-time job.").</t>
  </si>
  <si>
    <t xml:space="preserve">I feel like I'm I'm sitting pretty comfortably in like a balance of having a decent amount of bookings, but also like having my full-time job.</t>
  </si>
  <si>
    <t xml:space="preserve">Asked to describe her ideal pet-sitting platform, she says Rover's current approach is "pretty good" overall, with a few specific changes she'd want ("I think that how Rover does it is pretty good.").</t>
  </si>
  <si>
    <t xml:space="preserve">I think that how Rover does it is pretty good.</t>
  </si>
  <si>
    <t xml:space="preserve">She'd want more flexible or shorter check-in visit lengths available for low-maintenance pets instead of being locked into a fixed visit duration, a point detailed further under Service delivery ("having a different option for that kind of check-in I think would be something that I would change for sure like in my petsitting app.").</t>
  </si>
  <si>
    <t xml:space="preserve">having a different option for that kind of check-in I think would be something that I would change for sure like in my petsitting app.</t>
  </si>
  <si>
    <t xml:space="preserve">She'd want fewer, more consolidated text notifications around new bookings -- she doesn't want texts removed entirely, but says the current volume, including redundant messages, is excessive ("less text messages like the devil... there's just certain ones that are not needed or necessary.").</t>
  </si>
  <si>
    <t xml:space="preserve">less text messages like the devil</t>
  </si>
  <si>
    <t xml:space="preserve">She illustrates this with a recent booking-request sequence that still didn't specify whether the pet was a cat or a dog (only its weight and breed), followed by a nudge message sent at midnight while she was already asleep telling her she'd been specially chosen and asking for a "courtesy" quick reply, resulting in about ten notifications at once ("it still doesn't say if it's a cat or a dog. It just says how many pounds it is." and "This person picked you out of all the rovers sitters. Please give them a courtesy of a quick reply." and "they did it in the middle of the night. I was already asleep... I'm receiving like 10 notifications at once because it will send me five texts and five individual notifications on the other side.").</t>
  </si>
  <si>
    <t xml:space="preserve">it still doesn't say if it's a cat or a dog. It just says how many pounds it is.</t>
  </si>
  <si>
    <t xml:space="preserve">Distinct providers (of 14 Pro)</t>
  </si>
  <si>
    <t xml:space="preserve">Which providers</t>
  </si>
  <si>
    <t xml:space="preserve">Representative observation</t>
  </si>
  <si>
    <t xml:space="preserve">Representative quote</t>
  </si>
  <si>
    <t xml:space="preserve">Ami, Andrew, Anita, Ashley P., Becky, Colin, Erika, Naomi, Tifany</t>
  </si>
  <si>
    <t xml:space="preserve">[Andrew] He finds it a little annoying when the app sends an automated/generated first message on a client's behalf, because the client doesn't always know what it says ("I think sometime it does the automated like the generated message like hello I'd like to I was like that's a little annoying because like they don't really know what it says").</t>
  </si>
  <si>
    <t xml:space="preserve">Ami, Anita, Becky, Dawn, Naomi, Tianrui, Tifany</t>
  </si>
  <si>
    <t xml:space="preserve">[Ami] She would like Rover's calendar to sync or link directly with her personal Google Calendar so she doesn't have to manually type in every appointment ("That would be nice if it was linked because then I wouldn't have to physically, you know, write or, you know, type in five or six different appointments").</t>
  </si>
  <si>
    <t xml:space="preserve">Anita, Ashley P., Colin, Kristin, Naomi, Tifany</t>
  </si>
  <si>
    <t xml:space="preserve">[Anita] She also uses Google's alarm/clock feature to make sure she gets to each appointment on time ("Google alarms, the clock to set off so I know remember to go to each next appointment").</t>
  </si>
  <si>
    <t xml:space="preserve">Becky, Kristin, Naomi, Tianrui, Tifany</t>
  </si>
  <si>
    <t xml:space="preserve">[Becky] She describes a past bug, lasting multiple months, where the date entered for scheduling a meet and greet in the chat would shift to the day before every time; she believes this has since been fixed ("there was a long period of time like multiple months I think where the date would always you would put in the date but it would like change to the day before every time you put the date and so it would always be wrong. Um, and that was very annoying. I think they fixed it now.").</t>
  </si>
  <si>
    <t xml:space="preserve">Ami, Andrew, Anita, Bruna, Kristin</t>
  </si>
  <si>
    <t xml:space="preserve">[Ami] She keeps a physical "blue notebook" in which she writes down details from every meet-and-greet, including addresses, house codes, feeding schedules, and medication, while the owner talks and as she walks around the house ("Every time I get do a meet and greet, I write everything down in that" and "I know addresses um I know house codes, you know, um I know feeding schedules, uh medication, all that").</t>
  </si>
  <si>
    <t xml:space="preserve">Ashley P., Erika, Naomi, Tianrui, Tifany</t>
  </si>
  <si>
    <t xml:space="preserve">[Tianrui] TR wishes Rover's text-message notifications could display photos and videos directly, since clients who haven't downloaded the Rover app can't otherwise see media without logging into the app ("some clients just don't download the Rover app at all and they just only rely on the chats... if they can like also make the photos and a video show up on the text message interface going to be better").</t>
  </si>
  <si>
    <t xml:space="preserve">Andrew, Ashley P., Naomi, Tianrui, Tifany</t>
  </si>
  <si>
    <t xml:space="preserve">[Andrew] He would prefer a payout breakdown by specific date and booking rather than one lump total ("I would find that a little more useful to know to to know like not just how much is coming, but specifically when and for what").</t>
  </si>
  <si>
    <t xml:space="preserve">Anita, Ashley P., Becky, Erika</t>
  </si>
  <si>
    <t xml:space="preserve">[Becky] She says the one real challenge was finding a good time to walk a dog when her work meetings started early (around 6:00 a.m.) and were busy that morning ("the only challenge is really like finding a good time to go on a walk. If I have meetings starting at 6:00 and my meetings were very busy in the morning, then like getting a good time to go on a walk was a little bit tricky.").</t>
  </si>
  <si>
    <t xml:space="preserve">Anita, Bruna, Naomi, Tifany</t>
  </si>
  <si>
    <t xml:space="preserve">[Anita] She described one meet-and-greet where an older, unsocialized dog attacked her, and she believed the owner was trying to get rid of the dog rather than find genuine care ("The dog was older and aggressive and as soon as I got there, he attacked me"; "it was a bad owner. They were trying to dump the dog").</t>
  </si>
  <si>
    <t xml:space="preserve">Andrew, Anita, Ashley P., Becky</t>
  </si>
  <si>
    <t xml:space="preserve">[Andrew] He is unsure whether Rover has a private notes feature for sitters to keep track of client/dog details themselves, and thinks it would be useful if it existed ("I don't know if there is a note feature").</t>
  </si>
  <si>
    <t xml:space="preserve">Anita, Colin, Erika, Kristin</t>
  </si>
  <si>
    <t xml:space="preserve">[Anita] She has had clients text her at very late hours expecting round-the-clock availability, but she does not respond until the next morning rather than feeling obligated to reply immediately ("I will get text messages at 12 and midnight. I'm like, I won't see them till the next morning").</t>
  </si>
  <si>
    <t xml:space="preserve">Ashley P., Becky, Naomi, Shania</t>
  </si>
  <si>
    <t xml:space="preserve">[Becky] Her general approach is to redirect Rover messages to her phone's regular text app rather than opening the Rover app, since it's easier than navigating the app's UI ("it's just easier just comes up as a text message rather than me having to open app and then navigate their UI.").</t>
  </si>
  <si>
    <t xml:space="preserve">Andrew, Ashley P., Tianrui, Tifany</t>
  </si>
  <si>
    <t xml:space="preserve">[Andrew] He considers writing post-sit feedback his least favorite part of the job, describing himself as not good at it ("that's my least favorite part. I'm so bad at at doing like feedback on the dogs afterwards").</t>
  </si>
  <si>
    <t xml:space="preserve">Ami, Andrew, Anita, Colin</t>
  </si>
  <si>
    <t xml:space="preserve">[Ami] She would like Rover to build in periodic prompts nudging providers toward business growth, such as suggesting a rate increase after a year on the platform and checking in on how things are going ("acknowledging, oh, you've been on the platform for a year. Have you considered raising your rates" and "tell us how it's going?").</t>
  </si>
  <si>
    <t xml:space="preserve">Andrew, Becky, Naomi</t>
  </si>
  <si>
    <t xml:space="preserve">[Becky] Her suggested improvement at this stage is making some profile information mandatory so it isn't a completely blank dog intro ("making some of the information on the profile mandatory so it's not like a completely blank um dog intro.").</t>
  </si>
  <si>
    <t xml:space="preserve">Andrew, Colin, Dawn</t>
  </si>
  <si>
    <t xml:space="preserve">[Dawn] If someone reaches out about a booking far in the future without firm dates, she asks them to archive the conversation and contact her again once they have specific dates, so the inquiry doesn't sit on her calendar prematurely ("I will want them to archive it or whatever and contact me later so it doesn't like mess up my calendar").</t>
  </si>
  <si>
    <t xml:space="preserve">Anita, Bruna, Shania</t>
  </si>
  <si>
    <t xml:space="preserve">[Anita] She develops individualized tricks to get picky or medicated animals to eat or take medication, such as hiding a pill in peanut butter for one dog ("Boo likes peanut butter so it's easier to give his pill in the peanut butter") or wrapping food in chicken for another ("So I wrap it in chicken and he'll eat it").</t>
  </si>
  <si>
    <t xml:space="preserve">Andrew, Ashley P., Tianrui</t>
  </si>
  <si>
    <t xml:space="preserve">[Andrew] He raised his fees by $10 at one point, which brought an overwhelming volume of requests down to a manageable level; this was a one-time adjustment ("I up up my fees by like $10 and then suddenly much more manageable"; "uh just the one time really").</t>
  </si>
  <si>
    <t xml:space="preserve">Becky, Shania, Tianrui</t>
  </si>
  <si>
    <t xml:space="preserve">[Becky] Asked what would make her keep more bookings on the Rover platform itself, she says only if Rover decreased the amount of its upcharge ("That's only if they like decrease the amount of um upcharge that they have.").</t>
  </si>
  <si>
    <t xml:space="preserve">[Bruna] She wishes Rover's analytics would show why a specific booking didn't happen (e.g. owner's plans changed vs. she was unavailable), saying that information would help her make pricing decisions ("if you're always busy, you should raise your prices, right? It's basic business mentality").</t>
  </si>
  <si>
    <t xml:space="preserve">Ashley P., Tianrui, Tifany</t>
  </si>
  <si>
    <t xml:space="preserve">[Tianrui] TR says the current payment process generally makes sense but is inefficient for very long stays, since a sitter isn't paid until the full stay (e.g. three months) is complete ("I think right now the payment process kind of makes sense. But um, but I think it can be like kind of ineffective for a longer stay").</t>
  </si>
  <si>
    <t xml:space="preserve">Colin, Naomi</t>
  </si>
  <si>
    <t xml:space="preserve">[Naomi] She ended that arrangement and asked the tenant to leave, partly because he wasn't cleaning up after his own dog ("the tenant wasn't really cleaning up after his dog, so I asked him to leave").</t>
  </si>
  <si>
    <t xml:space="preserve">Bruna, Tifany</t>
  </si>
  <si>
    <t xml:space="preserve">[Bruna] She occasionally gets dog-walking or drop-in requests through Rover but doesn't pursue or advertise that service, saying it's not worth her time given the pay ("it's just time consuming and the tickets not that high... the diversification just not worth it").</t>
  </si>
  <si>
    <t xml:space="preserve">Ashley P., Naomi</t>
  </si>
  <si>
    <t xml:space="preserve">[Naomi] A share of Rover message requests don't convert, including people who 'ghost' after messaging, which she says leads her to contact multiple prospects to fill her available slots and can result in overbooking ("there's a lot of people who just have like they'll send a request and it'll never come through so that's why you sometimes end up over booked because you have to talk to multiple people if you want to get to your number").</t>
  </si>
  <si>
    <t xml:space="preserve">Bruna, Tianrui</t>
  </si>
  <si>
    <t xml:space="preserve">[Tianrui] For new-client inquiries, TR uses a standardized, pre-written response saved in a notebook that they copy and paste ("I actually prepared a standardized language I use for them like I put into a notebook").</t>
  </si>
  <si>
    <t xml:space="preserve">Anita, Tianrui</t>
  </si>
  <si>
    <t xml:space="preserve">[Anita] Following that incident, she said Rover currently has no way for sitters to flag a risky owner so other sitters can be warned, which she wants added ("there's not a anything on Rover so that dog sitters can flag a client"; "I want them flagged that other sitters know that this might be dangerous").</t>
  </si>
  <si>
    <t xml:space="preserve">Ami, Kristin</t>
  </si>
  <si>
    <t xml:space="preserve">[Kristin] She says most clients going on vacation don't have the most important information (food, meds, leashes, vet) organized in one place, so she also asks about lower-priority preferences like a pet's favorite toy or bed, or where a cat likes to hide ("most people when they're going on vacation don't get all these things prepared in one location and those are the most important. But then like offsides like their favorite toy, their favorite bed... where they like to hide").</t>
  </si>
  <si>
    <t xml:space="preserve">Anita, Tifany</t>
  </si>
  <si>
    <t xml:space="preserve">[Tifany] For personal safety, she doesn't let new clients know where she lives right away, holds first meetings in a public location, and won't meet at a man's home alone unless his wife is present ('we'll meet in a public location'; 'if it's a man, I'm not going to do it unless there's a wife and she's there').</t>
  </si>
  <si>
    <t xml:space="preserve">Andrew, Becky</t>
  </si>
  <si>
    <t xml:space="preserve">[Andrew] When a client sends him a message, the app automatically soft-blocks those calendar dates from other sitters until he responds ("it blocks those dates off in your calendar temporarily or other people. So they can't see it until you have talked to the person.").</t>
  </si>
  <si>
    <t xml:space="preserve">Becky, Bruna</t>
  </si>
  <si>
    <t xml:space="preserve">[Becky] She says Rover's response to her request was that it was "interesting feedback," after which she asked them to log it as an enhancement request for a future fix ("they responded to my like help request, but they just said, "Oh, that's interesting feedback. Thank you." Yeah. I put I was like, "Can you make it an enhancement request? Something to fix in the future?"").</t>
  </si>
  <si>
    <t xml:space="preserve">Ashley P., Tianrui</t>
  </si>
  <si>
    <t xml:space="preserve">[Tianrui] TR notes Rover currently only sends a meet-and-greet notification 30 minutes ahead of time, and suggests sending it a day earlier since some clients may not otherwise realize it's coming ("Rover only sends notification just 30 minutes before meet and greet. But I thinking if Rover can send like uh one day earlier just to the clients because some clients may not know it").</t>
  </si>
  <si>
    <t xml:space="preserve">[Tianrui] Because of the short notice, TR has had clients forget and need to reschedule meet-and-greets multiple times ("I have a few experience in which I arrange it and then they need to reschedule it multiple times because they say they cannot make it like 30 minutes before the meet and greet").</t>
  </si>
  <si>
    <t xml:space="preserve">Andrew, Tianrui</t>
  </si>
  <si>
    <t xml:space="preserve">[Andrew] He frequently finds owner-submitted pet profiles incomplete, missing things like emergency vet contact or daily routine, because the app doesn't require those fields ("A lot of times there's stuff that's missing like a lot like you know sometimes they won't have their emergency vet or sometimes they won't have just like you what is this dog's daily routine in there").</t>
  </si>
  <si>
    <t xml:space="preserve">Andrew, Kristin</t>
  </si>
  <si>
    <t xml:space="preserve">[Andrew] He would like an in-app prompt reminding him when a specific client wants photo updates, since clients vary in how much they want ("I would enjoy if they had like a little prompt every once in a to kind of remind you like, "Hey, this person requested photos. They'd love to get an update today."").</t>
  </si>
  <si>
    <t xml:space="preserve">Anita, Ashley P.</t>
  </si>
  <si>
    <t xml:space="preserve">[Anita] She experienced repeated difficulty gaining building access for one cat-sitting client, having to call multiple times before being let in ("I had to call two or three times"; "you don't let me in the building. That's that's difficult").</t>
  </si>
  <si>
    <t xml:space="preserve">Becky, Colin</t>
  </si>
  <si>
    <t xml:space="preserve">[Becky] When she does have a daycare booking, she says she often forgets to log the card until hours later ("when I do have daycare, I usually forget. I'm like, so like 3 hours later, I'm like, "Oh yeah, I forgot to do this. We were going on a walk now."").</t>
  </si>
  <si>
    <t xml:space="preserve">Ami, Bruna</t>
  </si>
  <si>
    <t xml:space="preserve">[Bruna] She feels the reporting process should instead involve talking to a real person, e.g. by phone or video call, rather than only writing to a screen ("it should be more like you know organized or like maybe a phone call or maybe a video call like something more where you're talking to a human and not writing to a screen").</t>
  </si>
  <si>
    <t xml:space="preserve">[Tianrui] TR believes Rover should do more to encourage reviews generally, saying other sitters they've talked to report getting reviews only about a third of the time ("for a lot of other over sitters I talked to, they probably only leave review like one third of the time").</t>
  </si>
  <si>
    <t xml:space="preserve">[Bruna] She strongly dislikes Rover's current 30% commission fee on first-time bookings, comparing it unfavorably to the previous 20% rate, which she considered fair ("I don't love the new 30% that they're taking out of the cash from the first time bookers"; "before it was 20%... Which is fair").</t>
  </si>
  <si>
    <t xml:space="preserve">Erika, Tifany</t>
  </si>
  <si>
    <t xml:space="preserve">[Erika] Rover told her this cost would be on her, which she says felt unfair, and the professional cleaning (roughly $200) ended up costing more than she'd earned from that booking (about $100) ("unfair. Yeah. Because I took a service I won like $100 and professional cleaning. It cost me almost" [$200]).</t>
  </si>
  <si>
    <t xml:space="preserve">Bruna, Kristin</t>
  </si>
  <si>
    <t xml:space="preserve">[Bruna] She thinks a Rover networking/community feature for sitters would be valuable for sharing knowledge about handling difficult cases, such as dogs with separation anxiety or pacing ("I think a community would be great").</t>
  </si>
  <si>
    <t xml:space="preserve">[Anita] She holds a degree in environmental science (she said she graduated in 2024) and would like to pursue a further degree in animal science once she has paid off an existing loan ("I want to get a degree in animal science, but I have to pay off that one first").</t>
  </si>
  <si>
    <t xml:space="preserve">[Shania] She manages Rover alongside her other job without much friction because she knows her outside-work schedule ahead of time and gives clients a heads-up before confirming any booking that might overlap: "I do know ahead of time when I do have to work. So, I just kind of give the client a heads up before I like confirm any booking because they will eventually overlap with work."</t>
  </si>
  <si>
    <t xml:space="preserve">[Erika] She wants her baby to be able to grow up around animals and nature, something she feels city upbringing doesn't naturally provide ("so it's nice for me to see her around animals because like when you grow up in cities it's not that like um likely that you're going to have contacts with like uh nature as you usually do when you go when you grow up like outside from the cities and like you have more contact with farms and animals and nature").</t>
  </si>
  <si>
    <t xml:space="preserve">[Tianrui] As a new sitter, TR found themselves ranked around 20th to 30th in Rover's search results, which they say most clients never scroll far enough to see ("I was like rank 20 at like 30 something like that which is pretty difficult to see because most people will not scroll down all the way to like second third page to see me").</t>
  </si>
  <si>
    <t xml:space="preserve">[Tianrui] TR wishes Rover would periodically feature new sitters on the first results page instead of ranking almost entirely by reviews, repeat clients, and profile-update frequency ("if Rover can randomly put some new sitters on the first page, you probably going to be help a lot").</t>
  </si>
  <si>
    <t xml:space="preserve">[Tianrui] TR looked at Rover from the client side to understand how the search ranking worked, which is how they identified that ranking depends heavily on reviews, repeat clients, and calendar-update frequency ("I actually try to uh use Rover from the client side and then I realized Rover do rank people like uh first one, second one, third one").</t>
  </si>
  <si>
    <t xml:space="preserve">[Kristin] Deciding to decline a client or dog that's not a good fit was hard for her early on; she believes "Not all not all money is good money." and thinks Rover could help newer sitters with this by framing it as acceptable and normal.</t>
  </si>
  <si>
    <t xml:space="preserve">[Kristin] She describes declining gracefully as a skill some sitters lack naturally ("say no gently is an art form"), and thinks Rover could offer guidance or classes on how to say no to a bad-fit client.</t>
  </si>
  <si>
    <t xml:space="preserve">[Tifany] When she's uncertain about a dog after the first meet-and-greet, she schedules a second one closer to the start of the sit so she isn't a stranger to the dog on day one ('why don't we just do a second meet and greet the day before you leave').</t>
  </si>
  <si>
    <t xml:space="preserve">[Andrew] He would prefer the dates not be blocked at all until he has actively engaged with the request and agreed to take it ("at least not not block it off till I engage with the message and say like I would like to take this").</t>
  </si>
  <si>
    <t xml:space="preserve">[Ami] After a long stretch of visits — such as a two-week, twice-daily cat-sitting booking — she says she reaches a point of wanting to be finished, even though she also says she generally doesn't mind being busy and likes it, and that the client and animals themselves are great ("I don't mind I don't mind it. I I I like I like it. Um, but I I after a long spurt" and "It's like I just want to be. But um but on the other hand, you know, the the client is great, the animals are great.").</t>
  </si>
  <si>
    <t xml:space="preserve">[Becky] She says she isn't very good at using the cards because she's more used to house- and dog-sitting, so she just sends pictures and updates or asks questions via text or the app as needed instead ("I again I'm not very good at using the robot cards because I'm more used to the house and dogs sitting and I just send pictures and updates or ask questions throughout the day via text or via the app as as needed.").</t>
  </si>
  <si>
    <t xml:space="preserve">[Shania] She managed a difficult long-duration drop-in visit case: a client who was away in Texas for about three months did not clearly communicate her return date, initially saying she'd be back at the end of June but not actually returning until early August. "she was in Texas for about um 3 months... she said she was going to come back at the end of June, right? So, just a weird situation."</t>
  </si>
  <si>
    <t xml:space="preserve">[Tifany] As a result, she only writes positive review content and leaves out warnings about a dog's difficult behavior, to protect her business relationships ('I just I say the positive stuff and then I just leave the rest because, you know, how am I supposed to say that and keep my jobs?').</t>
  </si>
  <si>
    <t xml:space="preserve">[Anita] She wishes Rover would more actively promote the tipping option to clients, believing awareness is currently low ("I would hope that they would because some people don't tip at all").</t>
  </si>
  <si>
    <t xml:space="preserve">[Becky] For her offline bookings, which Rover doesn't track, she keeps her own record in a spreadsheet of when she has bookings and how much she charges per night or per day ("I just track everything in a spreadsheet. Um like when I have bookings, offline bookings, and how much I charge per night or per day or whatever the scenario is.").</t>
  </si>
  <si>
    <t xml:space="preserve">[Erika] She would like Rover to offer at least a partial credit or some form of help in situations like this, even if not full coverage ("at least a credit or maybe I don't know something that helps a little bit").</t>
  </si>
  <si>
    <t xml:space="preserve">[Anita] Part of her reluctance to switch platforms is the cost of starting over: she noted Rover put her through a roughly three-month background check when she signed up ("threemon um background check on me before they even signed me" up) and expects a new platform would require a similar wait ("I would imagine I would have to wait 3" months, and "I don't want to do that").</t>
  </si>
  <si>
    <t xml:space="preserve">[Ashley P.] She notes that since friends learned she pet-sits professionally, more of them now ask her to watch their pets, which she says is "kind of annoying sometimes," even though she has always enjoyed taking care of friends' pets.</t>
  </si>
  <si>
    <t xml:space="preserve">[Ashley P.] She would like the option of a different, shorter check-in length for lower-maintenance pets, feeling that sitting out a fixed timer in those cases is pointless ("having a specific timer on it sometimes feels pointless... having a different option for that kind of check-in I think would be something that I would change for sure like in my petsitting app.").</t>
  </si>
  <si>
    <t xml:space="preserve">[Ashley P.] She says clients often tip her, but the tip option only becomes available after the client submits a full review first, which she believes reduces how often people tip, even though she also understands the design likely helps ensure more consistent reviews ("The problem is is they have to leave a full review basically to get to the tip part... I think that there would be the potential for more tips if it wasn't um like dug into that section, but also I understand it in a way because it it gets people to review which may not happen as consistently if it wasn't in that same area.").</t>
  </si>
  <si>
    <t xml:space="preserve">Note: counts are distinct providers who raised this theme/type at least once, not row counts. A theme with a low count may still be a real issue for that provider -- it just isn't (yet) widely shared across the Pro segment.</t>
  </si>
  <si>
    <t xml:space="preserve">Status</t>
  </si>
  <si>
    <t xml:space="preserve">Who initiates</t>
  </si>
  <si>
    <t xml:space="preserve">Reason given</t>
  </si>
  <si>
    <t xml:space="preserve">Notes (grounded in transcript)</t>
  </si>
  <si>
    <t xml:space="preserve">Some leakage -- 2 documented cases</t>
  </si>
  <si>
    <t xml:space="preserve">Client</t>
  </si>
  <si>
    <t xml:space="preserve">Not stated</t>
  </si>
  <si>
    <t xml:space="preserve">Does not proactively suggest moving off Rover; agrees if the client asks.</t>
  </si>
  <si>
    <t xml:space="preserve">No leakage</t>
  </si>
  <si>
    <t xml:space="preserve">N/A</t>
  </si>
  <si>
    <t xml:space="preserve">Says everything is on Rover. Separately explains why he stays: Rover handles communication/scheduling/liability, and he dislikes admin paperwork and self-marketing alternatives (flyers, Nextdoor).</t>
  </si>
  <si>
    <t xml:space="preserve">Some leakage -- owner-initiated fee-avoidance attempts</t>
  </si>
  <si>
    <t xml:space="preserve">Client / owner</t>
  </si>
  <si>
    <t xml:space="preserve">Avoid Rover's fees</t>
  </si>
  <si>
    <t xml:space="preserve">Frames it as outside her control ('that's up to the owner'). Says she'd only look for another platform if Rover itself shut down.</t>
  </si>
  <si>
    <t xml:space="preserve">Some leakage -- ~3 clients over time</t>
  </si>
  <si>
    <t xml:space="preserve">Avoid fees that 'go nowhere'; client still pays her the same amount</t>
  </si>
  <si>
    <t xml:space="preserve">Says it's always the client who raises it, never her; keeps almost all clients on Rover.</t>
  </si>
  <si>
    <t xml:space="preserve">Recurring leakage -- multiple clients taken offline</t>
  </si>
  <si>
    <t xml:space="preserve">Mixed (sometimes client asks directly, sometimes mutual once familiar)</t>
  </si>
  <si>
    <t xml:space="preserve">Not explicitly stated beyond avoiding Rover / comfort with familiarity</t>
  </si>
  <si>
    <t xml:space="preserve">Acknowledges this is against Rover's rules. Charges offline clients less than the Rover listing price, splitting the difference with her own take-home.</t>
  </si>
  <si>
    <t xml:space="preserve">Rover is her only platform; gets referrals through a private trainer network but books through Rover.</t>
  </si>
  <si>
    <t xml:space="preserve">Unclear / unconfirmed</t>
  </si>
  <si>
    <t xml:space="preserve">Audio was garbled at this question in the transcript; cannot be confirmed.</t>
  </si>
  <si>
    <t xml:space="preserve">No leakage (stated as a general rule)</t>
  </si>
  <si>
    <t xml:space="preserve">Says she never books new clients outside the app.</t>
  </si>
  <si>
    <t xml:space="preserve">Partial leakage -- about 10% of clients</t>
  </si>
  <si>
    <t xml:space="preserve">Preference for other channels (not fee-avoidance) -- mostly elderly clients defaulting to NextDoor, Facebook, or phone</t>
  </si>
  <si>
    <t xml:space="preserve">When a client reaches out off-platform first, she redirects them back to her Rover profile.</t>
  </si>
  <si>
    <t xml:space="preserve">No stated instance in this theme</t>
  </si>
  <si>
    <t xml:space="preserve">Runs a separate private client base in parallel (Google Calendar, spreadsheets, a payment processor), but this is not documented as Rover clients converting off-platform.</t>
  </si>
  <si>
    <t xml:space="preserve">Rover is the only platform she has ever used; has no private clients at all.</t>
  </si>
  <si>
    <t xml:space="preserve">Declined -- clients have asked, provider refuses</t>
  </si>
  <si>
    <t xml:space="preserve">Not explicitly stated</t>
  </si>
  <si>
    <t xml:space="preserve">Declines to preserve insurance/liability coverage she would otherwise be without.</t>
  </si>
  <si>
    <t xml:space="preserve">Declined -- provider deliberately keeps clients on Rover</t>
  </si>
  <si>
    <t xml:space="preserve">Provider (deliberate policy)</t>
  </si>
  <si>
    <t xml:space="preserve">N/A (provider-side reason, not a client ask)</t>
  </si>
  <si>
    <t xml:space="preserve">Says she's afraid of losing her standing on Rover if she moves clients off; leaves the choice to the client but doesn't encourage it.</t>
  </si>
  <si>
    <t xml:space="preserve">Status bucket counts (of 14 Pro providers):</t>
  </si>
  <si>
    <t xml:space="preserve">Some leakage</t>
  </si>
  <si>
    <t xml:space="preserve">Partial leakage</t>
  </si>
  <si>
    <t xml:space="preserve">Recurring leakage</t>
  </si>
  <si>
    <t xml:space="preserve">Declined</t>
  </si>
  <si>
    <t xml:space="preserve">Unclear</t>
  </si>
  <si>
    <t xml:space="preserve">No stated instance</t>
  </si>
  <si>
    <t xml:space="preserve">Total (should equal 14)</t>
  </si>
  <si>
    <t xml:space="preserve">Definition</t>
  </si>
  <si>
    <t xml:space="preserve">Background facts about who the provider is - age, family, living situation, other job, own pets - not directly about Rover.</t>
  </si>
  <si>
    <t xml:space="preserve">Why the provider does pet sitting and the personal/emotional value they get from being around animals.</t>
  </si>
  <si>
    <t xml:space="preserve">How pet sitting fits alongside the provider's other income, job, and life schedule (side income, full-time/part-time framing, flexibility).</t>
  </si>
  <si>
    <t xml:space="preserve">Getting set up on Rover initially - background check, account verification, first approval, choosing Rover over alternatives.</t>
  </si>
  <si>
    <t xml:space="preserve">How new clients first find and contact the sitter, and what the sitter does to attract them.</t>
  </si>
  <si>
    <t xml:space="preserve">Rover's search-ranking/algorithm and how it affects a sitter's visibility, especially for new or lower-ranked sitters.</t>
  </si>
  <si>
    <t xml:space="preserve">How meet-and-greets are conducted - logistics, format, purpose, in-person vs. video.</t>
  </si>
  <si>
    <t xml:space="preserve">The sitter's criteria and non-negotiables for accepting or declining a specific dog or client (aggression, size, breed, behavior, distance).</t>
  </si>
  <si>
    <t xml:space="preserve">Physical-safety concerns and incidents involving the sitter, a dog, or an owner, and personal-safety precautions.</t>
  </si>
  <si>
    <t xml:space="preserve">Tools and behavior for tracking availability and bookings - Rover's calendar, Google Calendar sync, calendar bugs.</t>
  </si>
  <si>
    <t xml:space="preserve">The mechanics of how a request becomes a confirmed (or cancelled) booking - blocking dates, mutual confirmation, cancellation rules.</t>
  </si>
  <si>
    <t xml:space="preserve">The completeness and quality of client or pet profile information available before or during a sit.</t>
  </si>
  <si>
    <t xml:space="preserve">Gathering and recording a pet's care instructions (feeding, meds, routine) before or at the start of a sit.</t>
  </si>
  <si>
    <t xml:space="preserve">Sending photo, video, and text updates to owners during a sit, and the tools for doing so (Rover Cards, in-sit messaging).</t>
  </si>
  <si>
    <t xml:space="preserve">Mechanics, bugs, and preferences around the in-app messaging system itself - chat structure, autosave, notification timing, response-time pressure.</t>
  </si>
  <si>
    <t xml:space="preserve">Sitters or clients using channels other than Rover chat to communicate, such as texting, WhatsApp, or Messenger.</t>
  </si>
  <si>
    <t xml:space="preserve">Leaving and receiving reviews and ratings, and concerns about their honesty, visibility, or fairness.</t>
  </si>
  <si>
    <t xml:space="preserve">Rover's commission/take-rate structure and the provider's opinions about it.</t>
  </si>
  <si>
    <t xml:space="preserve">How sitters set, and change, their own service rates.</t>
  </si>
  <si>
    <t xml:space="preserve">The timing of getting paid out, and visibility into pending versus earned income.</t>
  </si>
  <si>
    <t xml:space="preserve">Client tipping behavior and awareness of the tipping feature.</t>
  </si>
  <si>
    <t xml:space="preserve">Bookings or clients that started on Rover and get moved off-platform (or deliberately kept on it), and the reasoning involved.</t>
  </si>
  <si>
    <t xml:space="preserve">Running a separate, private (non-Rover) pet-sitting or other business - its own marketing, invoicing, tools, and client tracking.</t>
  </si>
  <si>
    <t xml:space="preserve">Rover's insurance/liability coverage, and disputes or questions about damage or incident coverage.</t>
  </si>
  <si>
    <t xml:space="preserve">Managing multiple dogs/pets at once and the household-space constraints involved.</t>
  </si>
  <si>
    <t xml:space="preserve">Ongoing relationships with repeat/regular clients and what sustains them over time.</t>
  </si>
  <si>
    <t xml:space="preserve">Plans, goals, and constraints around growing - or deliberately not growing - the pet-sitting business.</t>
  </si>
  <si>
    <t xml:space="preserve">Experience contacting or getting help from Rover's support/customer service, and Rover's informational/training resources for sitters.</t>
  </si>
  <si>
    <t xml:space="preserve">Sitter-to-sitter networking and referrals, or wishes for a sitter community feature.</t>
  </si>
  <si>
    <t xml:space="preserve">Neutral facts about the concrete tasks performed during a sit - feeding, walking, medicating, cleaning.</t>
  </si>
  <si>
    <t xml:space="preserve">Stage</t>
  </si>
  <si>
    <t xml:space="preserve">What this stage covers</t>
  </si>
  <si>
    <t xml:space="preserve">Off-platform leakage note for this stage</t>
  </si>
  <si>
    <t xml:space="preserve">Helper: Participant</t>
  </si>
  <si>
    <t xml:space="preserve">Helper: Category</t>
  </si>
  <si>
    <t xml:space="preserve">Helper: Theme</t>
  </si>
  <si>
    <t xml:space="preserve">Helper: Type</t>
  </si>
  <si>
    <t xml:space="preserve">Helper: Is friction/need/workaround</t>
  </si>
  <si>
    <t xml:space="preserve">Helper: 1st occurrence of Category+Theme+Type+Participant</t>
  </si>
  <si>
    <t xml:space="preserve">Helper: 1st occurrence of Theme+Participant (FNW only)</t>
  </si>
  <si>
    <t xml:space="preserve">Helper: 1st occurrence of Theme+Category (FNW only)</t>
  </si>
  <si>
    <t xml:space="preserve">Helper: 1st occurrence of Category+Theme+Participant (FNW only)</t>
  </si>
  <si>
    <t xml:space="preserve">Helper: Is stage category (excludes Context/Motivation)</t>
  </si>
  <si>
    <t xml:space="preserve">How clients first find and contact the provider, before any screening or decision happens.</t>
  </si>
  <si>
    <t xml:space="preserve">One off-platform-clients-leakage row is tagged in this stage: Kristin describes redirecting off-platform inquiries back to her Rover profile ("here's my Rover app if you need to see my [availability, pricing, and reviews]") rather than losing the lead off-platform. This is a retention behavior at the discovery stage, not an instance of a client or booking actually leaving Rover.</t>
  </si>
  <si>
    <t xml:space="preserve">The screening/decision moment -- how the provider decides whether to accept a specific client or pet, meet-and-greet behavior.</t>
  </si>
  <si>
    <t xml:space="preserve">No off-platform-clients-leakage rows are tagged in this stage.</t>
  </si>
  <si>
    <t xml:space="preserve">Scheduling mechanics once a booking is being arranged: calendar management, confirming dates, cancellations.</t>
  </si>
  <si>
    <t xml:space="preserve">Between confirmed booking and the sit starting: care instructions, medication/emergency info, keys/access.</t>
  </si>
  <si>
    <t xml:space="preserve">What the provider actually does during the sit: daily care tasks, on-site issue handling.</t>
  </si>
  <si>
    <t xml:space="preserve">How communication style, frequency, or tone changes over a relationship or a stay's length.</t>
  </si>
  <si>
    <t xml:space="preserve">No off-platform-clients-leakage rows are tagged in this stage. Note this is distinct from the off-platform-communication-channels theme (channel choice -- texting/WhatsApp/etc. -- not client or booking migration), which is heavily tagged here (see 'Frictions / Needs / Workarounds by Stage' table below); channel choice and client leakage are separate coded themes and are not combined in this note.</t>
  </si>
  <si>
    <t xml:space="preserve">What happens once a sit ends: payment trigger/confirmation, reviews, follow-up, relationship continuation.</t>
  </si>
  <si>
    <t xml:space="preserve">Pricing, fees, tipping, income tracking, Rover vs. off-platform pricing.</t>
  </si>
  <si>
    <t xml:space="preserve">One off-platform-clients-leakage row is tagged in this stage: Becky describes charging clients she has taken offline less than the full Rover listing price, splitting the difference between that and her own Rover take-home ("I typically charge less than what Rover would charge, but I like split the difference between my take-home from Rover and [the full] booking [price]"). This is about the pricing mechanics of an already-leaked relationship, not the leakage trigger itself.</t>
  </si>
  <si>
    <t xml:space="preserve">Tools used alongside Rover, and what has moved off-Rover, under what conditions.</t>
  </si>
  <si>
    <t xml:space="preserve">Desired trajectory, scaling intentions, what would keep the provider on Rover long-term.</t>
  </si>
  <si>
    <t xml:space="preserve">Three off-platform-clients-leakage rows are tagged in this stage, but framed as commitment to Rover rather than attrition: Anita ("If not, I would have to go find another one"; "once I got signed on to Rover, I didn't look elsewhere") and Kristin ("Rover does the advertising for you... there's no reason to change that") both describe staying on Rover rather than switching platforms or going independent. Same theme, opposite direction from leakage -- included here because both concern the provider's relationship to Rover versus alternatives.</t>
  </si>
  <si>
    <t xml:space="preserve">How to read this sheet: Section 1 is the sequential stage backbone (same 10 categories used to tag the raw transcripts). Section 2 lists every friction, need, and workaround tagged in each stage, with a live distinct-provider count pulled straight from Raw Atomic Data (Pro) -- workarounds were tagged in the source data but omitted from the first-draft map; they are included here. Section 3 rolls up themes that were tagged as a friction/need/workaround in MORE THAN ONE stage -- i.e. cross-cutting issues (like messaging mechanics or the meet-and-greet scheduling problem) that a stage-by-stage read alone would fragment and undercount. All counts in Sections 2-3 are live formulas built from a calculation-helper block in hidden columns J:S of this sheet, which mirror Raw Atomic Data (Pro) row-for-row -- unhide to audit. 'Context and provider model' and 'Motivation' categories are excluded throughout since they are background/outlook, not sequential workflow steps.</t>
  </si>
  <si>
    <t xml:space="preserve">Frictions, Needs &amp; Workarounds by Stage (one row per Stage x Theme x Type tagged in Raw Atomic Data (Pro))</t>
  </si>
  <si>
    <t xml:space="preserve">Cross-cutting across stages?</t>
  </si>
  <si>
    <t xml:space="preserve">Which providers (this stage)</t>
  </si>
  <si>
    <t xml:space="preserve">Anita, Naomi</t>
  </si>
  <si>
    <t xml:space="preserve">[Ashley P.] She finds it "weird" that new booking-request notifications give a pet's name but not whether it's a cat or a dog, which affects what questions she'll ask, so she has to check the attached photo herself ("something that I find weird that it doesn't do that it should do I think is tell you if it's a cat or a dog... it doesn't tell you if it's a cat or dog, which, you know, sometimes changes what type of questions you'll be asking. So then I have to like go in and look at the picture.").</t>
  </si>
  <si>
    <t xml:space="preserve">[Naomi] She wants a filled-out Rover profile with at least a photo before considering a request, though she says it doesn't need to be highly detailed ("what I want is a for them to have a well-filled out profile. It doesn't need to be detailed, but I want a photo").</t>
  </si>
  <si>
    <t xml:space="preserve">[Tianrui] While trying to land their first client, TR made a point of keeping their calendar consistently updated ("I do definitely try to keep my calendar updates").</t>
  </si>
  <si>
    <t xml:space="preserve">[Ami] Even though she feels Rover organizes pet, medication, and owner-instruction information reasonably well within a client's profile ("I think it's pretty well organized"), she sometimes finds herself scrolling back through the Rover message thread to re-find that information instead of going straight to the organized section ("I tend to be like scrolling through the messages looking for information when I probably could just be going").</t>
  </si>
  <si>
    <t xml:space="preserve">[Tifany] She believes the Rover app doesn't actually support adding a client's phone number as a field, which she finds inconvenient ('I don't think it does because it won't let you put a number in there').</t>
  </si>
  <si>
    <t xml:space="preserve">[Andrew] He wishes more clients filled out the full dog-information profile so he wouldn't have to gather it himself ("there would be great if more people filled out all of the my dog information").</t>
  </si>
  <si>
    <t xml:space="preserve">[Tifany] Since a medical emergency where she struggled to find a client's contact information in the app (see Service delivery for detail), she now asks every client to exchange phone numbers specifically for emergencies before a sit begins ('now since then, I always ask them, Hey, if there's an emergency, can we exchange numbers?').</t>
  </si>
  <si>
    <t xml:space="preserve">Ami, Andrew</t>
  </si>
  <si>
    <t xml:space="preserve">[Ami] When typing a personal message to include with a Rover Card update on her phone, the field doesn't auto-save, so she has sometimes lost long typed updates when her finger accidentally swiped the wrong spot on the screen, requiring her to retype it ("I've typed up you know lots of really nice information and then lost it because if you don't hit the save button").</t>
  </si>
  <si>
    <t xml:space="preserve">[Bruna] She described being bitten multiple times, on her hand, by an English bulldog she had gone to walk as an already-booked client, after the owner didn't warn her the dog might bite; the owner stayed out of the apartment and watched from the lobby via camera instead of being present when Bruna entered ("at no point this woman was inside the apartment. She was in the lobby watching through a camera"). Bruna got the dog's collar on to start the walk, then grabbed his neck and pushed him back to get out the door.</t>
  </si>
  <si>
    <t xml:space="preserve">[Erika] Pet sitting does add some demand on her time, which she says is sometimes hard to balance now that she has a baby ("Uh definitely it has like some demand of time. Of course, sometimes it's hard to get your life on, especially after you have a baby because").</t>
  </si>
  <si>
    <t xml:space="preserve">[Bruna] After the bite, she contacted Rover to report it but found the reporting process bureaucratic and time-consuming, involving a lengthy back-and-forth over email, and ultimately gave up on pursuing it further ("it's like this going back and forth of emails like I don't have time for this... I just I ended up not pursuing it").</t>
  </si>
  <si>
    <t xml:space="preserve">Anita, Shania</t>
  </si>
  <si>
    <t xml:space="preserve">Andrew, Anita, Becky, Colin, Naomi, Tifany</t>
  </si>
  <si>
    <t xml:space="preserve">[Andrew] He feels pressure to respond within an hour to maintain his Star Sitter status, which becomes especially hard during high-volume periods ("respond you know within an hour to every message. Like when I was getting a ton and ton of messages, like not only was it not possible, but I was just like, I feel bad after a while doing it").</t>
  </si>
  <si>
    <t xml:space="preserve">Tianrui, Tifany</t>
  </si>
  <si>
    <t xml:space="preserve">Anita, Colin, Erika</t>
  </si>
  <si>
    <t xml:space="preserve">[Anita] Early in a client relationship she is deliberately upfront to build trust quickly, for example sharing her own driver's license so clients know who she is ("I share uh my personal ID. I give them my driver's license and so they know that I'm upfront").</t>
  </si>
  <si>
    <t xml:space="preserve">[Ashley P.] Payment is deposited directly into her bank account after some unspecified delay, and she doesn't have a clear sense of the timeline ("it goes into my bank account like direct deposit after a certain amount of time. I never really know how long it's going to be. It just kind of shows up.").</t>
  </si>
  <si>
    <t xml:space="preserve">[Ashley P.] She wishes Rover would send a notification confirming that payment is processing and roughly when it will arrive, since she finds the current communication about deposit timing unclear, even though she says she's never urgently needed the money that quickly ("there isn't great communication when it is getting deposited. It just kind of happens." and "I think maybe if they just send a notification that the payment is being processed and that it will be in your bank in x amount of days").</t>
  </si>
  <si>
    <t xml:space="preserve">[Bruna] For repeat clients, she goes back to the earlier request/chat thread in the Rover app to recall the dog's and owner's details rather than keeping a separate personal record, though she reflected during the interview that she probably should start writing it down ("I can always go back to the old uh to the previous uh request and then I can just see what we talked about... I should actually write it down").</t>
  </si>
  <si>
    <t xml:space="preserve">[Bruna] Before pickup, she texts the owner to confirm timing and asks for a heads-up text when they're about ten minutes away, since the app only gives an approximate time window ("if you could uh give me a like just text me when you're like 10 minutes away, cuz then I can just go downstairs with your dog").</t>
  </si>
  <si>
    <t xml:space="preserve">[Andrew] He finds it frustrating when clients don't complete the payment step after requesting a booking, since he doesn't want to have to chase them for money ("that's a big source of frustration. You never I don't want to I don't want to have to chase down payment. I don't want to hound them for money").</t>
  </si>
  <si>
    <t xml:space="preserve">[Anita] She says the seasonal, on-and-off nature of bookings makes her income unpredictable and hard to depend on ("It's it's not continuous. You can't depend on it regularly"; "you never know what's going to happen. Tomorrow I could have three more and maybe none").</t>
  </si>
  <si>
    <t xml:space="preserve">[Tifany] Raising prices was complicated by her existing long-term clients, whom she kept honoring at old rates, creating bookkeeping confusion in her own private invoicing over which client was charged which rate ('I had all these like long-term clients that I wasn't going to up their prices, too'; 'is this a client that's 65 or 75? You know, like I didn't know').</t>
  </si>
  <si>
    <t xml:space="preserve">Andrew, Naomi, Tianrui</t>
  </si>
  <si>
    <t xml:space="preserve">[Ashley P.] She is not compensated for the 15 to 30 minutes she spends traveling to and conducting in-person meet-and-greets before a booking is confirmed, and she'd like a separate, lower-cost meet-and-greet booking category that at least pays for her time and driving ("I'm going there at a separate time before it's even booked and spending... 15 to 30 minutes with pet parents. And I'm not being compensated for that time... a separate category in which like meet and greet was an option that... maybe cost less than a normal check-in visit or something, but at least you're getting compensated for like your driving time and things like that.").</t>
  </si>
  <si>
    <t xml:space="preserve">Andrew, Colin</t>
  </si>
  <si>
    <t xml:space="preserve">[Andrew] His practice is to send one or two reminders, gauging the client socially, before closing out an unpaid request after about 48 hours ("I'll usually send them one or two reminders depending on, you know, just sort of sussing them out socially").</t>
  </si>
  <si>
    <t xml:space="preserve">[Bruna] She keeps a personal lead tracker in Notion, outside Rover, to try to track why leads didn't convert into bookings, because Rover doesn't currently provide that information ("I do have a lead tracker on notion that I have on my own").</t>
  </si>
  <si>
    <t xml:space="preserve">[Kristin] Rover messaging doesn't work well (or costs extra) for clients traveling internationally, so for those clients she supplements her always-through-Rover messaging with WhatsApp or Signal ("if the client is going internationally, I supplement with WhatsApp or Signal."), though she describes this as optional ("It's not required. I just offer it for the clients.").</t>
  </si>
  <si>
    <t xml:space="preserve">Ashley P., Erika</t>
  </si>
  <si>
    <t xml:space="preserve">[Erika] She frames this as the app being generally good but sometimes slow to process messages ("sometimes a robber app is good but it takes some time to process messages").</t>
  </si>
  <si>
    <t xml:space="preserve">[Colin] Adding another dog to board alongside his own leaves no one comfortable, given his own dog's size and space needs ("no no one's really sleeping and no one's very happy").</t>
  </si>
  <si>
    <t xml:space="preserve">[Bruna] When asked about her future outlook, she again mentioned that she doesn't like the current fee changes, without elaborating further ("I don't know. I don't I don't love the changes they did in the rating.").</t>
  </si>
  <si>
    <t xml:space="preserve">[Tifany] She is uncertain what protection or support Rover would actually provide her as a sitter if she were injured or something went wrong during a sit, and feels the platform leans toward protecting the client rather than the sitter ('I don't know if I feel supported by Rover'; 'if a dog bites me and I have to go get medical, like are they going to pay my medical bills? Do they have my back? You know, I don't know. Maybe').</t>
  </si>
  <si>
    <t xml:space="preserve">Ashley P., Erika, Naomi, Tifany</t>
  </si>
  <si>
    <t xml:space="preserve">[Erika] Her main wish for the platform's future is faster, more instant communication, ideally through some kind of WhatsApp integration with the Rover app ("having a part instant messages would be nice to have it on WhatsApp because I definitely personally I use a lot of WhatsApp so I think that it'll be easier to communicate to parents").</t>
  </si>
  <si>
    <t xml:space="preserve">[Anita] She suggested Rover could help sitters promote their own businesses, floating the idea of business cards, though she was unsure this was the right solution and noted she personally wouldn't feel safe handing them out to strangers ("Maybe they could offer business cards. I don't know"; "I'm not going to go out and hand out business cards to people I don't know because I'd be afraid").</t>
  </si>
  <si>
    <t xml:space="preserve">[Tifany] Part of her ideal platform includes a visually clearer calendar tool that shows what type of booking is blocking a given day, a request covered in full under Booking and availability.</t>
  </si>
  <si>
    <t xml:space="preserve">[Ashley P.] She'd want more flexible or shorter check-in visit lengths available for low-maintenance pets instead of being locked into a fixed visit duration, a point detailed further under Service delivery ("having a different option for that kind of check-in I think would be something that I would change for sure like in my petsitting app.").</t>
  </si>
  <si>
    <t xml:space="preserve">[Tifany] She envisions an ideal platform with much faster payouts, released within about 24 hours instead of the current delay, which she describes as usually around five days though it has varied (see Payments and earnings for detail).</t>
  </si>
  <si>
    <t xml:space="preserve">[Tianrui] For the future, TR would like Rover itself to incentivize clients (e.g. with a discount) to leave reviews, so that sitters aren't the ones having to offer discounts to get reviews ("I hope the platform can offer incentive for the clients be like all right uh leave the review for the sitter and then we can like next time we can give you like a more some kind of discounts").</t>
  </si>
  <si>
    <t xml:space="preserve">[Tianrui] TR wants more sitter-protective safety features, such as a dedicated call/support line sitters could use if something comes up during a sit, given the risk of having shared their address ("maybe like some calling and then more ready call line would be better for the sitter in which like anything come up they can just like call and then figure out the way").</t>
  </si>
  <si>
    <t xml:space="preserve">[Tianrui] TR would like a feature letting sitters indicate whether they want more clients or are satisfied with their current volume, which would raise or lower their platform ranking accordingly, rather than a sitter's rank dropping simply because they decline bookings ("if the sitter choose like oh I'm really happy with that right now no more new clients I'm done and then a thinking rover can just like lower the rank of this person a little bit more... for those who thinking that they can take more they can just like fill up saying like oh yeah I'm down to take more give me more like that then they can like even higher up the rank").</t>
  </si>
  <si>
    <t xml:space="preserve">[Ami] She'd find a quick-reference format for training content useful, even something as simple as a single-sheet PDF listing signs to watch for, like stress or overheating signals ("12 signs of uh stress in in animals" and "a a a single sheet PDF, you know, just being able to access and go").</t>
  </si>
  <si>
    <t xml:space="preserve">Note: 'Distinct providers' counts how many of the 14 Pro providers raised that theme, as that type, at least once in that stage -- same distinct-provider methodology as the Friction-Need Frequency sheet, computed live from Raw Atomic Data (Pro) via the hidden helper columns, not hand-counted. 'Cross-cutting' flags themes whose friction/need/workaround rows appear in more than one stage in this list (see Section 3 for the full breakdown by stage).</t>
  </si>
  <si>
    <t xml:space="preserve">Cross-Cutting Frictions, Needs &amp; Workarounds (themes tagged in more than one stage)</t>
  </si>
  <si>
    <t xml:space="preserve">Theme definition</t>
  </si>
  <si>
    <t xml:space="preserve">Type(s) tagged</t>
  </si>
  <si>
    <t xml:space="preserve">Stages spanned (n)</t>
  </si>
  <si>
    <t xml:space="preserve">Which stages (distinct providers per stage)</t>
  </si>
  <si>
    <t xml:space="preserve">Total distinct Pro providers (any stage, any FNW type)</t>
  </si>
  <si>
    <t xml:space="preserve">Note: 'Total distinct Pro providers (any stage, any FNW type)' counts each provider once even if they raised the same theme as more than one type (e.g. both a friction and a need) or in more than one stage -- it is a true distinct-provider count across the whole journey, not a sum of the per-stage counts in the previous column. The per-stage counts in 'Which stages' are themselves also true distinct-provider counts (a provider raising the same theme as both a friction and a need within one stage is counted once for that stage, not twice). All counts on this sheet are live formulas referencing Raw Atomic Data (Pro) through the hidden helper columns J:S (S excludes the background Context/Motivation categories from all counts on this sheet); they recompute automatically if the raw data changes.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</si>
</sst>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name val="Arial"/>
      <family val="0"/>
      <charset val="1"/>
    </font>
    <font>
      <i val="true"/>
      <sz val="9"/>
      <name val="Arial"/>
      <family val="0"/>
      <charset val="1"/>
    </font>
    <font>
      <b val="true"/>
      <sz val="12"/>
      <color rgb="FF1F3864"/>
      <name val="Arial"/>
      <family val="0"/>
      <charset val="1"/>
    </font>
  </fonts>
  <fills count="3">
    <fill>
      <patternFill patternType="none"/>
    </fill>
    <fill>
      <patternFill patternType="gray125"/>
    </fill>
    <fill>
      <patternFill patternType="solid">
        <fgColor rgb="FF4472C4"/>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tru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center"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7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1" width="14"/>
    <col collapsed="false" customWidth="true" hidden="false" outlineLevel="0" max="3" min="3" style="1" width="24"/>
    <col collapsed="false" customWidth="true" hidden="false" outlineLevel="0" max="4" min="4" style="1" width="30"/>
    <col collapsed="false" customWidth="true" hidden="false" outlineLevel="0" max="5" min="5" style="1" width="12"/>
    <col collapsed="false" customWidth="true" hidden="false" outlineLevel="0" max="6" min="6" style="1" width="65"/>
    <col collapsed="false" customWidth="true" hidden="false" outlineLevel="0" max="7" min="7" style="1" width="55"/>
    <col collapsed="false" customWidth="true" hidden="false" outlineLevel="0" max="8" min="8" style="1" width="18"/>
  </cols>
  <sheetData>
    <row r="1" customFormat="false" ht="15" hidden="false" customHeight="true" outlineLevel="0" collapsed="false">
      <c r="A1" s="2" t="s">
        <v>0</v>
      </c>
      <c r="B1" s="2" t="s">
        <v>1</v>
      </c>
      <c r="C1" s="2" t="s">
        <v>2</v>
      </c>
      <c r="D1" s="2" t="s">
        <v>3</v>
      </c>
      <c r="E1" s="2" t="s">
        <v>4</v>
      </c>
      <c r="F1" s="2" t="s">
        <v>5</v>
      </c>
      <c r="G1" s="2" t="s">
        <v>6</v>
      </c>
      <c r="H1" s="2" t="s">
        <v>7</v>
      </c>
    </row>
    <row r="2" customFormat="false" ht="23.25" hidden="false" customHeight="true" outlineLevel="0" collapsed="false">
      <c r="A2" s="3" t="s">
        <v>8</v>
      </c>
      <c r="B2" s="3" t="s">
        <v>9</v>
      </c>
      <c r="C2" s="3" t="s">
        <v>10</v>
      </c>
      <c r="D2" s="3" t="s">
        <v>11</v>
      </c>
      <c r="E2" s="3" t="s">
        <v>12</v>
      </c>
      <c r="F2" s="4" t="s">
        <v>13</v>
      </c>
      <c r="G2" s="4" t="s">
        <v>14</v>
      </c>
      <c r="H2" s="3" t="n">
        <f aca="false">IF(COUNTIFS($D$2:D2,D2,$E$2:E2,E2,$A$2:A2,A2)=1,1,0)</f>
        <v>1</v>
      </c>
    </row>
    <row r="3" customFormat="false" ht="23.25" hidden="false" customHeight="true" outlineLevel="0" collapsed="false">
      <c r="A3" s="3" t="s">
        <v>8</v>
      </c>
      <c r="B3" s="3" t="s">
        <v>9</v>
      </c>
      <c r="C3" s="3" t="s">
        <v>10</v>
      </c>
      <c r="D3" s="3" t="s">
        <v>11</v>
      </c>
      <c r="E3" s="3" t="s">
        <v>12</v>
      </c>
      <c r="F3" s="4" t="s">
        <v>15</v>
      </c>
      <c r="G3" s="4" t="s">
        <v>16</v>
      </c>
      <c r="H3" s="3" t="n">
        <f aca="false">IF(COUNTIFS($D$2:D3,D3,$E$2:E3,E3,$A$2:A3,A3)=1,1,0)</f>
        <v>0</v>
      </c>
    </row>
    <row r="4" customFormat="false" ht="57" hidden="false" customHeight="true" outlineLevel="0" collapsed="false">
      <c r="A4" s="3" t="s">
        <v>8</v>
      </c>
      <c r="B4" s="3" t="s">
        <v>9</v>
      </c>
      <c r="C4" s="3" t="s">
        <v>10</v>
      </c>
      <c r="D4" s="3" t="s">
        <v>11</v>
      </c>
      <c r="E4" s="3" t="s">
        <v>12</v>
      </c>
      <c r="F4" s="4" t="s">
        <v>17</v>
      </c>
      <c r="G4" s="4" t="s">
        <v>18</v>
      </c>
      <c r="H4" s="3" t="n">
        <f aca="false">IF(COUNTIFS($D$2:D4,D4,$E$2:E4,E4,$A$2:A4,A4)=1,1,0)</f>
        <v>0</v>
      </c>
    </row>
    <row r="5" customFormat="false" ht="68.25" hidden="false" customHeight="true" outlineLevel="0" collapsed="false">
      <c r="A5" s="3" t="s">
        <v>8</v>
      </c>
      <c r="B5" s="3" t="s">
        <v>9</v>
      </c>
      <c r="C5" s="3" t="s">
        <v>10</v>
      </c>
      <c r="D5" s="3" t="s">
        <v>19</v>
      </c>
      <c r="E5" s="3" t="s">
        <v>12</v>
      </c>
      <c r="F5" s="4" t="s">
        <v>20</v>
      </c>
      <c r="G5" s="4" t="s">
        <v>21</v>
      </c>
      <c r="H5" s="3" t="n">
        <f aca="false">IF(COUNTIFS($D$2:D5,D5,$E$2:E5,E5,$A$2:A5,A5)=1,1,0)</f>
        <v>1</v>
      </c>
    </row>
    <row r="6" customFormat="false" ht="23.25" hidden="false" customHeight="true" outlineLevel="0" collapsed="false">
      <c r="A6" s="3" t="s">
        <v>8</v>
      </c>
      <c r="B6" s="3" t="s">
        <v>9</v>
      </c>
      <c r="C6" s="3" t="s">
        <v>10</v>
      </c>
      <c r="D6" s="3" t="s">
        <v>11</v>
      </c>
      <c r="E6" s="3" t="s">
        <v>12</v>
      </c>
      <c r="F6" s="4" t="s">
        <v>22</v>
      </c>
      <c r="G6" s="4" t="s">
        <v>23</v>
      </c>
      <c r="H6" s="3" t="n">
        <f aca="false">IF(COUNTIFS($D$2:D6,D6,$E$2:E6,E6,$A$2:A6,A6)=1,1,0)</f>
        <v>0</v>
      </c>
    </row>
    <row r="7" customFormat="false" ht="102" hidden="false" customHeight="true" outlineLevel="0" collapsed="false">
      <c r="A7" s="3" t="s">
        <v>8</v>
      </c>
      <c r="B7" s="3" t="s">
        <v>9</v>
      </c>
      <c r="C7" s="3" t="s">
        <v>10</v>
      </c>
      <c r="D7" s="3" t="s">
        <v>19</v>
      </c>
      <c r="E7" s="3" t="s">
        <v>24</v>
      </c>
      <c r="F7" s="4" t="s">
        <v>25</v>
      </c>
      <c r="G7" s="4" t="s">
        <v>26</v>
      </c>
      <c r="H7" s="3" t="n">
        <f aca="false">IF(COUNTIFS($D$2:D7,D7,$E$2:E7,E7,$A$2:A7,A7)=1,1,0)</f>
        <v>1</v>
      </c>
    </row>
    <row r="8" customFormat="false" ht="57" hidden="false" customHeight="true" outlineLevel="0" collapsed="false">
      <c r="A8" s="3" t="s">
        <v>8</v>
      </c>
      <c r="B8" s="3" t="s">
        <v>9</v>
      </c>
      <c r="C8" s="3" t="s">
        <v>10</v>
      </c>
      <c r="D8" s="3" t="s">
        <v>27</v>
      </c>
      <c r="E8" s="3" t="s">
        <v>24</v>
      </c>
      <c r="F8" s="4" t="s">
        <v>28</v>
      </c>
      <c r="G8" s="4" t="s">
        <v>29</v>
      </c>
      <c r="H8" s="3" t="n">
        <f aca="false">IF(COUNTIFS($D$2:D8,D8,$E$2:E8,E8,$A$2:A8,A8)=1,1,0)</f>
        <v>1</v>
      </c>
    </row>
    <row r="9" customFormat="false" ht="45.75" hidden="false" customHeight="true" outlineLevel="0" collapsed="false">
      <c r="A9" s="3" t="s">
        <v>8</v>
      </c>
      <c r="B9" s="3" t="s">
        <v>9</v>
      </c>
      <c r="C9" s="3" t="s">
        <v>10</v>
      </c>
      <c r="D9" s="3" t="s">
        <v>27</v>
      </c>
      <c r="E9" s="3" t="s">
        <v>24</v>
      </c>
      <c r="F9" s="4" t="s">
        <v>30</v>
      </c>
      <c r="G9" s="4" t="s">
        <v>31</v>
      </c>
      <c r="H9" s="3" t="n">
        <f aca="false">IF(COUNTIFS($D$2:D9,D9,$E$2:E9,E9,$A$2:A9,A9)=1,1,0)</f>
        <v>0</v>
      </c>
    </row>
    <row r="10" customFormat="false" ht="45.75" hidden="false" customHeight="true" outlineLevel="0" collapsed="false">
      <c r="A10" s="3" t="s">
        <v>32</v>
      </c>
      <c r="B10" s="3" t="s">
        <v>9</v>
      </c>
      <c r="C10" s="3" t="s">
        <v>10</v>
      </c>
      <c r="D10" s="3" t="s">
        <v>19</v>
      </c>
      <c r="E10" s="3" t="s">
        <v>12</v>
      </c>
      <c r="F10" s="4" t="s">
        <v>33</v>
      </c>
      <c r="G10" s="4" t="s">
        <v>34</v>
      </c>
      <c r="H10" s="3" t="n">
        <f aca="false">IF(COUNTIFS($D$2:D10,D10,$E$2:E10,E10,$A$2:A10,A10)=1,1,0)</f>
        <v>1</v>
      </c>
    </row>
    <row r="11" customFormat="false" ht="34.5" hidden="false" customHeight="true" outlineLevel="0" collapsed="false">
      <c r="A11" s="3" t="s">
        <v>32</v>
      </c>
      <c r="B11" s="3" t="s">
        <v>9</v>
      </c>
      <c r="C11" s="3" t="s">
        <v>10</v>
      </c>
      <c r="D11" s="3" t="s">
        <v>11</v>
      </c>
      <c r="E11" s="3" t="s">
        <v>12</v>
      </c>
      <c r="F11" s="4" t="s">
        <v>35</v>
      </c>
      <c r="G11" s="4" t="s">
        <v>36</v>
      </c>
      <c r="H11" s="3" t="n">
        <f aca="false">IF(COUNTIFS($D$2:D11,D11,$E$2:E11,E11,$A$2:A11,A11)=1,1,0)</f>
        <v>1</v>
      </c>
    </row>
    <row r="12" customFormat="false" ht="45.75" hidden="false" customHeight="true" outlineLevel="0" collapsed="false">
      <c r="A12" s="3" t="s">
        <v>32</v>
      </c>
      <c r="B12" s="3" t="s">
        <v>9</v>
      </c>
      <c r="C12" s="3" t="s">
        <v>10</v>
      </c>
      <c r="D12" s="3" t="s">
        <v>37</v>
      </c>
      <c r="E12" s="3" t="s">
        <v>12</v>
      </c>
      <c r="F12" s="4" t="s">
        <v>38</v>
      </c>
      <c r="G12" s="4" t="s">
        <v>39</v>
      </c>
      <c r="H12" s="3" t="n">
        <f aca="false">IF(COUNTIFS($D$2:D12,D12,$E$2:E12,E12,$A$2:A12,A12)=1,1,0)</f>
        <v>1</v>
      </c>
    </row>
    <row r="13" customFormat="false" ht="45.75" hidden="false" customHeight="true" outlineLevel="0" collapsed="false">
      <c r="A13" s="3" t="s">
        <v>32</v>
      </c>
      <c r="B13" s="3" t="s">
        <v>9</v>
      </c>
      <c r="C13" s="3" t="s">
        <v>10</v>
      </c>
      <c r="D13" s="3" t="s">
        <v>11</v>
      </c>
      <c r="E13" s="3" t="s">
        <v>12</v>
      </c>
      <c r="F13" s="4" t="s">
        <v>40</v>
      </c>
      <c r="G13" s="4" t="s">
        <v>41</v>
      </c>
      <c r="H13" s="3" t="n">
        <f aca="false">IF(COUNTIFS($D$2:D13,D13,$E$2:E13,E13,$A$2:A13,A13)=1,1,0)</f>
        <v>0</v>
      </c>
    </row>
    <row r="14" customFormat="false" ht="34.5" hidden="false" customHeight="true" outlineLevel="0" collapsed="false">
      <c r="A14" s="3" t="s">
        <v>32</v>
      </c>
      <c r="B14" s="3" t="s">
        <v>9</v>
      </c>
      <c r="C14" s="3" t="s">
        <v>10</v>
      </c>
      <c r="D14" s="3" t="s">
        <v>19</v>
      </c>
      <c r="E14" s="3" t="s">
        <v>12</v>
      </c>
      <c r="F14" s="4" t="s">
        <v>42</v>
      </c>
      <c r="G14" s="4" t="s">
        <v>43</v>
      </c>
      <c r="H14" s="3" t="n">
        <f aca="false">IF(COUNTIFS($D$2:D14,D14,$E$2:E14,E14,$A$2:A14,A14)=1,1,0)</f>
        <v>0</v>
      </c>
    </row>
    <row r="15" customFormat="false" ht="57" hidden="false" customHeight="true" outlineLevel="0" collapsed="false">
      <c r="A15" s="3" t="s">
        <v>32</v>
      </c>
      <c r="B15" s="3" t="s">
        <v>9</v>
      </c>
      <c r="C15" s="3" t="s">
        <v>10</v>
      </c>
      <c r="D15" s="3" t="s">
        <v>11</v>
      </c>
      <c r="E15" s="3" t="s">
        <v>12</v>
      </c>
      <c r="F15" s="4" t="s">
        <v>44</v>
      </c>
      <c r="G15" s="4" t="s">
        <v>45</v>
      </c>
      <c r="H15" s="3" t="n">
        <f aca="false">IF(COUNTIFS($D$2:D15,D15,$E$2:E15,E15,$A$2:A15,A15)=1,1,0)</f>
        <v>0</v>
      </c>
    </row>
    <row r="16" customFormat="false" ht="34.5" hidden="false" customHeight="true" outlineLevel="0" collapsed="false">
      <c r="A16" s="3" t="s">
        <v>32</v>
      </c>
      <c r="B16" s="3" t="s">
        <v>9</v>
      </c>
      <c r="C16" s="3" t="s">
        <v>10</v>
      </c>
      <c r="D16" s="3" t="s">
        <v>37</v>
      </c>
      <c r="E16" s="3" t="s">
        <v>12</v>
      </c>
      <c r="F16" s="4" t="s">
        <v>46</v>
      </c>
      <c r="G16" s="4" t="s">
        <v>47</v>
      </c>
      <c r="H16" s="3" t="n">
        <f aca="false">IF(COUNTIFS($D$2:D16,D16,$E$2:E16,E16,$A$2:A16,A16)=1,1,0)</f>
        <v>0</v>
      </c>
    </row>
    <row r="17" customFormat="false" ht="57" hidden="false" customHeight="true" outlineLevel="0" collapsed="false">
      <c r="A17" s="3" t="s">
        <v>32</v>
      </c>
      <c r="B17" s="3" t="s">
        <v>9</v>
      </c>
      <c r="C17" s="3" t="s">
        <v>10</v>
      </c>
      <c r="D17" s="3" t="s">
        <v>11</v>
      </c>
      <c r="E17" s="3" t="s">
        <v>12</v>
      </c>
      <c r="F17" s="4" t="s">
        <v>48</v>
      </c>
      <c r="G17" s="4" t="s">
        <v>49</v>
      </c>
      <c r="H17" s="3" t="n">
        <f aca="false">IF(COUNTIFS($D$2:D17,D17,$E$2:E17,E17,$A$2:A17,A17)=1,1,0)</f>
        <v>0</v>
      </c>
    </row>
    <row r="18" customFormat="false" ht="68.25" hidden="false" customHeight="true" outlineLevel="0" collapsed="false">
      <c r="A18" s="3" t="s">
        <v>32</v>
      </c>
      <c r="B18" s="3" t="s">
        <v>9</v>
      </c>
      <c r="C18" s="3" t="s">
        <v>10</v>
      </c>
      <c r="D18" s="3" t="s">
        <v>11</v>
      </c>
      <c r="E18" s="3" t="s">
        <v>12</v>
      </c>
      <c r="F18" s="4" t="s">
        <v>50</v>
      </c>
      <c r="G18" s="4" t="s">
        <v>51</v>
      </c>
      <c r="H18" s="3" t="n">
        <f aca="false">IF(COUNTIFS($D$2:D18,D18,$E$2:E18,E18,$A$2:A18,A18)=1,1,0)</f>
        <v>0</v>
      </c>
    </row>
    <row r="19" customFormat="false" ht="45.75" hidden="false" customHeight="true" outlineLevel="0" collapsed="false">
      <c r="A19" s="3" t="s">
        <v>32</v>
      </c>
      <c r="B19" s="3" t="s">
        <v>9</v>
      </c>
      <c r="C19" s="3" t="s">
        <v>10</v>
      </c>
      <c r="D19" s="3" t="s">
        <v>11</v>
      </c>
      <c r="E19" s="3" t="s">
        <v>12</v>
      </c>
      <c r="F19" s="4" t="s">
        <v>52</v>
      </c>
      <c r="G19" s="4" t="s">
        <v>53</v>
      </c>
      <c r="H19" s="3" t="n">
        <f aca="false">IF(COUNTIFS($D$2:D19,D19,$E$2:E19,E19,$A$2:A19,A19)=1,1,0)</f>
        <v>0</v>
      </c>
    </row>
    <row r="20" customFormat="false" ht="23.25" hidden="false" customHeight="true" outlineLevel="0" collapsed="false">
      <c r="A20" s="3" t="s">
        <v>54</v>
      </c>
      <c r="B20" s="3" t="s">
        <v>9</v>
      </c>
      <c r="C20" s="3" t="s">
        <v>10</v>
      </c>
      <c r="D20" s="3" t="s">
        <v>11</v>
      </c>
      <c r="E20" s="3" t="s">
        <v>12</v>
      </c>
      <c r="F20" s="4" t="s">
        <v>55</v>
      </c>
      <c r="G20" s="4" t="s">
        <v>56</v>
      </c>
      <c r="H20" s="3" t="n">
        <f aca="false">IF(COUNTIFS($D$2:D20,D20,$E$2:E20,E20,$A$2:A20,A20)=1,1,0)</f>
        <v>1</v>
      </c>
    </row>
    <row r="21" customFormat="false" ht="45.75" hidden="false" customHeight="true" outlineLevel="0" collapsed="false">
      <c r="A21" s="3" t="s">
        <v>54</v>
      </c>
      <c r="B21" s="3" t="s">
        <v>9</v>
      </c>
      <c r="C21" s="3" t="s">
        <v>10</v>
      </c>
      <c r="D21" s="3" t="s">
        <v>11</v>
      </c>
      <c r="E21" s="3" t="s">
        <v>12</v>
      </c>
      <c r="F21" s="4" t="s">
        <v>57</v>
      </c>
      <c r="G21" s="4" t="s">
        <v>58</v>
      </c>
      <c r="H21" s="3" t="n">
        <f aca="false">IF(COUNTIFS($D$2:D21,D21,$E$2:E21,E21,$A$2:A21,A21)=1,1,0)</f>
        <v>0</v>
      </c>
    </row>
    <row r="22" customFormat="false" ht="45.75" hidden="false" customHeight="true" outlineLevel="0" collapsed="false">
      <c r="A22" s="3" t="s">
        <v>54</v>
      </c>
      <c r="B22" s="3" t="s">
        <v>9</v>
      </c>
      <c r="C22" s="3" t="s">
        <v>10</v>
      </c>
      <c r="D22" s="3" t="s">
        <v>11</v>
      </c>
      <c r="E22" s="3" t="s">
        <v>59</v>
      </c>
      <c r="F22" s="4" t="s">
        <v>60</v>
      </c>
      <c r="G22" s="4" t="s">
        <v>61</v>
      </c>
      <c r="H22" s="3" t="n">
        <f aca="false">IF(COUNTIFS($D$2:D22,D22,$E$2:E22,E22,$A$2:A22,A22)=1,1,0)</f>
        <v>1</v>
      </c>
    </row>
    <row r="23" customFormat="false" ht="57" hidden="false" customHeight="true" outlineLevel="0" collapsed="false">
      <c r="A23" s="3" t="s">
        <v>54</v>
      </c>
      <c r="B23" s="3" t="s">
        <v>9</v>
      </c>
      <c r="C23" s="3" t="s">
        <v>10</v>
      </c>
      <c r="D23" s="3" t="s">
        <v>11</v>
      </c>
      <c r="E23" s="3" t="s">
        <v>12</v>
      </c>
      <c r="F23" s="4" t="s">
        <v>62</v>
      </c>
      <c r="G23" s="4" t="s">
        <v>63</v>
      </c>
      <c r="H23" s="3" t="n">
        <f aca="false">IF(COUNTIFS($D$2:D23,D23,$E$2:E23,E23,$A$2:A23,A23)=1,1,0)</f>
        <v>0</v>
      </c>
    </row>
    <row r="24" customFormat="false" ht="34.5" hidden="false" customHeight="true" outlineLevel="0" collapsed="false">
      <c r="A24" s="3" t="s">
        <v>54</v>
      </c>
      <c r="B24" s="3" t="s">
        <v>9</v>
      </c>
      <c r="C24" s="3" t="s">
        <v>10</v>
      </c>
      <c r="D24" s="3" t="s">
        <v>11</v>
      </c>
      <c r="E24" s="3" t="s">
        <v>12</v>
      </c>
      <c r="F24" s="4" t="s">
        <v>64</v>
      </c>
      <c r="G24" s="4" t="s">
        <v>65</v>
      </c>
      <c r="H24" s="3" t="n">
        <f aca="false">IF(COUNTIFS($D$2:D24,D24,$E$2:E24,E24,$A$2:A24,A24)=1,1,0)</f>
        <v>0</v>
      </c>
    </row>
    <row r="25" customFormat="false" ht="34.5" hidden="false" customHeight="true" outlineLevel="0" collapsed="false">
      <c r="A25" s="3" t="s">
        <v>54</v>
      </c>
      <c r="B25" s="3" t="s">
        <v>9</v>
      </c>
      <c r="C25" s="3" t="s">
        <v>10</v>
      </c>
      <c r="D25" s="3" t="s">
        <v>19</v>
      </c>
      <c r="E25" s="3" t="s">
        <v>12</v>
      </c>
      <c r="F25" s="4" t="s">
        <v>66</v>
      </c>
      <c r="G25" s="4" t="s">
        <v>67</v>
      </c>
      <c r="H25" s="3" t="n">
        <f aca="false">IF(COUNTIFS($D$2:D25,D25,$E$2:E25,E25,$A$2:A25,A25)=1,1,0)</f>
        <v>1</v>
      </c>
    </row>
    <row r="26" customFormat="false" ht="34.5" hidden="false" customHeight="true" outlineLevel="0" collapsed="false">
      <c r="A26" s="3" t="s">
        <v>54</v>
      </c>
      <c r="B26" s="3" t="s">
        <v>9</v>
      </c>
      <c r="C26" s="3" t="s">
        <v>10</v>
      </c>
      <c r="D26" s="3" t="s">
        <v>11</v>
      </c>
      <c r="E26" s="3" t="s">
        <v>12</v>
      </c>
      <c r="F26" s="4" t="s">
        <v>68</v>
      </c>
      <c r="G26" s="4"/>
      <c r="H26" s="3" t="n">
        <f aca="false">IF(COUNTIFS($D$2:D26,D26,$E$2:E26,E26,$A$2:A26,A26)=1,1,0)</f>
        <v>0</v>
      </c>
    </row>
    <row r="27" customFormat="false" ht="45.75" hidden="false" customHeight="true" outlineLevel="0" collapsed="false">
      <c r="A27" s="3" t="s">
        <v>54</v>
      </c>
      <c r="B27" s="3" t="s">
        <v>9</v>
      </c>
      <c r="C27" s="3" t="s">
        <v>10</v>
      </c>
      <c r="D27" s="3" t="s">
        <v>69</v>
      </c>
      <c r="E27" s="3" t="s">
        <v>12</v>
      </c>
      <c r="F27" s="4" t="s">
        <v>70</v>
      </c>
      <c r="G27" s="4" t="s">
        <v>71</v>
      </c>
      <c r="H27" s="3" t="n">
        <f aca="false">IF(COUNTIFS($D$2:D27,D27,$E$2:E27,E27,$A$2:A27,A27)=1,1,0)</f>
        <v>1</v>
      </c>
    </row>
    <row r="28" customFormat="false" ht="15" hidden="false" customHeight="true" outlineLevel="0" collapsed="false">
      <c r="A28" s="3" t="s">
        <v>72</v>
      </c>
      <c r="B28" s="3" t="s">
        <v>9</v>
      </c>
      <c r="C28" s="3" t="s">
        <v>10</v>
      </c>
      <c r="D28" s="3" t="s">
        <v>11</v>
      </c>
      <c r="E28" s="3" t="s">
        <v>12</v>
      </c>
      <c r="F28" s="4" t="s">
        <v>73</v>
      </c>
      <c r="G28" s="4" t="s">
        <v>74</v>
      </c>
      <c r="H28" s="3" t="n">
        <f aca="false">IF(COUNTIFS($D$2:D28,D28,$E$2:E28,E28,$A$2:A28,A28)=1,1,0)</f>
        <v>1</v>
      </c>
    </row>
    <row r="29" customFormat="false" ht="23.25" hidden="false" customHeight="true" outlineLevel="0" collapsed="false">
      <c r="A29" s="3" t="s">
        <v>72</v>
      </c>
      <c r="B29" s="3" t="s">
        <v>9</v>
      </c>
      <c r="C29" s="3" t="s">
        <v>10</v>
      </c>
      <c r="D29" s="3" t="s">
        <v>11</v>
      </c>
      <c r="E29" s="3" t="s">
        <v>12</v>
      </c>
      <c r="F29" s="4" t="s">
        <v>75</v>
      </c>
      <c r="G29" s="4" t="s">
        <v>76</v>
      </c>
      <c r="H29" s="3" t="n">
        <f aca="false">IF(COUNTIFS($D$2:D29,D29,$E$2:E29,E29,$A$2:A29,A29)=1,1,0)</f>
        <v>0</v>
      </c>
    </row>
    <row r="30" customFormat="false" ht="23.25" hidden="false" customHeight="true" outlineLevel="0" collapsed="false">
      <c r="A30" s="3" t="s">
        <v>72</v>
      </c>
      <c r="B30" s="3" t="s">
        <v>9</v>
      </c>
      <c r="C30" s="3" t="s">
        <v>10</v>
      </c>
      <c r="D30" s="3" t="s">
        <v>11</v>
      </c>
      <c r="E30" s="3" t="s">
        <v>12</v>
      </c>
      <c r="F30" s="4" t="s">
        <v>77</v>
      </c>
      <c r="G30" s="4" t="s">
        <v>78</v>
      </c>
      <c r="H30" s="3" t="n">
        <f aca="false">IF(COUNTIFS($D$2:D30,D30,$E$2:E30,E30,$A$2:A30,A30)=1,1,0)</f>
        <v>0</v>
      </c>
    </row>
    <row r="31" customFormat="false" ht="23.25" hidden="false" customHeight="true" outlineLevel="0" collapsed="false">
      <c r="A31" s="3" t="s">
        <v>72</v>
      </c>
      <c r="B31" s="3" t="s">
        <v>9</v>
      </c>
      <c r="C31" s="3" t="s">
        <v>10</v>
      </c>
      <c r="D31" s="3" t="s">
        <v>11</v>
      </c>
      <c r="E31" s="3" t="s">
        <v>12</v>
      </c>
      <c r="F31" s="4" t="s">
        <v>79</v>
      </c>
      <c r="G31" s="4" t="s">
        <v>80</v>
      </c>
      <c r="H31" s="3" t="n">
        <f aca="false">IF(COUNTIFS($D$2:D31,D31,$E$2:E31,E31,$A$2:A31,A31)=1,1,0)</f>
        <v>0</v>
      </c>
    </row>
    <row r="32" customFormat="false" ht="45.75" hidden="false" customHeight="true" outlineLevel="0" collapsed="false">
      <c r="A32" s="3" t="s">
        <v>72</v>
      </c>
      <c r="B32" s="3" t="s">
        <v>9</v>
      </c>
      <c r="C32" s="3" t="s">
        <v>10</v>
      </c>
      <c r="D32" s="3" t="s">
        <v>11</v>
      </c>
      <c r="E32" s="3" t="s">
        <v>12</v>
      </c>
      <c r="F32" s="4" t="s">
        <v>81</v>
      </c>
      <c r="G32" s="4" t="s">
        <v>82</v>
      </c>
      <c r="H32" s="3" t="n">
        <f aca="false">IF(COUNTIFS($D$2:D32,D32,$E$2:E32,E32,$A$2:A32,A32)=1,1,0)</f>
        <v>0</v>
      </c>
    </row>
    <row r="33" customFormat="false" ht="34.5" hidden="false" customHeight="true" outlineLevel="0" collapsed="false">
      <c r="A33" s="3" t="s">
        <v>72</v>
      </c>
      <c r="B33" s="3" t="s">
        <v>9</v>
      </c>
      <c r="C33" s="3" t="s">
        <v>10</v>
      </c>
      <c r="D33" s="3" t="s">
        <v>11</v>
      </c>
      <c r="E33" s="3" t="s">
        <v>12</v>
      </c>
      <c r="F33" s="4" t="s">
        <v>83</v>
      </c>
      <c r="G33" s="4" t="s">
        <v>84</v>
      </c>
      <c r="H33" s="3" t="n">
        <f aca="false">IF(COUNTIFS($D$2:D33,D33,$E$2:E33,E33,$A$2:A33,A33)=1,1,0)</f>
        <v>0</v>
      </c>
    </row>
    <row r="34" customFormat="false" ht="34.5" hidden="false" customHeight="true" outlineLevel="0" collapsed="false">
      <c r="A34" s="3" t="s">
        <v>72</v>
      </c>
      <c r="B34" s="3" t="s">
        <v>9</v>
      </c>
      <c r="C34" s="3" t="s">
        <v>10</v>
      </c>
      <c r="D34" s="3" t="s">
        <v>19</v>
      </c>
      <c r="E34" s="3" t="s">
        <v>12</v>
      </c>
      <c r="F34" s="4" t="s">
        <v>85</v>
      </c>
      <c r="G34" s="4" t="s">
        <v>86</v>
      </c>
      <c r="H34" s="3" t="n">
        <f aca="false">IF(COUNTIFS($D$2:D34,D34,$E$2:E34,E34,$A$2:A34,A34)=1,1,0)</f>
        <v>1</v>
      </c>
    </row>
    <row r="35" customFormat="false" ht="57" hidden="false" customHeight="true" outlineLevel="0" collapsed="false">
      <c r="A35" s="3" t="s">
        <v>72</v>
      </c>
      <c r="B35" s="3" t="s">
        <v>9</v>
      </c>
      <c r="C35" s="3" t="s">
        <v>10</v>
      </c>
      <c r="D35" s="3" t="s">
        <v>87</v>
      </c>
      <c r="E35" s="3" t="s">
        <v>24</v>
      </c>
      <c r="F35" s="4" t="s">
        <v>88</v>
      </c>
      <c r="G35" s="4" t="s">
        <v>89</v>
      </c>
      <c r="H35" s="3" t="n">
        <f aca="false">IF(COUNTIFS($D$2:D35,D35,$E$2:E35,E35,$A$2:A35,A35)=1,1,0)</f>
        <v>1</v>
      </c>
    </row>
    <row r="36" customFormat="false" ht="34.5" hidden="false" customHeight="true" outlineLevel="0" collapsed="false">
      <c r="A36" s="3" t="s">
        <v>72</v>
      </c>
      <c r="B36" s="3" t="s">
        <v>9</v>
      </c>
      <c r="C36" s="3" t="s">
        <v>10</v>
      </c>
      <c r="D36" s="3" t="s">
        <v>11</v>
      </c>
      <c r="E36" s="3" t="s">
        <v>12</v>
      </c>
      <c r="F36" s="4" t="s">
        <v>90</v>
      </c>
      <c r="G36" s="4" t="s">
        <v>91</v>
      </c>
      <c r="H36" s="3" t="n">
        <f aca="false">IF(COUNTIFS($D$2:D36,D36,$E$2:E36,E36,$A$2:A36,A36)=1,1,0)</f>
        <v>0</v>
      </c>
    </row>
    <row r="37" customFormat="false" ht="34.5" hidden="false" customHeight="true" outlineLevel="0" collapsed="false">
      <c r="A37" s="3" t="s">
        <v>72</v>
      </c>
      <c r="B37" s="3" t="s">
        <v>9</v>
      </c>
      <c r="C37" s="3" t="s">
        <v>10</v>
      </c>
      <c r="D37" s="3" t="s">
        <v>19</v>
      </c>
      <c r="E37" s="3" t="s">
        <v>12</v>
      </c>
      <c r="F37" s="4" t="s">
        <v>92</v>
      </c>
      <c r="G37" s="4" t="s">
        <v>93</v>
      </c>
      <c r="H37" s="3" t="n">
        <f aca="false">IF(COUNTIFS($D$2:D37,D37,$E$2:E37,E37,$A$2:A37,A37)=1,1,0)</f>
        <v>0</v>
      </c>
    </row>
    <row r="38" customFormat="false" ht="45.75" hidden="false" customHeight="true" outlineLevel="0" collapsed="false">
      <c r="A38" s="3" t="s">
        <v>72</v>
      </c>
      <c r="B38" s="3" t="s">
        <v>9</v>
      </c>
      <c r="C38" s="3" t="s">
        <v>10</v>
      </c>
      <c r="D38" s="3" t="s">
        <v>19</v>
      </c>
      <c r="E38" s="3" t="s">
        <v>12</v>
      </c>
      <c r="F38" s="4" t="s">
        <v>94</v>
      </c>
      <c r="G38" s="4" t="s">
        <v>95</v>
      </c>
      <c r="H38" s="3" t="n">
        <f aca="false">IF(COUNTIFS($D$2:D38,D38,$E$2:E38,E38,$A$2:A38,A38)=1,1,0)</f>
        <v>0</v>
      </c>
    </row>
    <row r="39" customFormat="false" ht="57" hidden="false" customHeight="true" outlineLevel="0" collapsed="false">
      <c r="A39" s="3" t="s">
        <v>72</v>
      </c>
      <c r="B39" s="3" t="s">
        <v>9</v>
      </c>
      <c r="C39" s="3" t="s">
        <v>10</v>
      </c>
      <c r="D39" s="3" t="s">
        <v>19</v>
      </c>
      <c r="E39" s="3" t="s">
        <v>96</v>
      </c>
      <c r="F39" s="4" t="s">
        <v>97</v>
      </c>
      <c r="G39" s="4" t="s">
        <v>98</v>
      </c>
      <c r="H39" s="3" t="n">
        <f aca="false">IF(COUNTIFS($D$2:D39,D39,$E$2:E39,E39,$A$2:A39,A39)=1,1,0)</f>
        <v>1</v>
      </c>
    </row>
    <row r="40" customFormat="false" ht="34.5" hidden="false" customHeight="true" outlineLevel="0" collapsed="false">
      <c r="A40" s="3" t="s">
        <v>99</v>
      </c>
      <c r="B40" s="3" t="s">
        <v>9</v>
      </c>
      <c r="C40" s="3" t="s">
        <v>10</v>
      </c>
      <c r="D40" s="3" t="s">
        <v>11</v>
      </c>
      <c r="E40" s="3" t="s">
        <v>12</v>
      </c>
      <c r="F40" s="4" t="s">
        <v>100</v>
      </c>
      <c r="G40" s="4" t="s">
        <v>101</v>
      </c>
      <c r="H40" s="3" t="n">
        <f aca="false">IF(COUNTIFS($D$2:D40,D40,$E$2:E40,E40,$A$2:A40,A40)=1,1,0)</f>
        <v>1</v>
      </c>
    </row>
    <row r="41" customFormat="false" ht="57" hidden="false" customHeight="true" outlineLevel="0" collapsed="false">
      <c r="A41" s="3" t="s">
        <v>99</v>
      </c>
      <c r="B41" s="3" t="s">
        <v>9</v>
      </c>
      <c r="C41" s="3" t="s">
        <v>10</v>
      </c>
      <c r="D41" s="3" t="s">
        <v>11</v>
      </c>
      <c r="E41" s="3" t="s">
        <v>12</v>
      </c>
      <c r="F41" s="4" t="s">
        <v>102</v>
      </c>
      <c r="G41" s="4" t="s">
        <v>103</v>
      </c>
      <c r="H41" s="3" t="n">
        <f aca="false">IF(COUNTIFS($D$2:D41,D41,$E$2:E41,E41,$A$2:A41,A41)=1,1,0)</f>
        <v>0</v>
      </c>
    </row>
    <row r="42" customFormat="false" ht="34.5" hidden="false" customHeight="true" outlineLevel="0" collapsed="false">
      <c r="A42" s="3" t="s">
        <v>99</v>
      </c>
      <c r="B42" s="3" t="s">
        <v>9</v>
      </c>
      <c r="C42" s="3" t="s">
        <v>10</v>
      </c>
      <c r="D42" s="3" t="s">
        <v>11</v>
      </c>
      <c r="E42" s="3" t="s">
        <v>12</v>
      </c>
      <c r="F42" s="4" t="s">
        <v>104</v>
      </c>
      <c r="G42" s="4" t="s">
        <v>105</v>
      </c>
      <c r="H42" s="3" t="n">
        <f aca="false">IF(COUNTIFS($D$2:D42,D42,$E$2:E42,E42,$A$2:A42,A42)=1,1,0)</f>
        <v>0</v>
      </c>
    </row>
    <row r="43" customFormat="false" ht="23.25" hidden="false" customHeight="true" outlineLevel="0" collapsed="false">
      <c r="A43" s="3" t="s">
        <v>99</v>
      </c>
      <c r="B43" s="3" t="s">
        <v>9</v>
      </c>
      <c r="C43" s="3" t="s">
        <v>10</v>
      </c>
      <c r="D43" s="3" t="s">
        <v>11</v>
      </c>
      <c r="E43" s="3" t="s">
        <v>12</v>
      </c>
      <c r="F43" s="4" t="s">
        <v>106</v>
      </c>
      <c r="G43" s="4" t="s">
        <v>107</v>
      </c>
      <c r="H43" s="3" t="n">
        <f aca="false">IF(COUNTIFS($D$2:D43,D43,$E$2:E43,E43,$A$2:A43,A43)=1,1,0)</f>
        <v>0</v>
      </c>
    </row>
    <row r="44" customFormat="false" ht="34.5" hidden="false" customHeight="true" outlineLevel="0" collapsed="false">
      <c r="A44" s="3" t="s">
        <v>99</v>
      </c>
      <c r="B44" s="3" t="s">
        <v>9</v>
      </c>
      <c r="C44" s="3" t="s">
        <v>10</v>
      </c>
      <c r="D44" s="3" t="s">
        <v>37</v>
      </c>
      <c r="E44" s="3" t="s">
        <v>12</v>
      </c>
      <c r="F44" s="4" t="s">
        <v>108</v>
      </c>
      <c r="G44" s="4" t="s">
        <v>109</v>
      </c>
      <c r="H44" s="3" t="n">
        <f aca="false">IF(COUNTIFS($D$2:D44,D44,$E$2:E44,E44,$A$2:A44,A44)=1,1,0)</f>
        <v>1</v>
      </c>
    </row>
    <row r="45" customFormat="false" ht="34.5" hidden="false" customHeight="true" outlineLevel="0" collapsed="false">
      <c r="A45" s="3" t="s">
        <v>99</v>
      </c>
      <c r="B45" s="3" t="s">
        <v>9</v>
      </c>
      <c r="C45" s="3" t="s">
        <v>10</v>
      </c>
      <c r="D45" s="3" t="s">
        <v>11</v>
      </c>
      <c r="E45" s="3" t="s">
        <v>12</v>
      </c>
      <c r="F45" s="4" t="s">
        <v>110</v>
      </c>
      <c r="G45" s="4" t="s">
        <v>111</v>
      </c>
      <c r="H45" s="3" t="n">
        <f aca="false">IF(COUNTIFS($D$2:D45,D45,$E$2:E45,E45,$A$2:A45,A45)=1,1,0)</f>
        <v>0</v>
      </c>
    </row>
    <row r="46" customFormat="false" ht="45.75" hidden="false" customHeight="true" outlineLevel="0" collapsed="false">
      <c r="A46" s="3" t="s">
        <v>99</v>
      </c>
      <c r="B46" s="3" t="s">
        <v>9</v>
      </c>
      <c r="C46" s="3" t="s">
        <v>10</v>
      </c>
      <c r="D46" s="3" t="s">
        <v>112</v>
      </c>
      <c r="E46" s="3" t="s">
        <v>12</v>
      </c>
      <c r="F46" s="4" t="s">
        <v>113</v>
      </c>
      <c r="G46" s="4" t="s">
        <v>114</v>
      </c>
      <c r="H46" s="3" t="n">
        <f aca="false">IF(COUNTIFS($D$2:D46,D46,$E$2:E46,E46,$A$2:A46,A46)=1,1,0)</f>
        <v>1</v>
      </c>
    </row>
    <row r="47" customFormat="false" ht="79.5" hidden="false" customHeight="true" outlineLevel="0" collapsed="false">
      <c r="A47" s="3" t="s">
        <v>99</v>
      </c>
      <c r="B47" s="3" t="s">
        <v>9</v>
      </c>
      <c r="C47" s="3" t="s">
        <v>10</v>
      </c>
      <c r="D47" s="3" t="s">
        <v>19</v>
      </c>
      <c r="E47" s="3" t="s">
        <v>12</v>
      </c>
      <c r="F47" s="4" t="s">
        <v>115</v>
      </c>
      <c r="G47" s="4" t="s">
        <v>116</v>
      </c>
      <c r="H47" s="3" t="n">
        <f aca="false">IF(COUNTIFS($D$2:D47,D47,$E$2:E47,E47,$A$2:A47,A47)=1,1,0)</f>
        <v>1</v>
      </c>
    </row>
    <row r="48" customFormat="false" ht="68.25" hidden="false" customHeight="true" outlineLevel="0" collapsed="false">
      <c r="A48" s="3" t="s">
        <v>99</v>
      </c>
      <c r="B48" s="3" t="s">
        <v>9</v>
      </c>
      <c r="C48" s="3" t="s">
        <v>10</v>
      </c>
      <c r="D48" s="3" t="s">
        <v>117</v>
      </c>
      <c r="E48" s="3" t="s">
        <v>24</v>
      </c>
      <c r="F48" s="4" t="s">
        <v>118</v>
      </c>
      <c r="G48" s="4" t="s">
        <v>119</v>
      </c>
      <c r="H48" s="3" t="n">
        <f aca="false">IF(COUNTIFS($D$2:D48,D48,$E$2:E48,E48,$A$2:A48,A48)=1,1,0)</f>
        <v>1</v>
      </c>
    </row>
    <row r="49" customFormat="false" ht="45.75" hidden="false" customHeight="true" outlineLevel="0" collapsed="false">
      <c r="A49" s="3" t="s">
        <v>120</v>
      </c>
      <c r="B49" s="3" t="s">
        <v>9</v>
      </c>
      <c r="C49" s="3" t="s">
        <v>10</v>
      </c>
      <c r="D49" s="3" t="s">
        <v>11</v>
      </c>
      <c r="E49" s="3" t="s">
        <v>12</v>
      </c>
      <c r="F49" s="4" t="s">
        <v>121</v>
      </c>
      <c r="G49" s="4" t="s">
        <v>122</v>
      </c>
      <c r="H49" s="3" t="n">
        <f aca="false">IF(COUNTIFS($D$2:D49,D49,$E$2:E49,E49,$A$2:A49,A49)=1,1,0)</f>
        <v>1</v>
      </c>
    </row>
    <row r="50" customFormat="false" ht="45.75" hidden="false" customHeight="true" outlineLevel="0" collapsed="false">
      <c r="A50" s="3" t="s">
        <v>120</v>
      </c>
      <c r="B50" s="3" t="s">
        <v>9</v>
      </c>
      <c r="C50" s="3" t="s">
        <v>10</v>
      </c>
      <c r="D50" s="3" t="s">
        <v>19</v>
      </c>
      <c r="E50" s="3" t="s">
        <v>12</v>
      </c>
      <c r="F50" s="4" t="s">
        <v>123</v>
      </c>
      <c r="G50" s="4" t="s">
        <v>124</v>
      </c>
      <c r="H50" s="3" t="n">
        <f aca="false">IF(COUNTIFS($D$2:D50,D50,$E$2:E50,E50,$A$2:A50,A50)=1,1,0)</f>
        <v>1</v>
      </c>
    </row>
    <row r="51" customFormat="false" ht="45.75" hidden="false" customHeight="true" outlineLevel="0" collapsed="false">
      <c r="A51" s="3" t="s">
        <v>120</v>
      </c>
      <c r="B51" s="3" t="s">
        <v>9</v>
      </c>
      <c r="C51" s="3" t="s">
        <v>10</v>
      </c>
      <c r="D51" s="3" t="s">
        <v>87</v>
      </c>
      <c r="E51" s="3" t="s">
        <v>24</v>
      </c>
      <c r="F51" s="4" t="s">
        <v>125</v>
      </c>
      <c r="G51" s="4" t="s">
        <v>126</v>
      </c>
      <c r="H51" s="3" t="n">
        <f aca="false">IF(COUNTIFS($D$2:D51,D51,$E$2:E51,E51,$A$2:A51,A51)=1,1,0)</f>
        <v>1</v>
      </c>
    </row>
    <row r="52" customFormat="false" ht="68.25" hidden="false" customHeight="true" outlineLevel="0" collapsed="false">
      <c r="A52" s="3" t="s">
        <v>120</v>
      </c>
      <c r="B52" s="3" t="s">
        <v>9</v>
      </c>
      <c r="C52" s="3" t="s">
        <v>10</v>
      </c>
      <c r="D52" s="3" t="s">
        <v>11</v>
      </c>
      <c r="E52" s="3" t="s">
        <v>12</v>
      </c>
      <c r="F52" s="4" t="s">
        <v>127</v>
      </c>
      <c r="G52" s="4" t="s">
        <v>128</v>
      </c>
      <c r="H52" s="3" t="n">
        <f aca="false">IF(COUNTIFS($D$2:D52,D52,$E$2:E52,E52,$A$2:A52,A52)=1,1,0)</f>
        <v>0</v>
      </c>
    </row>
    <row r="53" customFormat="false" ht="34.5" hidden="false" customHeight="true" outlineLevel="0" collapsed="false">
      <c r="A53" s="3" t="s">
        <v>120</v>
      </c>
      <c r="B53" s="3" t="s">
        <v>9</v>
      </c>
      <c r="C53" s="3" t="s">
        <v>10</v>
      </c>
      <c r="D53" s="3" t="s">
        <v>129</v>
      </c>
      <c r="E53" s="3" t="s">
        <v>12</v>
      </c>
      <c r="F53" s="4" t="s">
        <v>130</v>
      </c>
      <c r="G53" s="4" t="s">
        <v>131</v>
      </c>
      <c r="H53" s="3" t="n">
        <f aca="false">IF(COUNTIFS($D$2:D53,D53,$E$2:E53,E53,$A$2:A53,A53)=1,1,0)</f>
        <v>1</v>
      </c>
    </row>
    <row r="54" customFormat="false" ht="45.75" hidden="false" customHeight="true" outlineLevel="0" collapsed="false">
      <c r="A54" s="3" t="s">
        <v>120</v>
      </c>
      <c r="B54" s="3" t="s">
        <v>9</v>
      </c>
      <c r="C54" s="3" t="s">
        <v>10</v>
      </c>
      <c r="D54" s="3" t="s">
        <v>19</v>
      </c>
      <c r="E54" s="3" t="s">
        <v>12</v>
      </c>
      <c r="F54" s="4" t="s">
        <v>132</v>
      </c>
      <c r="G54" s="4" t="s">
        <v>133</v>
      </c>
      <c r="H54" s="3" t="n">
        <f aca="false">IF(COUNTIFS($D$2:D54,D54,$E$2:E54,E54,$A$2:A54,A54)=1,1,0)</f>
        <v>0</v>
      </c>
    </row>
    <row r="55" customFormat="false" ht="57" hidden="false" customHeight="true" outlineLevel="0" collapsed="false">
      <c r="A55" s="3" t="s">
        <v>120</v>
      </c>
      <c r="B55" s="3" t="s">
        <v>9</v>
      </c>
      <c r="C55" s="3" t="s">
        <v>10</v>
      </c>
      <c r="D55" s="3" t="s">
        <v>134</v>
      </c>
      <c r="E55" s="3" t="s">
        <v>12</v>
      </c>
      <c r="F55" s="4" t="s">
        <v>135</v>
      </c>
      <c r="G55" s="4" t="s">
        <v>136</v>
      </c>
      <c r="H55" s="3" t="n">
        <f aca="false">IF(COUNTIFS($D$2:D55,D55,$E$2:E55,E55,$A$2:A55,A55)=1,1,0)</f>
        <v>1</v>
      </c>
    </row>
    <row r="56" customFormat="false" ht="34.5" hidden="false" customHeight="true" outlineLevel="0" collapsed="false">
      <c r="A56" s="3" t="s">
        <v>120</v>
      </c>
      <c r="B56" s="3" t="s">
        <v>9</v>
      </c>
      <c r="C56" s="3" t="s">
        <v>10</v>
      </c>
      <c r="D56" s="3" t="s">
        <v>37</v>
      </c>
      <c r="E56" s="3" t="s">
        <v>12</v>
      </c>
      <c r="F56" s="4" t="s">
        <v>137</v>
      </c>
      <c r="G56" s="4" t="s">
        <v>138</v>
      </c>
      <c r="H56" s="3" t="n">
        <f aca="false">IF(COUNTIFS($D$2:D56,D56,$E$2:E56,E56,$A$2:A56,A56)=1,1,0)</f>
        <v>1</v>
      </c>
    </row>
    <row r="57" customFormat="false" ht="45.75" hidden="false" customHeight="true" outlineLevel="0" collapsed="false">
      <c r="A57" s="3" t="s">
        <v>120</v>
      </c>
      <c r="B57" s="3" t="s">
        <v>9</v>
      </c>
      <c r="C57" s="3" t="s">
        <v>10</v>
      </c>
      <c r="D57" s="3" t="s">
        <v>11</v>
      </c>
      <c r="E57" s="3" t="s">
        <v>12</v>
      </c>
      <c r="F57" s="4" t="s">
        <v>139</v>
      </c>
      <c r="G57" s="4" t="s">
        <v>140</v>
      </c>
      <c r="H57" s="3" t="n">
        <f aca="false">IF(COUNTIFS($D$2:D57,D57,$E$2:E57,E57,$A$2:A57,A57)=1,1,0)</f>
        <v>0</v>
      </c>
    </row>
    <row r="58" customFormat="false" ht="34.5" hidden="false" customHeight="true" outlineLevel="0" collapsed="false">
      <c r="A58" s="3" t="s">
        <v>120</v>
      </c>
      <c r="B58" s="3" t="s">
        <v>9</v>
      </c>
      <c r="C58" s="3" t="s">
        <v>10</v>
      </c>
      <c r="D58" s="3" t="s">
        <v>11</v>
      </c>
      <c r="E58" s="3" t="s">
        <v>12</v>
      </c>
      <c r="F58" s="4" t="s">
        <v>141</v>
      </c>
      <c r="G58" s="4" t="s">
        <v>142</v>
      </c>
      <c r="H58" s="3" t="n">
        <f aca="false">IF(COUNTIFS($D$2:D58,D58,$E$2:E58,E58,$A$2:A58,A58)=1,1,0)</f>
        <v>0</v>
      </c>
    </row>
    <row r="59" customFormat="false" ht="45.75" hidden="false" customHeight="true" outlineLevel="0" collapsed="false">
      <c r="A59" s="3" t="s">
        <v>143</v>
      </c>
      <c r="B59" s="3" t="s">
        <v>9</v>
      </c>
      <c r="C59" s="3" t="s">
        <v>10</v>
      </c>
      <c r="D59" s="3" t="s">
        <v>11</v>
      </c>
      <c r="E59" s="3" t="s">
        <v>12</v>
      </c>
      <c r="F59" s="4" t="s">
        <v>144</v>
      </c>
      <c r="G59" s="4" t="s">
        <v>145</v>
      </c>
      <c r="H59" s="3" t="n">
        <f aca="false">IF(COUNTIFS($D$2:D59,D59,$E$2:E59,E59,$A$2:A59,A59)=1,1,0)</f>
        <v>1</v>
      </c>
    </row>
    <row r="60" customFormat="false" ht="57" hidden="false" customHeight="true" outlineLevel="0" collapsed="false">
      <c r="A60" s="3" t="s">
        <v>143</v>
      </c>
      <c r="B60" s="3" t="s">
        <v>9</v>
      </c>
      <c r="C60" s="3" t="s">
        <v>10</v>
      </c>
      <c r="D60" s="3" t="s">
        <v>11</v>
      </c>
      <c r="E60" s="3" t="s">
        <v>12</v>
      </c>
      <c r="F60" s="4" t="s">
        <v>146</v>
      </c>
      <c r="G60" s="4" t="s">
        <v>147</v>
      </c>
      <c r="H60" s="3" t="n">
        <f aca="false">IF(COUNTIFS($D$2:D60,D60,$E$2:E60,E60,$A$2:A60,A60)=1,1,0)</f>
        <v>0</v>
      </c>
    </row>
    <row r="61" customFormat="false" ht="34.5" hidden="false" customHeight="true" outlineLevel="0" collapsed="false">
      <c r="A61" s="3" t="s">
        <v>143</v>
      </c>
      <c r="B61" s="3" t="s">
        <v>9</v>
      </c>
      <c r="C61" s="3" t="s">
        <v>10</v>
      </c>
      <c r="D61" s="3" t="s">
        <v>11</v>
      </c>
      <c r="E61" s="3" t="s">
        <v>12</v>
      </c>
      <c r="F61" s="4" t="s">
        <v>148</v>
      </c>
      <c r="G61" s="4" t="s">
        <v>149</v>
      </c>
      <c r="H61" s="3" t="n">
        <f aca="false">IF(COUNTIFS($D$2:D61,D61,$E$2:E61,E61,$A$2:A61,A61)=1,1,0)</f>
        <v>0</v>
      </c>
    </row>
    <row r="62" customFormat="false" ht="34.5" hidden="false" customHeight="true" outlineLevel="0" collapsed="false">
      <c r="A62" s="3" t="s">
        <v>150</v>
      </c>
      <c r="B62" s="3" t="s">
        <v>9</v>
      </c>
      <c r="C62" s="3" t="s">
        <v>10</v>
      </c>
      <c r="D62" s="3" t="s">
        <v>11</v>
      </c>
      <c r="E62" s="3" t="s">
        <v>12</v>
      </c>
      <c r="F62" s="4" t="s">
        <v>151</v>
      </c>
      <c r="G62" s="4" t="s">
        <v>152</v>
      </c>
      <c r="H62" s="3" t="n">
        <f aca="false">IF(COUNTIFS($D$2:D62,D62,$E$2:E62,E62,$A$2:A62,A62)=1,1,0)</f>
        <v>1</v>
      </c>
    </row>
    <row r="63" customFormat="false" ht="34.5" hidden="false" customHeight="true" outlineLevel="0" collapsed="false">
      <c r="A63" s="3" t="s">
        <v>150</v>
      </c>
      <c r="B63" s="3" t="s">
        <v>9</v>
      </c>
      <c r="C63" s="3" t="s">
        <v>10</v>
      </c>
      <c r="D63" s="3" t="s">
        <v>11</v>
      </c>
      <c r="E63" s="3" t="s">
        <v>12</v>
      </c>
      <c r="F63" s="4" t="s">
        <v>153</v>
      </c>
      <c r="G63" s="4" t="s">
        <v>154</v>
      </c>
      <c r="H63" s="3" t="n">
        <f aca="false">IF(COUNTIFS($D$2:D63,D63,$E$2:E63,E63,$A$2:A63,A63)=1,1,0)</f>
        <v>0</v>
      </c>
    </row>
    <row r="64" customFormat="false" ht="34.5" hidden="false" customHeight="true" outlineLevel="0" collapsed="false">
      <c r="A64" s="3" t="s">
        <v>150</v>
      </c>
      <c r="B64" s="3" t="s">
        <v>9</v>
      </c>
      <c r="C64" s="3" t="s">
        <v>10</v>
      </c>
      <c r="D64" s="3" t="s">
        <v>11</v>
      </c>
      <c r="E64" s="3" t="s">
        <v>12</v>
      </c>
      <c r="F64" s="4" t="s">
        <v>155</v>
      </c>
      <c r="G64" s="4" t="s">
        <v>156</v>
      </c>
      <c r="H64" s="3" t="n">
        <f aca="false">IF(COUNTIFS($D$2:D64,D64,$E$2:E64,E64,$A$2:A64,A64)=1,1,0)</f>
        <v>0</v>
      </c>
    </row>
    <row r="65" customFormat="false" ht="34.5" hidden="false" customHeight="true" outlineLevel="0" collapsed="false">
      <c r="A65" s="3" t="s">
        <v>150</v>
      </c>
      <c r="B65" s="3" t="s">
        <v>9</v>
      </c>
      <c r="C65" s="3" t="s">
        <v>10</v>
      </c>
      <c r="D65" s="3" t="s">
        <v>87</v>
      </c>
      <c r="E65" s="3" t="s">
        <v>24</v>
      </c>
      <c r="F65" s="4" t="s">
        <v>157</v>
      </c>
      <c r="G65" s="4" t="s">
        <v>158</v>
      </c>
      <c r="H65" s="3" t="n">
        <f aca="false">IF(COUNTIFS($D$2:D65,D65,$E$2:E65,E65,$A$2:A65,A65)=1,1,0)</f>
        <v>1</v>
      </c>
    </row>
    <row r="66" customFormat="false" ht="23.25" hidden="false" customHeight="true" outlineLevel="0" collapsed="false">
      <c r="A66" s="3" t="s">
        <v>150</v>
      </c>
      <c r="B66" s="3" t="s">
        <v>9</v>
      </c>
      <c r="C66" s="3" t="s">
        <v>10</v>
      </c>
      <c r="D66" s="3" t="s">
        <v>11</v>
      </c>
      <c r="E66" s="3" t="s">
        <v>12</v>
      </c>
      <c r="F66" s="4" t="s">
        <v>159</v>
      </c>
      <c r="G66" s="4" t="s">
        <v>160</v>
      </c>
      <c r="H66" s="3" t="n">
        <f aca="false">IF(COUNTIFS($D$2:D66,D66,$E$2:E66,E66,$A$2:A66,A66)=1,1,0)</f>
        <v>0</v>
      </c>
    </row>
    <row r="67" customFormat="false" ht="23.25" hidden="false" customHeight="true" outlineLevel="0" collapsed="false">
      <c r="A67" s="3" t="s">
        <v>150</v>
      </c>
      <c r="B67" s="3" t="s">
        <v>9</v>
      </c>
      <c r="C67" s="3" t="s">
        <v>10</v>
      </c>
      <c r="D67" s="3" t="s">
        <v>11</v>
      </c>
      <c r="E67" s="3" t="s">
        <v>12</v>
      </c>
      <c r="F67" s="4" t="s">
        <v>161</v>
      </c>
      <c r="G67" s="4" t="s">
        <v>162</v>
      </c>
      <c r="H67" s="3" t="n">
        <f aca="false">IF(COUNTIFS($D$2:D67,D67,$E$2:E67,E67,$A$2:A67,A67)=1,1,0)</f>
        <v>0</v>
      </c>
    </row>
    <row r="68" customFormat="false" ht="34.5" hidden="false" customHeight="true" outlineLevel="0" collapsed="false">
      <c r="A68" s="3" t="s">
        <v>150</v>
      </c>
      <c r="B68" s="3" t="s">
        <v>9</v>
      </c>
      <c r="C68" s="3" t="s">
        <v>10</v>
      </c>
      <c r="D68" s="3" t="s">
        <v>134</v>
      </c>
      <c r="E68" s="3" t="s">
        <v>12</v>
      </c>
      <c r="F68" s="4" t="s">
        <v>163</v>
      </c>
      <c r="G68" s="4"/>
      <c r="H68" s="3" t="n">
        <f aca="false">IF(COUNTIFS($D$2:D68,D68,$E$2:E68,E68,$A$2:A68,A68)=1,1,0)</f>
        <v>1</v>
      </c>
    </row>
    <row r="69" customFormat="false" ht="23.25" hidden="false" customHeight="true" outlineLevel="0" collapsed="false">
      <c r="A69" s="3" t="s">
        <v>150</v>
      </c>
      <c r="B69" s="3" t="s">
        <v>9</v>
      </c>
      <c r="C69" s="3" t="s">
        <v>10</v>
      </c>
      <c r="D69" s="3" t="s">
        <v>69</v>
      </c>
      <c r="E69" s="3" t="s">
        <v>12</v>
      </c>
      <c r="F69" s="4" t="s">
        <v>164</v>
      </c>
      <c r="G69" s="4" t="s">
        <v>165</v>
      </c>
      <c r="H69" s="3" t="n">
        <f aca="false">IF(COUNTIFS($D$2:D69,D69,$E$2:E69,E69,$A$2:A69,A69)=1,1,0)</f>
        <v>1</v>
      </c>
    </row>
    <row r="70" customFormat="false" ht="68.25" hidden="false" customHeight="true" outlineLevel="0" collapsed="false">
      <c r="A70" s="3" t="s">
        <v>150</v>
      </c>
      <c r="B70" s="3" t="s">
        <v>9</v>
      </c>
      <c r="C70" s="3" t="s">
        <v>10</v>
      </c>
      <c r="D70" s="3" t="s">
        <v>11</v>
      </c>
      <c r="E70" s="3" t="s">
        <v>12</v>
      </c>
      <c r="F70" s="4" t="s">
        <v>166</v>
      </c>
      <c r="G70" s="4" t="s">
        <v>167</v>
      </c>
      <c r="H70" s="3" t="n">
        <f aca="false">IF(COUNTIFS($D$2:D70,D70,$E$2:E70,E70,$A$2:A70,A70)=1,1,0)</f>
        <v>0</v>
      </c>
    </row>
    <row r="71" customFormat="false" ht="34.5" hidden="false" customHeight="true" outlineLevel="0" collapsed="false">
      <c r="A71" s="3" t="s">
        <v>150</v>
      </c>
      <c r="B71" s="3" t="s">
        <v>9</v>
      </c>
      <c r="C71" s="3" t="s">
        <v>10</v>
      </c>
      <c r="D71" s="3" t="s">
        <v>168</v>
      </c>
      <c r="E71" s="3" t="s">
        <v>12</v>
      </c>
      <c r="F71" s="4" t="s">
        <v>169</v>
      </c>
      <c r="G71" s="4" t="s">
        <v>170</v>
      </c>
      <c r="H71" s="3" t="n">
        <f aca="false">IF(COUNTIFS($D$2:D71,D71,$E$2:E71,E71,$A$2:A71,A71)=1,1,0)</f>
        <v>1</v>
      </c>
    </row>
    <row r="72" customFormat="false" ht="34.5" hidden="false" customHeight="true" outlineLevel="0" collapsed="false">
      <c r="A72" s="3" t="s">
        <v>171</v>
      </c>
      <c r="B72" s="3" t="s">
        <v>9</v>
      </c>
      <c r="C72" s="3" t="s">
        <v>10</v>
      </c>
      <c r="D72" s="3" t="s">
        <v>19</v>
      </c>
      <c r="E72" s="3" t="s">
        <v>12</v>
      </c>
      <c r="F72" s="4" t="s">
        <v>172</v>
      </c>
      <c r="G72" s="4" t="s">
        <v>173</v>
      </c>
      <c r="H72" s="3" t="n">
        <f aca="false">IF(COUNTIFS($D$2:D72,D72,$E$2:E72,E72,$A$2:A72,A72)=1,1,0)</f>
        <v>1</v>
      </c>
    </row>
    <row r="73" customFormat="false" ht="34.5" hidden="false" customHeight="true" outlineLevel="0" collapsed="false">
      <c r="A73" s="3" t="s">
        <v>171</v>
      </c>
      <c r="B73" s="3" t="s">
        <v>9</v>
      </c>
      <c r="C73" s="3" t="s">
        <v>10</v>
      </c>
      <c r="D73" s="3" t="s">
        <v>11</v>
      </c>
      <c r="E73" s="3" t="s">
        <v>12</v>
      </c>
      <c r="F73" s="4" t="s">
        <v>174</v>
      </c>
      <c r="G73" s="4" t="s">
        <v>175</v>
      </c>
      <c r="H73" s="3" t="n">
        <f aca="false">IF(COUNTIFS($D$2:D73,D73,$E$2:E73,E73,$A$2:A73,A73)=1,1,0)</f>
        <v>1</v>
      </c>
    </row>
    <row r="74" customFormat="false" ht="34.5" hidden="false" customHeight="true" outlineLevel="0" collapsed="false">
      <c r="A74" s="3" t="s">
        <v>171</v>
      </c>
      <c r="B74" s="3" t="s">
        <v>9</v>
      </c>
      <c r="C74" s="3" t="s">
        <v>10</v>
      </c>
      <c r="D74" s="3" t="s">
        <v>19</v>
      </c>
      <c r="E74" s="3" t="s">
        <v>12</v>
      </c>
      <c r="F74" s="4" t="s">
        <v>176</v>
      </c>
      <c r="G74" s="4" t="s">
        <v>177</v>
      </c>
      <c r="H74" s="3" t="n">
        <f aca="false">IF(COUNTIFS($D$2:D74,D74,$E$2:E74,E74,$A$2:A74,A74)=1,1,0)</f>
        <v>0</v>
      </c>
    </row>
    <row r="75" customFormat="false" ht="23.25" hidden="false" customHeight="true" outlineLevel="0" collapsed="false">
      <c r="A75" s="3" t="s">
        <v>171</v>
      </c>
      <c r="B75" s="3" t="s">
        <v>9</v>
      </c>
      <c r="C75" s="3" t="s">
        <v>10</v>
      </c>
      <c r="D75" s="3" t="s">
        <v>11</v>
      </c>
      <c r="E75" s="3" t="s">
        <v>12</v>
      </c>
      <c r="F75" s="4" t="s">
        <v>178</v>
      </c>
      <c r="G75" s="4" t="s">
        <v>179</v>
      </c>
      <c r="H75" s="3" t="n">
        <f aca="false">IF(COUNTIFS($D$2:D75,D75,$E$2:E75,E75,$A$2:A75,A75)=1,1,0)</f>
        <v>0</v>
      </c>
    </row>
    <row r="76" customFormat="false" ht="34.5" hidden="false" customHeight="true" outlineLevel="0" collapsed="false">
      <c r="A76" s="3" t="s">
        <v>171</v>
      </c>
      <c r="B76" s="3" t="s">
        <v>9</v>
      </c>
      <c r="C76" s="3" t="s">
        <v>10</v>
      </c>
      <c r="D76" s="3" t="s">
        <v>11</v>
      </c>
      <c r="E76" s="3" t="s">
        <v>12</v>
      </c>
      <c r="F76" s="4" t="s">
        <v>180</v>
      </c>
      <c r="G76" s="4" t="s">
        <v>181</v>
      </c>
      <c r="H76" s="3" t="n">
        <f aca="false">IF(COUNTIFS($D$2:D76,D76,$E$2:E76,E76,$A$2:A76,A76)=1,1,0)</f>
        <v>0</v>
      </c>
    </row>
    <row r="77" customFormat="false" ht="23.25" hidden="false" customHeight="true" outlineLevel="0" collapsed="false">
      <c r="A77" s="3" t="s">
        <v>171</v>
      </c>
      <c r="B77" s="3" t="s">
        <v>9</v>
      </c>
      <c r="C77" s="3" t="s">
        <v>10</v>
      </c>
      <c r="D77" s="3" t="s">
        <v>11</v>
      </c>
      <c r="E77" s="3" t="s">
        <v>12</v>
      </c>
      <c r="F77" s="4" t="s">
        <v>182</v>
      </c>
      <c r="G77" s="4" t="s">
        <v>183</v>
      </c>
      <c r="H77" s="3" t="n">
        <f aca="false">IF(COUNTIFS($D$2:D77,D77,$E$2:E77,E77,$A$2:A77,A77)=1,1,0)</f>
        <v>0</v>
      </c>
    </row>
    <row r="78" customFormat="false" ht="34.5" hidden="false" customHeight="true" outlineLevel="0" collapsed="false">
      <c r="A78" s="3" t="s">
        <v>171</v>
      </c>
      <c r="B78" s="3" t="s">
        <v>9</v>
      </c>
      <c r="C78" s="3" t="s">
        <v>10</v>
      </c>
      <c r="D78" s="3" t="s">
        <v>87</v>
      </c>
      <c r="E78" s="3" t="s">
        <v>24</v>
      </c>
      <c r="F78" s="4" t="s">
        <v>184</v>
      </c>
      <c r="G78" s="4" t="s">
        <v>185</v>
      </c>
      <c r="H78" s="3" t="n">
        <f aca="false">IF(COUNTIFS($D$2:D78,D78,$E$2:E78,E78,$A$2:A78,A78)=1,1,0)</f>
        <v>1</v>
      </c>
    </row>
    <row r="79" customFormat="false" ht="45.75" hidden="false" customHeight="true" outlineLevel="0" collapsed="false">
      <c r="A79" s="3" t="s">
        <v>186</v>
      </c>
      <c r="B79" s="3" t="s">
        <v>9</v>
      </c>
      <c r="C79" s="3" t="s">
        <v>10</v>
      </c>
      <c r="D79" s="3" t="s">
        <v>11</v>
      </c>
      <c r="E79" s="3" t="s">
        <v>12</v>
      </c>
      <c r="F79" s="4" t="s">
        <v>187</v>
      </c>
      <c r="G79" s="4" t="s">
        <v>188</v>
      </c>
      <c r="H79" s="3" t="n">
        <f aca="false">IF(COUNTIFS($D$2:D79,D79,$E$2:E79,E79,$A$2:A79,A79)=1,1,0)</f>
        <v>1</v>
      </c>
    </row>
    <row r="80" customFormat="false" ht="45.75" hidden="false" customHeight="true" outlineLevel="0" collapsed="false">
      <c r="A80" s="3" t="s">
        <v>186</v>
      </c>
      <c r="B80" s="3" t="s">
        <v>9</v>
      </c>
      <c r="C80" s="3" t="s">
        <v>10</v>
      </c>
      <c r="D80" s="3" t="s">
        <v>19</v>
      </c>
      <c r="E80" s="3" t="s">
        <v>12</v>
      </c>
      <c r="F80" s="4" t="s">
        <v>189</v>
      </c>
      <c r="G80" s="4" t="s">
        <v>190</v>
      </c>
      <c r="H80" s="3" t="n">
        <f aca="false">IF(COUNTIFS($D$2:D80,D80,$E$2:E80,E80,$A$2:A80,A80)=1,1,0)</f>
        <v>1</v>
      </c>
    </row>
    <row r="81" customFormat="false" ht="34.5" hidden="false" customHeight="true" outlineLevel="0" collapsed="false">
      <c r="A81" s="3" t="s">
        <v>186</v>
      </c>
      <c r="B81" s="3" t="s">
        <v>9</v>
      </c>
      <c r="C81" s="3" t="s">
        <v>10</v>
      </c>
      <c r="D81" s="3" t="s">
        <v>19</v>
      </c>
      <c r="E81" s="3" t="s">
        <v>12</v>
      </c>
      <c r="F81" s="4" t="s">
        <v>191</v>
      </c>
      <c r="G81" s="4" t="s">
        <v>192</v>
      </c>
      <c r="H81" s="3" t="n">
        <f aca="false">IF(COUNTIFS($D$2:D81,D81,$E$2:E81,E81,$A$2:A81,A81)=1,1,0)</f>
        <v>0</v>
      </c>
    </row>
    <row r="82" customFormat="false" ht="45.75" hidden="false" customHeight="true" outlineLevel="0" collapsed="false">
      <c r="A82" s="3" t="s">
        <v>186</v>
      </c>
      <c r="B82" s="3" t="s">
        <v>9</v>
      </c>
      <c r="C82" s="3" t="s">
        <v>10</v>
      </c>
      <c r="D82" s="3" t="s">
        <v>37</v>
      </c>
      <c r="E82" s="3" t="s">
        <v>12</v>
      </c>
      <c r="F82" s="4" t="s">
        <v>193</v>
      </c>
      <c r="G82" s="4" t="s">
        <v>194</v>
      </c>
      <c r="H82" s="3" t="n">
        <f aca="false">IF(COUNTIFS($D$2:D82,D82,$E$2:E82,E82,$A$2:A82,A82)=1,1,0)</f>
        <v>1</v>
      </c>
    </row>
    <row r="83" customFormat="false" ht="57" hidden="false" customHeight="true" outlineLevel="0" collapsed="false">
      <c r="A83" s="3" t="s">
        <v>186</v>
      </c>
      <c r="B83" s="3" t="s">
        <v>9</v>
      </c>
      <c r="C83" s="3" t="s">
        <v>10</v>
      </c>
      <c r="D83" s="3" t="s">
        <v>37</v>
      </c>
      <c r="E83" s="3" t="s">
        <v>12</v>
      </c>
      <c r="F83" s="4" t="s">
        <v>195</v>
      </c>
      <c r="G83" s="4" t="s">
        <v>196</v>
      </c>
      <c r="H83" s="3" t="n">
        <f aca="false">IF(COUNTIFS($D$2:D83,D83,$E$2:E83,E83,$A$2:A83,A83)=1,1,0)</f>
        <v>0</v>
      </c>
    </row>
    <row r="84" customFormat="false" ht="34.5" hidden="false" customHeight="true" outlineLevel="0" collapsed="false">
      <c r="A84" s="3" t="s">
        <v>186</v>
      </c>
      <c r="B84" s="3" t="s">
        <v>9</v>
      </c>
      <c r="C84" s="3" t="s">
        <v>10</v>
      </c>
      <c r="D84" s="3" t="s">
        <v>37</v>
      </c>
      <c r="E84" s="3" t="s">
        <v>96</v>
      </c>
      <c r="F84" s="4" t="s">
        <v>197</v>
      </c>
      <c r="G84" s="4" t="s">
        <v>198</v>
      </c>
      <c r="H84" s="3" t="n">
        <f aca="false">IF(COUNTIFS($D$2:D84,D84,$E$2:E84,E84,$A$2:A84,A84)=1,1,0)</f>
        <v>1</v>
      </c>
    </row>
    <row r="85" customFormat="false" ht="45.75" hidden="false" customHeight="true" outlineLevel="0" collapsed="false">
      <c r="A85" s="3" t="s">
        <v>186</v>
      </c>
      <c r="B85" s="3" t="s">
        <v>9</v>
      </c>
      <c r="C85" s="3" t="s">
        <v>10</v>
      </c>
      <c r="D85" s="3" t="s">
        <v>112</v>
      </c>
      <c r="E85" s="3" t="s">
        <v>12</v>
      </c>
      <c r="F85" s="4" t="s">
        <v>199</v>
      </c>
      <c r="G85" s="4" t="s">
        <v>200</v>
      </c>
      <c r="H85" s="3" t="n">
        <f aca="false">IF(COUNTIFS($D$2:D85,D85,$E$2:E85,E85,$A$2:A85,A85)=1,1,0)</f>
        <v>1</v>
      </c>
    </row>
    <row r="86" customFormat="false" ht="57" hidden="false" customHeight="true" outlineLevel="0" collapsed="false">
      <c r="A86" s="3" t="s">
        <v>186</v>
      </c>
      <c r="B86" s="3" t="s">
        <v>9</v>
      </c>
      <c r="C86" s="3" t="s">
        <v>10</v>
      </c>
      <c r="D86" s="3" t="s">
        <v>11</v>
      </c>
      <c r="E86" s="3" t="s">
        <v>12</v>
      </c>
      <c r="F86" s="4" t="s">
        <v>201</v>
      </c>
      <c r="G86" s="4" t="s">
        <v>202</v>
      </c>
      <c r="H86" s="3" t="n">
        <f aca="false">IF(COUNTIFS($D$2:D86,D86,$E$2:E86,E86,$A$2:A86,A86)=1,1,0)</f>
        <v>0</v>
      </c>
    </row>
    <row r="87" customFormat="false" ht="68.25" hidden="false" customHeight="true" outlineLevel="0" collapsed="false">
      <c r="A87" s="3" t="s">
        <v>186</v>
      </c>
      <c r="B87" s="3" t="s">
        <v>9</v>
      </c>
      <c r="C87" s="3" t="s">
        <v>10</v>
      </c>
      <c r="D87" s="3" t="s">
        <v>134</v>
      </c>
      <c r="E87" s="3" t="s">
        <v>12</v>
      </c>
      <c r="F87" s="4" t="s">
        <v>203</v>
      </c>
      <c r="G87" s="4" t="s">
        <v>204</v>
      </c>
      <c r="H87" s="3" t="n">
        <f aca="false">IF(COUNTIFS($D$2:D87,D87,$E$2:E87,E87,$A$2:A87,A87)=1,1,0)</f>
        <v>1</v>
      </c>
    </row>
    <row r="88" customFormat="false" ht="57" hidden="false" customHeight="true" outlineLevel="0" collapsed="false">
      <c r="A88" s="3" t="s">
        <v>186</v>
      </c>
      <c r="B88" s="3" t="s">
        <v>9</v>
      </c>
      <c r="C88" s="3" t="s">
        <v>10</v>
      </c>
      <c r="D88" s="3" t="s">
        <v>11</v>
      </c>
      <c r="E88" s="3" t="s">
        <v>12</v>
      </c>
      <c r="F88" s="4" t="s">
        <v>205</v>
      </c>
      <c r="G88" s="4" t="s">
        <v>206</v>
      </c>
      <c r="H88" s="3" t="n">
        <f aca="false">IF(COUNTIFS($D$2:D88,D88,$E$2:E88,E88,$A$2:A88,A88)=1,1,0)</f>
        <v>0</v>
      </c>
    </row>
    <row r="89" customFormat="false" ht="34.5" hidden="false" customHeight="true" outlineLevel="0" collapsed="false">
      <c r="A89" s="3" t="s">
        <v>207</v>
      </c>
      <c r="B89" s="3" t="s">
        <v>9</v>
      </c>
      <c r="C89" s="3" t="s">
        <v>10</v>
      </c>
      <c r="D89" s="3" t="s">
        <v>11</v>
      </c>
      <c r="E89" s="3" t="s">
        <v>12</v>
      </c>
      <c r="F89" s="4" t="s">
        <v>208</v>
      </c>
      <c r="G89" s="4" t="s">
        <v>209</v>
      </c>
      <c r="H89" s="3" t="n">
        <f aca="false">IF(COUNTIFS($D$2:D89,D89,$E$2:E89,E89,$A$2:A89,A89)=1,1,0)</f>
        <v>1</v>
      </c>
    </row>
    <row r="90" customFormat="false" ht="34.5" hidden="false" customHeight="true" outlineLevel="0" collapsed="false">
      <c r="A90" s="3" t="s">
        <v>207</v>
      </c>
      <c r="B90" s="3" t="s">
        <v>9</v>
      </c>
      <c r="C90" s="3" t="s">
        <v>10</v>
      </c>
      <c r="D90" s="3" t="s">
        <v>19</v>
      </c>
      <c r="E90" s="3" t="s">
        <v>12</v>
      </c>
      <c r="F90" s="4" t="s">
        <v>210</v>
      </c>
      <c r="G90" s="4" t="s">
        <v>211</v>
      </c>
      <c r="H90" s="3" t="n">
        <f aca="false">IF(COUNTIFS($D$2:D90,D90,$E$2:E90,E90,$A$2:A90,A90)=1,1,0)</f>
        <v>1</v>
      </c>
    </row>
    <row r="91" customFormat="false" ht="45.75" hidden="false" customHeight="true" outlineLevel="0" collapsed="false">
      <c r="A91" s="3" t="s">
        <v>207</v>
      </c>
      <c r="B91" s="3" t="s">
        <v>9</v>
      </c>
      <c r="C91" s="3" t="s">
        <v>10</v>
      </c>
      <c r="D91" s="3" t="s">
        <v>87</v>
      </c>
      <c r="E91" s="3" t="s">
        <v>12</v>
      </c>
      <c r="F91" s="4" t="s">
        <v>212</v>
      </c>
      <c r="G91" s="4" t="s">
        <v>213</v>
      </c>
      <c r="H91" s="3" t="n">
        <f aca="false">IF(COUNTIFS($D$2:D91,D91,$E$2:E91,E91,$A$2:A91,A91)=1,1,0)</f>
        <v>1</v>
      </c>
    </row>
    <row r="92" customFormat="false" ht="68.25" hidden="false" customHeight="true" outlineLevel="0" collapsed="false">
      <c r="A92" s="3" t="s">
        <v>207</v>
      </c>
      <c r="B92" s="3" t="s">
        <v>9</v>
      </c>
      <c r="C92" s="3" t="s">
        <v>10</v>
      </c>
      <c r="D92" s="3" t="s">
        <v>11</v>
      </c>
      <c r="E92" s="3" t="s">
        <v>12</v>
      </c>
      <c r="F92" s="4" t="s">
        <v>214</v>
      </c>
      <c r="G92" s="4" t="s">
        <v>215</v>
      </c>
      <c r="H92" s="3" t="n">
        <f aca="false">IF(COUNTIFS($D$2:D92,D92,$E$2:E92,E92,$A$2:A92,A92)=1,1,0)</f>
        <v>0</v>
      </c>
    </row>
    <row r="93" customFormat="false" ht="45.75" hidden="false" customHeight="true" outlineLevel="0" collapsed="false">
      <c r="A93" s="3" t="s">
        <v>207</v>
      </c>
      <c r="B93" s="3" t="s">
        <v>9</v>
      </c>
      <c r="C93" s="3" t="s">
        <v>10</v>
      </c>
      <c r="D93" s="3" t="s">
        <v>11</v>
      </c>
      <c r="E93" s="3" t="s">
        <v>12</v>
      </c>
      <c r="F93" s="4" t="s">
        <v>216</v>
      </c>
      <c r="G93" s="4" t="s">
        <v>217</v>
      </c>
      <c r="H93" s="3" t="n">
        <f aca="false">IF(COUNTIFS($D$2:D93,D93,$E$2:E93,E93,$A$2:A93,A93)=1,1,0)</f>
        <v>0</v>
      </c>
    </row>
    <row r="94" customFormat="false" ht="34.5" hidden="false" customHeight="true" outlineLevel="0" collapsed="false">
      <c r="A94" s="3" t="s">
        <v>207</v>
      </c>
      <c r="B94" s="3" t="s">
        <v>9</v>
      </c>
      <c r="C94" s="3" t="s">
        <v>10</v>
      </c>
      <c r="D94" s="3" t="s">
        <v>11</v>
      </c>
      <c r="E94" s="3" t="s">
        <v>12</v>
      </c>
      <c r="F94" s="4" t="s">
        <v>218</v>
      </c>
      <c r="G94" s="4" t="s">
        <v>219</v>
      </c>
      <c r="H94" s="3" t="n">
        <f aca="false">IF(COUNTIFS($D$2:D94,D94,$E$2:E94,E94,$A$2:A94,A94)=1,1,0)</f>
        <v>0</v>
      </c>
    </row>
    <row r="95" customFormat="false" ht="57" hidden="false" customHeight="true" outlineLevel="0" collapsed="false">
      <c r="A95" s="3" t="s">
        <v>207</v>
      </c>
      <c r="B95" s="3" t="s">
        <v>9</v>
      </c>
      <c r="C95" s="3" t="s">
        <v>10</v>
      </c>
      <c r="D95" s="3" t="s">
        <v>69</v>
      </c>
      <c r="E95" s="3" t="s">
        <v>12</v>
      </c>
      <c r="F95" s="4" t="s">
        <v>220</v>
      </c>
      <c r="G95" s="4" t="s">
        <v>221</v>
      </c>
      <c r="H95" s="3" t="n">
        <f aca="false">IF(COUNTIFS($D$2:D95,D95,$E$2:E95,E95,$A$2:A95,A95)=1,1,0)</f>
        <v>1</v>
      </c>
    </row>
    <row r="96" customFormat="false" ht="57" hidden="false" customHeight="true" outlineLevel="0" collapsed="false">
      <c r="A96" s="3" t="s">
        <v>207</v>
      </c>
      <c r="B96" s="3" t="s">
        <v>9</v>
      </c>
      <c r="C96" s="3" t="s">
        <v>10</v>
      </c>
      <c r="D96" s="3" t="s">
        <v>19</v>
      </c>
      <c r="E96" s="3" t="s">
        <v>222</v>
      </c>
      <c r="F96" s="4" t="s">
        <v>223</v>
      </c>
      <c r="G96" s="4" t="s">
        <v>224</v>
      </c>
      <c r="H96" s="3" t="n">
        <f aca="false">IF(COUNTIFS($D$2:D96,D96,$E$2:E96,E96,$A$2:A96,A96)=1,1,0)</f>
        <v>1</v>
      </c>
    </row>
    <row r="97" customFormat="false" ht="45.75" hidden="false" customHeight="true" outlineLevel="0" collapsed="false">
      <c r="A97" s="3" t="s">
        <v>207</v>
      </c>
      <c r="B97" s="3" t="s">
        <v>9</v>
      </c>
      <c r="C97" s="3" t="s">
        <v>10</v>
      </c>
      <c r="D97" s="3" t="s">
        <v>87</v>
      </c>
      <c r="E97" s="3" t="s">
        <v>24</v>
      </c>
      <c r="F97" s="4" t="s">
        <v>225</v>
      </c>
      <c r="G97" s="4" t="s">
        <v>226</v>
      </c>
      <c r="H97" s="3" t="n">
        <f aca="false">IF(COUNTIFS($D$2:D97,D97,$E$2:E97,E97,$A$2:A97,A97)=1,1,0)</f>
        <v>1</v>
      </c>
    </row>
    <row r="98" customFormat="false" ht="34.5" hidden="false" customHeight="true" outlineLevel="0" collapsed="false">
      <c r="A98" s="3" t="s">
        <v>227</v>
      </c>
      <c r="B98" s="3" t="s">
        <v>9</v>
      </c>
      <c r="C98" s="3" t="s">
        <v>10</v>
      </c>
      <c r="D98" s="3" t="s">
        <v>11</v>
      </c>
      <c r="E98" s="3" t="s">
        <v>12</v>
      </c>
      <c r="F98" s="4" t="s">
        <v>228</v>
      </c>
      <c r="G98" s="4" t="s">
        <v>229</v>
      </c>
      <c r="H98" s="3" t="n">
        <f aca="false">IF(COUNTIFS($D$2:D98,D98,$E$2:E98,E98,$A$2:A98,A98)=1,1,0)</f>
        <v>1</v>
      </c>
    </row>
    <row r="99" customFormat="false" ht="45.75" hidden="false" customHeight="true" outlineLevel="0" collapsed="false">
      <c r="A99" s="3" t="s">
        <v>227</v>
      </c>
      <c r="B99" s="3" t="s">
        <v>9</v>
      </c>
      <c r="C99" s="3" t="s">
        <v>10</v>
      </c>
      <c r="D99" s="3" t="s">
        <v>11</v>
      </c>
      <c r="E99" s="3" t="s">
        <v>12</v>
      </c>
      <c r="F99" s="4" t="s">
        <v>230</v>
      </c>
      <c r="G99" s="4" t="s">
        <v>231</v>
      </c>
      <c r="H99" s="3" t="n">
        <f aca="false">IF(COUNTIFS($D$2:D99,D99,$E$2:E99,E99,$A$2:A99,A99)=1,1,0)</f>
        <v>0</v>
      </c>
    </row>
    <row r="100" customFormat="false" ht="34.5" hidden="false" customHeight="true" outlineLevel="0" collapsed="false">
      <c r="A100" s="3" t="s">
        <v>227</v>
      </c>
      <c r="B100" s="3" t="s">
        <v>9</v>
      </c>
      <c r="C100" s="3" t="s">
        <v>10</v>
      </c>
      <c r="D100" s="3" t="s">
        <v>19</v>
      </c>
      <c r="E100" s="3" t="s">
        <v>12</v>
      </c>
      <c r="F100" s="4" t="s">
        <v>232</v>
      </c>
      <c r="G100" s="4" t="s">
        <v>233</v>
      </c>
      <c r="H100" s="3" t="n">
        <f aca="false">IF(COUNTIFS($D$2:D100,D100,$E$2:E100,E100,$A$2:A100,A100)=1,1,0)</f>
        <v>1</v>
      </c>
    </row>
    <row r="101" customFormat="false" ht="23.25" hidden="false" customHeight="true" outlineLevel="0" collapsed="false">
      <c r="A101" s="3" t="s">
        <v>227</v>
      </c>
      <c r="B101" s="3" t="s">
        <v>9</v>
      </c>
      <c r="C101" s="3" t="s">
        <v>10</v>
      </c>
      <c r="D101" s="3" t="s">
        <v>234</v>
      </c>
      <c r="E101" s="3" t="s">
        <v>12</v>
      </c>
      <c r="F101" s="4" t="s">
        <v>235</v>
      </c>
      <c r="G101" s="4" t="s">
        <v>236</v>
      </c>
      <c r="H101" s="3" t="n">
        <f aca="false">IF(COUNTIFS($D$2:D101,D101,$E$2:E101,E101,$A$2:A101,A101)=1,1,0)</f>
        <v>1</v>
      </c>
    </row>
    <row r="102" customFormat="false" ht="45.75" hidden="false" customHeight="true" outlineLevel="0" collapsed="false">
      <c r="A102" s="3" t="s">
        <v>227</v>
      </c>
      <c r="B102" s="3" t="s">
        <v>9</v>
      </c>
      <c r="C102" s="3" t="s">
        <v>10</v>
      </c>
      <c r="D102" s="3" t="s">
        <v>11</v>
      </c>
      <c r="E102" s="3" t="s">
        <v>12</v>
      </c>
      <c r="F102" s="4" t="s">
        <v>237</v>
      </c>
      <c r="G102" s="4" t="s">
        <v>238</v>
      </c>
      <c r="H102" s="3" t="n">
        <f aca="false">IF(COUNTIFS($D$2:D102,D102,$E$2:E102,E102,$A$2:A102,A102)=1,1,0)</f>
        <v>0</v>
      </c>
    </row>
    <row r="103" customFormat="false" ht="23.25" hidden="false" customHeight="true" outlineLevel="0" collapsed="false">
      <c r="A103" s="3" t="s">
        <v>227</v>
      </c>
      <c r="B103" s="3" t="s">
        <v>9</v>
      </c>
      <c r="C103" s="3" t="s">
        <v>10</v>
      </c>
      <c r="D103" s="3" t="s">
        <v>69</v>
      </c>
      <c r="E103" s="3" t="s">
        <v>12</v>
      </c>
      <c r="F103" s="4" t="s">
        <v>239</v>
      </c>
      <c r="G103" s="4" t="s">
        <v>240</v>
      </c>
      <c r="H103" s="3" t="n">
        <f aca="false">IF(COUNTIFS($D$2:D103,D103,$E$2:E103,E103,$A$2:A103,A103)=1,1,0)</f>
        <v>1</v>
      </c>
    </row>
    <row r="104" customFormat="false" ht="34.5" hidden="false" customHeight="true" outlineLevel="0" collapsed="false">
      <c r="A104" s="3" t="s">
        <v>227</v>
      </c>
      <c r="B104" s="3" t="s">
        <v>9</v>
      </c>
      <c r="C104" s="3" t="s">
        <v>10</v>
      </c>
      <c r="D104" s="3" t="s">
        <v>11</v>
      </c>
      <c r="E104" s="3" t="s">
        <v>12</v>
      </c>
      <c r="F104" s="4" t="s">
        <v>241</v>
      </c>
      <c r="G104" s="4" t="s">
        <v>242</v>
      </c>
      <c r="H104" s="3" t="n">
        <f aca="false">IF(COUNTIFS($D$2:D104,D104,$E$2:E104,E104,$A$2:A104,A104)=1,1,0)</f>
        <v>0</v>
      </c>
    </row>
    <row r="105" customFormat="false" ht="23.25" hidden="false" customHeight="true" outlineLevel="0" collapsed="false">
      <c r="A105" s="3" t="s">
        <v>227</v>
      </c>
      <c r="B105" s="3" t="s">
        <v>9</v>
      </c>
      <c r="C105" s="3" t="s">
        <v>10</v>
      </c>
      <c r="D105" s="3" t="s">
        <v>11</v>
      </c>
      <c r="E105" s="3" t="s">
        <v>12</v>
      </c>
      <c r="F105" s="4" t="s">
        <v>243</v>
      </c>
      <c r="G105" s="4" t="s">
        <v>244</v>
      </c>
      <c r="H105" s="3" t="n">
        <f aca="false">IF(COUNTIFS($D$2:D105,D105,$E$2:E105,E105,$A$2:A105,A105)=1,1,0)</f>
        <v>0</v>
      </c>
    </row>
    <row r="106" customFormat="false" ht="34.5" hidden="false" customHeight="true" outlineLevel="0" collapsed="false">
      <c r="A106" s="3" t="s">
        <v>227</v>
      </c>
      <c r="B106" s="3" t="s">
        <v>9</v>
      </c>
      <c r="C106" s="3" t="s">
        <v>10</v>
      </c>
      <c r="D106" s="3" t="s">
        <v>11</v>
      </c>
      <c r="E106" s="3" t="s">
        <v>12</v>
      </c>
      <c r="F106" s="4" t="s">
        <v>245</v>
      </c>
      <c r="G106" s="4" t="s">
        <v>246</v>
      </c>
      <c r="H106" s="3" t="n">
        <f aca="false">IF(COUNTIFS($D$2:D106,D106,$E$2:E106,E106,$A$2:A106,A106)=1,1,0)</f>
        <v>0</v>
      </c>
    </row>
    <row r="107" customFormat="false" ht="45.75" hidden="false" customHeight="true" outlineLevel="0" collapsed="false">
      <c r="A107" s="3" t="s">
        <v>227</v>
      </c>
      <c r="B107" s="3" t="s">
        <v>9</v>
      </c>
      <c r="C107" s="3" t="s">
        <v>10</v>
      </c>
      <c r="D107" s="3" t="s">
        <v>87</v>
      </c>
      <c r="E107" s="3" t="s">
        <v>12</v>
      </c>
      <c r="F107" s="4" t="s">
        <v>247</v>
      </c>
      <c r="G107" s="4" t="s">
        <v>248</v>
      </c>
      <c r="H107" s="3" t="n">
        <f aca="false">IF(COUNTIFS($D$2:D107,D107,$E$2:E107,E107,$A$2:A107,A107)=1,1,0)</f>
        <v>1</v>
      </c>
    </row>
    <row r="108" customFormat="false" ht="57" hidden="false" customHeight="true" outlineLevel="0" collapsed="false">
      <c r="A108" s="3" t="s">
        <v>227</v>
      </c>
      <c r="B108" s="3" t="s">
        <v>9</v>
      </c>
      <c r="C108" s="3" t="s">
        <v>10</v>
      </c>
      <c r="D108" s="3" t="s">
        <v>87</v>
      </c>
      <c r="E108" s="3" t="s">
        <v>24</v>
      </c>
      <c r="F108" s="4" t="s">
        <v>249</v>
      </c>
      <c r="G108" s="4" t="s">
        <v>250</v>
      </c>
      <c r="H108" s="3" t="n">
        <f aca="false">IF(COUNTIFS($D$2:D108,D108,$E$2:E108,E108,$A$2:A108,A108)=1,1,0)</f>
        <v>1</v>
      </c>
    </row>
    <row r="109" customFormat="false" ht="34.5" hidden="false" customHeight="true" outlineLevel="0" collapsed="false">
      <c r="A109" s="3" t="s">
        <v>251</v>
      </c>
      <c r="B109" s="3" t="s">
        <v>9</v>
      </c>
      <c r="C109" s="3" t="s">
        <v>10</v>
      </c>
      <c r="D109" s="3" t="s">
        <v>11</v>
      </c>
      <c r="E109" s="3" t="s">
        <v>12</v>
      </c>
      <c r="F109" s="4" t="s">
        <v>252</v>
      </c>
      <c r="G109" s="4" t="s">
        <v>253</v>
      </c>
      <c r="H109" s="3" t="n">
        <f aca="false">IF(COUNTIFS($D$2:D109,D109,$E$2:E109,E109,$A$2:A109,A109)=1,1,0)</f>
        <v>1</v>
      </c>
    </row>
    <row r="110" customFormat="false" ht="57" hidden="false" customHeight="true" outlineLevel="0" collapsed="false">
      <c r="A110" s="3" t="s">
        <v>251</v>
      </c>
      <c r="B110" s="3" t="s">
        <v>9</v>
      </c>
      <c r="C110" s="3" t="s">
        <v>10</v>
      </c>
      <c r="D110" s="3" t="s">
        <v>19</v>
      </c>
      <c r="E110" s="3" t="s">
        <v>12</v>
      </c>
      <c r="F110" s="4" t="s">
        <v>254</v>
      </c>
      <c r="G110" s="4" t="s">
        <v>255</v>
      </c>
      <c r="H110" s="3" t="n">
        <f aca="false">IF(COUNTIFS($D$2:D110,D110,$E$2:E110,E110,$A$2:A110,A110)=1,1,0)</f>
        <v>1</v>
      </c>
    </row>
    <row r="111" customFormat="false" ht="45.75" hidden="false" customHeight="true" outlineLevel="0" collapsed="false">
      <c r="A111" s="3" t="s">
        <v>251</v>
      </c>
      <c r="B111" s="3" t="s">
        <v>9</v>
      </c>
      <c r="C111" s="3" t="s">
        <v>10</v>
      </c>
      <c r="D111" s="3" t="s">
        <v>11</v>
      </c>
      <c r="E111" s="3" t="s">
        <v>12</v>
      </c>
      <c r="F111" s="4" t="s">
        <v>256</v>
      </c>
      <c r="G111" s="4" t="s">
        <v>257</v>
      </c>
      <c r="H111" s="3" t="n">
        <f aca="false">IF(COUNTIFS($D$2:D111,D111,$E$2:E111,E111,$A$2:A111,A111)=1,1,0)</f>
        <v>0</v>
      </c>
    </row>
    <row r="112" customFormat="false" ht="23.25" hidden="false" customHeight="true" outlineLevel="0" collapsed="false">
      <c r="A112" s="3" t="s">
        <v>251</v>
      </c>
      <c r="B112" s="3" t="s">
        <v>9</v>
      </c>
      <c r="C112" s="3" t="s">
        <v>10</v>
      </c>
      <c r="D112" s="3" t="s">
        <v>11</v>
      </c>
      <c r="E112" s="3" t="s">
        <v>12</v>
      </c>
      <c r="F112" s="4" t="s">
        <v>258</v>
      </c>
      <c r="G112" s="4" t="s">
        <v>259</v>
      </c>
      <c r="H112" s="3" t="n">
        <f aca="false">IF(COUNTIFS($D$2:D112,D112,$E$2:E112,E112,$A$2:A112,A112)=1,1,0)</f>
        <v>0</v>
      </c>
    </row>
    <row r="113" customFormat="false" ht="34.5" hidden="false" customHeight="true" outlineLevel="0" collapsed="false">
      <c r="A113" s="3" t="s">
        <v>251</v>
      </c>
      <c r="B113" s="3" t="s">
        <v>9</v>
      </c>
      <c r="C113" s="3" t="s">
        <v>10</v>
      </c>
      <c r="D113" s="3" t="s">
        <v>11</v>
      </c>
      <c r="E113" s="3" t="s">
        <v>12</v>
      </c>
      <c r="F113" s="4" t="s">
        <v>260</v>
      </c>
      <c r="G113" s="4" t="s">
        <v>261</v>
      </c>
      <c r="H113" s="3" t="n">
        <f aca="false">IF(COUNTIFS($D$2:D113,D113,$E$2:E113,E113,$A$2:A113,A113)=1,1,0)</f>
        <v>0</v>
      </c>
    </row>
    <row r="114" customFormat="false" ht="23.25" hidden="false" customHeight="true" outlineLevel="0" collapsed="false">
      <c r="A114" s="3" t="s">
        <v>251</v>
      </c>
      <c r="B114" s="3" t="s">
        <v>9</v>
      </c>
      <c r="C114" s="3" t="s">
        <v>10</v>
      </c>
      <c r="D114" s="3" t="s">
        <v>11</v>
      </c>
      <c r="E114" s="3" t="s">
        <v>12</v>
      </c>
      <c r="F114" s="4" t="s">
        <v>262</v>
      </c>
      <c r="G114" s="4" t="s">
        <v>263</v>
      </c>
      <c r="H114" s="3" t="n">
        <f aca="false">IF(COUNTIFS($D$2:D114,D114,$E$2:E114,E114,$A$2:A114,A114)=1,1,0)</f>
        <v>0</v>
      </c>
    </row>
    <row r="115" customFormat="false" ht="45.75" hidden="false" customHeight="true" outlineLevel="0" collapsed="false">
      <c r="A115" s="3" t="s">
        <v>251</v>
      </c>
      <c r="B115" s="3" t="s">
        <v>9</v>
      </c>
      <c r="C115" s="3" t="s">
        <v>10</v>
      </c>
      <c r="D115" s="3" t="s">
        <v>11</v>
      </c>
      <c r="E115" s="3" t="s">
        <v>12</v>
      </c>
      <c r="F115" s="4" t="s">
        <v>264</v>
      </c>
      <c r="G115" s="4" t="s">
        <v>265</v>
      </c>
      <c r="H115" s="3" t="n">
        <f aca="false">IF(COUNTIFS($D$2:D115,D115,$E$2:E115,E115,$A$2:A115,A115)=1,1,0)</f>
        <v>0</v>
      </c>
    </row>
    <row r="116" customFormat="false" ht="45.75" hidden="false" customHeight="true" outlineLevel="0" collapsed="false">
      <c r="A116" s="3" t="s">
        <v>251</v>
      </c>
      <c r="B116" s="3" t="s">
        <v>9</v>
      </c>
      <c r="C116" s="3" t="s">
        <v>10</v>
      </c>
      <c r="D116" s="3" t="s">
        <v>19</v>
      </c>
      <c r="E116" s="3" t="s">
        <v>12</v>
      </c>
      <c r="F116" s="4" t="s">
        <v>266</v>
      </c>
      <c r="G116" s="4" t="s">
        <v>267</v>
      </c>
      <c r="H116" s="3" t="n">
        <f aca="false">IF(COUNTIFS($D$2:D116,D116,$E$2:E116,E116,$A$2:A116,A116)=1,1,0)</f>
        <v>0</v>
      </c>
    </row>
    <row r="117" customFormat="false" ht="23.25" hidden="false" customHeight="true" outlineLevel="0" collapsed="false">
      <c r="A117" s="3" t="s">
        <v>8</v>
      </c>
      <c r="B117" s="3" t="s">
        <v>9</v>
      </c>
      <c r="C117" s="3" t="s">
        <v>268</v>
      </c>
      <c r="D117" s="3" t="s">
        <v>87</v>
      </c>
      <c r="E117" s="3" t="s">
        <v>24</v>
      </c>
      <c r="F117" s="4" t="s">
        <v>269</v>
      </c>
      <c r="G117" s="4" t="s">
        <v>270</v>
      </c>
      <c r="H117" s="3" t="n">
        <f aca="false">IF(COUNTIFS($D$2:D117,D117,$E$2:E117,E117,$A$2:A117,A117)=1,1,0)</f>
        <v>1</v>
      </c>
    </row>
    <row r="118" customFormat="false" ht="45.75" hidden="false" customHeight="true" outlineLevel="0" collapsed="false">
      <c r="A118" s="3" t="s">
        <v>8</v>
      </c>
      <c r="B118" s="3" t="s">
        <v>9</v>
      </c>
      <c r="C118" s="3" t="s">
        <v>268</v>
      </c>
      <c r="D118" s="3" t="s">
        <v>87</v>
      </c>
      <c r="E118" s="3" t="s">
        <v>24</v>
      </c>
      <c r="F118" s="4" t="s">
        <v>271</v>
      </c>
      <c r="G118" s="4" t="s">
        <v>272</v>
      </c>
      <c r="H118" s="3" t="n">
        <f aca="false">IF(COUNTIFS($D$2:D118,D118,$E$2:E118,E118,$A$2:A118,A118)=1,1,0)</f>
        <v>0</v>
      </c>
    </row>
    <row r="119" customFormat="false" ht="23.25" hidden="false" customHeight="true" outlineLevel="0" collapsed="false">
      <c r="A119" s="3" t="s">
        <v>8</v>
      </c>
      <c r="B119" s="3" t="s">
        <v>9</v>
      </c>
      <c r="C119" s="3" t="s">
        <v>268</v>
      </c>
      <c r="D119" s="3" t="s">
        <v>87</v>
      </c>
      <c r="E119" s="3" t="s">
        <v>24</v>
      </c>
      <c r="F119" s="4" t="s">
        <v>273</v>
      </c>
      <c r="G119" s="4" t="s">
        <v>274</v>
      </c>
      <c r="H119" s="3" t="n">
        <f aca="false">IF(COUNTIFS($D$2:D119,D119,$E$2:E119,E119,$A$2:A119,A119)=1,1,0)</f>
        <v>0</v>
      </c>
    </row>
    <row r="120" customFormat="false" ht="23.25" hidden="false" customHeight="true" outlineLevel="0" collapsed="false">
      <c r="A120" s="3" t="s">
        <v>32</v>
      </c>
      <c r="B120" s="3" t="s">
        <v>9</v>
      </c>
      <c r="C120" s="3" t="s">
        <v>268</v>
      </c>
      <c r="D120" s="3" t="s">
        <v>87</v>
      </c>
      <c r="E120" s="3" t="s">
        <v>24</v>
      </c>
      <c r="F120" s="4" t="s">
        <v>275</v>
      </c>
      <c r="G120" s="4" t="s">
        <v>276</v>
      </c>
      <c r="H120" s="3" t="n">
        <f aca="false">IF(COUNTIFS($D$2:D120,D120,$E$2:E120,E120,$A$2:A120,A120)=1,1,0)</f>
        <v>1</v>
      </c>
    </row>
    <row r="121" customFormat="false" ht="34.5" hidden="false" customHeight="true" outlineLevel="0" collapsed="false">
      <c r="A121" s="3" t="s">
        <v>32</v>
      </c>
      <c r="B121" s="3" t="s">
        <v>9</v>
      </c>
      <c r="C121" s="3" t="s">
        <v>268</v>
      </c>
      <c r="D121" s="3" t="s">
        <v>87</v>
      </c>
      <c r="E121" s="3" t="s">
        <v>24</v>
      </c>
      <c r="F121" s="4" t="s">
        <v>277</v>
      </c>
      <c r="G121" s="4" t="s">
        <v>278</v>
      </c>
      <c r="H121" s="3" t="n">
        <f aca="false">IF(COUNTIFS($D$2:D121,D121,$E$2:E121,E121,$A$2:A121,A121)=1,1,0)</f>
        <v>0</v>
      </c>
    </row>
    <row r="122" customFormat="false" ht="34.5" hidden="false" customHeight="true" outlineLevel="0" collapsed="false">
      <c r="A122" s="3" t="s">
        <v>32</v>
      </c>
      <c r="B122" s="3" t="s">
        <v>9</v>
      </c>
      <c r="C122" s="3" t="s">
        <v>268</v>
      </c>
      <c r="D122" s="3" t="s">
        <v>87</v>
      </c>
      <c r="E122" s="3" t="s">
        <v>24</v>
      </c>
      <c r="F122" s="4" t="s">
        <v>279</v>
      </c>
      <c r="G122" s="4" t="s">
        <v>280</v>
      </c>
      <c r="H122" s="3" t="n">
        <f aca="false">IF(COUNTIFS($D$2:D122,D122,$E$2:E122,E122,$A$2:A122,A122)=1,1,0)</f>
        <v>0</v>
      </c>
    </row>
    <row r="123" customFormat="false" ht="23.25" hidden="false" customHeight="true" outlineLevel="0" collapsed="false">
      <c r="A123" s="3" t="s">
        <v>32</v>
      </c>
      <c r="B123" s="3" t="s">
        <v>9</v>
      </c>
      <c r="C123" s="3" t="s">
        <v>268</v>
      </c>
      <c r="D123" s="3" t="s">
        <v>87</v>
      </c>
      <c r="E123" s="3" t="s">
        <v>24</v>
      </c>
      <c r="F123" s="4" t="s">
        <v>281</v>
      </c>
      <c r="G123" s="4" t="s">
        <v>282</v>
      </c>
      <c r="H123" s="3" t="n">
        <f aca="false">IF(COUNTIFS($D$2:D123,D123,$E$2:E123,E123,$A$2:A123,A123)=1,1,0)</f>
        <v>0</v>
      </c>
    </row>
    <row r="124" customFormat="false" ht="23.25" hidden="false" customHeight="true" outlineLevel="0" collapsed="false">
      <c r="A124" s="3" t="s">
        <v>32</v>
      </c>
      <c r="B124" s="3" t="s">
        <v>9</v>
      </c>
      <c r="C124" s="3" t="s">
        <v>268</v>
      </c>
      <c r="D124" s="3" t="s">
        <v>87</v>
      </c>
      <c r="E124" s="3" t="s">
        <v>24</v>
      </c>
      <c r="F124" s="4" t="s">
        <v>283</v>
      </c>
      <c r="G124" s="4" t="s">
        <v>284</v>
      </c>
      <c r="H124" s="3" t="n">
        <f aca="false">IF(COUNTIFS($D$2:D124,D124,$E$2:E124,E124,$A$2:A124,A124)=1,1,0)</f>
        <v>0</v>
      </c>
    </row>
    <row r="125" customFormat="false" ht="57" hidden="false" customHeight="true" outlineLevel="0" collapsed="false">
      <c r="A125" s="3" t="s">
        <v>32</v>
      </c>
      <c r="B125" s="3" t="s">
        <v>9</v>
      </c>
      <c r="C125" s="3" t="s">
        <v>268</v>
      </c>
      <c r="D125" s="3" t="s">
        <v>87</v>
      </c>
      <c r="E125" s="3" t="s">
        <v>12</v>
      </c>
      <c r="F125" s="4" t="s">
        <v>285</v>
      </c>
      <c r="G125" s="4" t="s">
        <v>286</v>
      </c>
      <c r="H125" s="3" t="n">
        <f aca="false">IF(COUNTIFS($D$2:D125,D125,$E$2:E125,E125,$A$2:A125,A125)=1,1,0)</f>
        <v>1</v>
      </c>
    </row>
    <row r="126" customFormat="false" ht="34.5" hidden="false" customHeight="true" outlineLevel="0" collapsed="false">
      <c r="A126" s="3" t="s">
        <v>54</v>
      </c>
      <c r="B126" s="3" t="s">
        <v>9</v>
      </c>
      <c r="C126" s="3" t="s">
        <v>268</v>
      </c>
      <c r="D126" s="3" t="s">
        <v>87</v>
      </c>
      <c r="E126" s="3" t="s">
        <v>24</v>
      </c>
      <c r="F126" s="4" t="s">
        <v>287</v>
      </c>
      <c r="G126" s="4" t="s">
        <v>288</v>
      </c>
      <c r="H126" s="3" t="n">
        <f aca="false">IF(COUNTIFS($D$2:D126,D126,$E$2:E126,E126,$A$2:A126,A126)=1,1,0)</f>
        <v>1</v>
      </c>
    </row>
    <row r="127" customFormat="false" ht="34.5" hidden="false" customHeight="true" outlineLevel="0" collapsed="false">
      <c r="A127" s="3" t="s">
        <v>54</v>
      </c>
      <c r="B127" s="3" t="s">
        <v>9</v>
      </c>
      <c r="C127" s="3" t="s">
        <v>268</v>
      </c>
      <c r="D127" s="3" t="s">
        <v>87</v>
      </c>
      <c r="E127" s="3" t="s">
        <v>24</v>
      </c>
      <c r="F127" s="4" t="s">
        <v>289</v>
      </c>
      <c r="G127" s="4" t="s">
        <v>290</v>
      </c>
      <c r="H127" s="3" t="n">
        <f aca="false">IF(COUNTIFS($D$2:D127,D127,$E$2:E127,E127,$A$2:A127,A127)=1,1,0)</f>
        <v>0</v>
      </c>
    </row>
    <row r="128" customFormat="false" ht="57" hidden="false" customHeight="true" outlineLevel="0" collapsed="false">
      <c r="A128" s="3" t="s">
        <v>54</v>
      </c>
      <c r="B128" s="3" t="s">
        <v>9</v>
      </c>
      <c r="C128" s="3" t="s">
        <v>268</v>
      </c>
      <c r="D128" s="3" t="s">
        <v>87</v>
      </c>
      <c r="E128" s="3" t="s">
        <v>12</v>
      </c>
      <c r="F128" s="4" t="s">
        <v>291</v>
      </c>
      <c r="G128" s="4" t="s">
        <v>292</v>
      </c>
      <c r="H128" s="3" t="n">
        <f aca="false">IF(COUNTIFS($D$2:D128,D128,$E$2:E128,E128,$A$2:A128,A128)=1,1,0)</f>
        <v>1</v>
      </c>
    </row>
    <row r="129" customFormat="false" ht="68.25" hidden="false" customHeight="true" outlineLevel="0" collapsed="false">
      <c r="A129" s="3" t="s">
        <v>54</v>
      </c>
      <c r="B129" s="3" t="s">
        <v>9</v>
      </c>
      <c r="C129" s="3" t="s">
        <v>268</v>
      </c>
      <c r="D129" s="3" t="s">
        <v>87</v>
      </c>
      <c r="E129" s="3" t="s">
        <v>24</v>
      </c>
      <c r="F129" s="4" t="s">
        <v>293</v>
      </c>
      <c r="G129" s="4" t="s">
        <v>294</v>
      </c>
      <c r="H129" s="3" t="n">
        <f aca="false">IF(COUNTIFS($D$2:D129,D129,$E$2:E129,E129,$A$2:A129,A129)=1,1,0)</f>
        <v>0</v>
      </c>
    </row>
    <row r="130" customFormat="false" ht="34.5" hidden="false" customHeight="true" outlineLevel="0" collapsed="false">
      <c r="A130" s="3" t="s">
        <v>72</v>
      </c>
      <c r="B130" s="3" t="s">
        <v>9</v>
      </c>
      <c r="C130" s="3" t="s">
        <v>268</v>
      </c>
      <c r="D130" s="3" t="s">
        <v>87</v>
      </c>
      <c r="E130" s="3" t="s">
        <v>12</v>
      </c>
      <c r="F130" s="4" t="s">
        <v>295</v>
      </c>
      <c r="G130" s="4" t="s">
        <v>296</v>
      </c>
      <c r="H130" s="3" t="n">
        <f aca="false">IF(COUNTIFS($D$2:D130,D130,$E$2:E130,E130,$A$2:A130,A130)=1,1,0)</f>
        <v>1</v>
      </c>
    </row>
    <row r="131" customFormat="false" ht="34.5" hidden="false" customHeight="true" outlineLevel="0" collapsed="false">
      <c r="A131" s="3" t="s">
        <v>72</v>
      </c>
      <c r="B131" s="3" t="s">
        <v>9</v>
      </c>
      <c r="C131" s="3" t="s">
        <v>268</v>
      </c>
      <c r="D131" s="3" t="s">
        <v>87</v>
      </c>
      <c r="E131" s="3" t="s">
        <v>12</v>
      </c>
      <c r="F131" s="4" t="s">
        <v>297</v>
      </c>
      <c r="G131" s="4" t="s">
        <v>298</v>
      </c>
      <c r="H131" s="3" t="n">
        <f aca="false">IF(COUNTIFS($D$2:D131,D131,$E$2:E131,E131,$A$2:A131,A131)=1,1,0)</f>
        <v>0</v>
      </c>
    </row>
    <row r="132" customFormat="false" ht="34.5" hidden="false" customHeight="true" outlineLevel="0" collapsed="false">
      <c r="A132" s="3" t="s">
        <v>72</v>
      </c>
      <c r="B132" s="3" t="s">
        <v>9</v>
      </c>
      <c r="C132" s="3" t="s">
        <v>268</v>
      </c>
      <c r="D132" s="3" t="s">
        <v>87</v>
      </c>
      <c r="E132" s="3" t="s">
        <v>24</v>
      </c>
      <c r="F132" s="4" t="s">
        <v>299</v>
      </c>
      <c r="G132" s="4" t="s">
        <v>300</v>
      </c>
      <c r="H132" s="3" t="n">
        <f aca="false">IF(COUNTIFS($D$2:D132,D132,$E$2:E132,E132,$A$2:A132,A132)=1,1,0)</f>
        <v>0</v>
      </c>
    </row>
    <row r="133" customFormat="false" ht="45.75" hidden="false" customHeight="true" outlineLevel="0" collapsed="false">
      <c r="A133" s="3" t="s">
        <v>72</v>
      </c>
      <c r="B133" s="3" t="s">
        <v>9</v>
      </c>
      <c r="C133" s="3" t="s">
        <v>268</v>
      </c>
      <c r="D133" s="3" t="s">
        <v>87</v>
      </c>
      <c r="E133" s="3" t="s">
        <v>24</v>
      </c>
      <c r="F133" s="4" t="s">
        <v>301</v>
      </c>
      <c r="G133" s="4" t="s">
        <v>302</v>
      </c>
      <c r="H133" s="3" t="n">
        <f aca="false">IF(COUNTIFS($D$2:D133,D133,$E$2:E133,E133,$A$2:A133,A133)=1,1,0)</f>
        <v>0</v>
      </c>
    </row>
    <row r="134" customFormat="false" ht="34.5" hidden="false" customHeight="true" outlineLevel="0" collapsed="false">
      <c r="A134" s="3" t="s">
        <v>72</v>
      </c>
      <c r="B134" s="3" t="s">
        <v>9</v>
      </c>
      <c r="C134" s="3" t="s">
        <v>268</v>
      </c>
      <c r="D134" s="3" t="s">
        <v>87</v>
      </c>
      <c r="E134" s="3" t="s">
        <v>24</v>
      </c>
      <c r="F134" s="4" t="s">
        <v>303</v>
      </c>
      <c r="G134" s="4" t="s">
        <v>304</v>
      </c>
      <c r="H134" s="3" t="n">
        <f aca="false">IF(COUNTIFS($D$2:D134,D134,$E$2:E134,E134,$A$2:A134,A134)=1,1,0)</f>
        <v>0</v>
      </c>
    </row>
    <row r="135" customFormat="false" ht="45.75" hidden="false" customHeight="true" outlineLevel="0" collapsed="false">
      <c r="A135" s="3" t="s">
        <v>72</v>
      </c>
      <c r="B135" s="3" t="s">
        <v>9</v>
      </c>
      <c r="C135" s="3" t="s">
        <v>268</v>
      </c>
      <c r="D135" s="3" t="s">
        <v>87</v>
      </c>
      <c r="E135" s="3" t="s">
        <v>12</v>
      </c>
      <c r="F135" s="4" t="s">
        <v>305</v>
      </c>
      <c r="G135" s="4" t="s">
        <v>306</v>
      </c>
      <c r="H135" s="3" t="n">
        <f aca="false">IF(COUNTIFS($D$2:D135,D135,$E$2:E135,E135,$A$2:A135,A135)=1,1,0)</f>
        <v>0</v>
      </c>
    </row>
    <row r="136" customFormat="false" ht="57" hidden="false" customHeight="true" outlineLevel="0" collapsed="false">
      <c r="A136" s="3" t="s">
        <v>72</v>
      </c>
      <c r="B136" s="3" t="s">
        <v>9</v>
      </c>
      <c r="C136" s="3" t="s">
        <v>268</v>
      </c>
      <c r="D136" s="3" t="s">
        <v>87</v>
      </c>
      <c r="E136" s="3" t="s">
        <v>24</v>
      </c>
      <c r="F136" s="4" t="s">
        <v>307</v>
      </c>
      <c r="G136" s="4" t="s">
        <v>308</v>
      </c>
      <c r="H136" s="3" t="n">
        <f aca="false">IF(COUNTIFS($D$2:D136,D136,$E$2:E136,E136,$A$2:A136,A136)=1,1,0)</f>
        <v>0</v>
      </c>
    </row>
    <row r="137" customFormat="false" ht="45.75" hidden="false" customHeight="true" outlineLevel="0" collapsed="false">
      <c r="A137" s="3" t="s">
        <v>72</v>
      </c>
      <c r="B137" s="3" t="s">
        <v>9</v>
      </c>
      <c r="C137" s="3" t="s">
        <v>268</v>
      </c>
      <c r="D137" s="3" t="s">
        <v>87</v>
      </c>
      <c r="E137" s="3" t="s">
        <v>12</v>
      </c>
      <c r="F137" s="4" t="s">
        <v>309</v>
      </c>
      <c r="G137" s="4" t="s">
        <v>310</v>
      </c>
      <c r="H137" s="3" t="n">
        <f aca="false">IF(COUNTIFS($D$2:D137,D137,$E$2:E137,E137,$A$2:A137,A137)=1,1,0)</f>
        <v>0</v>
      </c>
    </row>
    <row r="138" customFormat="false" ht="34.5" hidden="false" customHeight="true" outlineLevel="0" collapsed="false">
      <c r="A138" s="3" t="s">
        <v>72</v>
      </c>
      <c r="B138" s="3" t="s">
        <v>9</v>
      </c>
      <c r="C138" s="3" t="s">
        <v>268</v>
      </c>
      <c r="D138" s="3" t="s">
        <v>87</v>
      </c>
      <c r="E138" s="3" t="s">
        <v>24</v>
      </c>
      <c r="F138" s="4" t="s">
        <v>311</v>
      </c>
      <c r="G138" s="4" t="s">
        <v>312</v>
      </c>
      <c r="H138" s="3" t="n">
        <f aca="false">IF(COUNTIFS($D$2:D138,D138,$E$2:E138,E138,$A$2:A138,A138)=1,1,0)</f>
        <v>0</v>
      </c>
    </row>
    <row r="139" customFormat="false" ht="34.5" hidden="false" customHeight="true" outlineLevel="0" collapsed="false">
      <c r="A139" s="3" t="s">
        <v>72</v>
      </c>
      <c r="B139" s="3" t="s">
        <v>9</v>
      </c>
      <c r="C139" s="3" t="s">
        <v>268</v>
      </c>
      <c r="D139" s="3" t="s">
        <v>87</v>
      </c>
      <c r="E139" s="3" t="s">
        <v>24</v>
      </c>
      <c r="F139" s="4" t="s">
        <v>313</v>
      </c>
      <c r="G139" s="4" t="s">
        <v>314</v>
      </c>
      <c r="H139" s="3" t="n">
        <f aca="false">IF(COUNTIFS($D$2:D139,D139,$E$2:E139,E139,$A$2:A139,A139)=1,1,0)</f>
        <v>0</v>
      </c>
    </row>
    <row r="140" customFormat="false" ht="34.5" hidden="false" customHeight="true" outlineLevel="0" collapsed="false">
      <c r="A140" s="3" t="s">
        <v>99</v>
      </c>
      <c r="B140" s="3" t="s">
        <v>9</v>
      </c>
      <c r="C140" s="3" t="s">
        <v>268</v>
      </c>
      <c r="D140" s="3" t="s">
        <v>87</v>
      </c>
      <c r="E140" s="3" t="s">
        <v>12</v>
      </c>
      <c r="F140" s="4" t="s">
        <v>315</v>
      </c>
      <c r="G140" s="4" t="s">
        <v>316</v>
      </c>
      <c r="H140" s="3" t="n">
        <f aca="false">IF(COUNTIFS($D$2:D140,D140,$E$2:E140,E140,$A$2:A140,A140)=1,1,0)</f>
        <v>1</v>
      </c>
    </row>
    <row r="141" customFormat="false" ht="34.5" hidden="false" customHeight="true" outlineLevel="0" collapsed="false">
      <c r="A141" s="3" t="s">
        <v>99</v>
      </c>
      <c r="B141" s="3" t="s">
        <v>9</v>
      </c>
      <c r="C141" s="3" t="s">
        <v>268</v>
      </c>
      <c r="D141" s="3" t="s">
        <v>87</v>
      </c>
      <c r="E141" s="3" t="s">
        <v>12</v>
      </c>
      <c r="F141" s="4" t="s">
        <v>317</v>
      </c>
      <c r="G141" s="4" t="s">
        <v>318</v>
      </c>
      <c r="H141" s="3" t="n">
        <f aca="false">IF(COUNTIFS($D$2:D141,D141,$E$2:E141,E141,$A$2:A141,A141)=1,1,0)</f>
        <v>0</v>
      </c>
    </row>
    <row r="142" customFormat="false" ht="34.5" hidden="false" customHeight="true" outlineLevel="0" collapsed="false">
      <c r="A142" s="3" t="s">
        <v>99</v>
      </c>
      <c r="B142" s="3" t="s">
        <v>9</v>
      </c>
      <c r="C142" s="3" t="s">
        <v>268</v>
      </c>
      <c r="D142" s="3" t="s">
        <v>87</v>
      </c>
      <c r="E142" s="3" t="s">
        <v>24</v>
      </c>
      <c r="F142" s="4" t="s">
        <v>319</v>
      </c>
      <c r="G142" s="4" t="s">
        <v>320</v>
      </c>
      <c r="H142" s="3" t="n">
        <f aca="false">IF(COUNTIFS($D$2:D142,D142,$E$2:E142,E142,$A$2:A142,A142)=1,1,0)</f>
        <v>1</v>
      </c>
    </row>
    <row r="143" customFormat="false" ht="45.75" hidden="false" customHeight="true" outlineLevel="0" collapsed="false">
      <c r="A143" s="3" t="s">
        <v>99</v>
      </c>
      <c r="B143" s="3" t="s">
        <v>9</v>
      </c>
      <c r="C143" s="3" t="s">
        <v>268</v>
      </c>
      <c r="D143" s="3" t="s">
        <v>87</v>
      </c>
      <c r="E143" s="3" t="s">
        <v>12</v>
      </c>
      <c r="F143" s="4" t="s">
        <v>321</v>
      </c>
      <c r="G143" s="4" t="s">
        <v>322</v>
      </c>
      <c r="H143" s="3" t="n">
        <f aca="false">IF(COUNTIFS($D$2:D143,D143,$E$2:E143,E143,$A$2:A143,A143)=1,1,0)</f>
        <v>0</v>
      </c>
    </row>
    <row r="144" customFormat="false" ht="34.5" hidden="false" customHeight="true" outlineLevel="0" collapsed="false">
      <c r="A144" s="3" t="s">
        <v>99</v>
      </c>
      <c r="B144" s="3" t="s">
        <v>9</v>
      </c>
      <c r="C144" s="3" t="s">
        <v>268</v>
      </c>
      <c r="D144" s="3" t="s">
        <v>87</v>
      </c>
      <c r="E144" s="3" t="s">
        <v>24</v>
      </c>
      <c r="F144" s="4" t="s">
        <v>323</v>
      </c>
      <c r="G144" s="4" t="s">
        <v>324</v>
      </c>
      <c r="H144" s="3" t="n">
        <f aca="false">IF(COUNTIFS($D$2:D144,D144,$E$2:E144,E144,$A$2:A144,A144)=1,1,0)</f>
        <v>0</v>
      </c>
    </row>
    <row r="145" customFormat="false" ht="57" hidden="false" customHeight="true" outlineLevel="0" collapsed="false">
      <c r="A145" s="3" t="s">
        <v>120</v>
      </c>
      <c r="B145" s="3" t="s">
        <v>9</v>
      </c>
      <c r="C145" s="3" t="s">
        <v>268</v>
      </c>
      <c r="D145" s="3" t="s">
        <v>87</v>
      </c>
      <c r="E145" s="3" t="s">
        <v>24</v>
      </c>
      <c r="F145" s="4" t="s">
        <v>325</v>
      </c>
      <c r="G145" s="4" t="s">
        <v>326</v>
      </c>
      <c r="H145" s="3" t="n">
        <f aca="false">IF(COUNTIFS($D$2:D145,D145,$E$2:E145,E145,$A$2:A145,A145)=1,1,0)</f>
        <v>0</v>
      </c>
    </row>
    <row r="146" customFormat="false" ht="34.5" hidden="false" customHeight="true" outlineLevel="0" collapsed="false">
      <c r="A146" s="3" t="s">
        <v>120</v>
      </c>
      <c r="B146" s="3" t="s">
        <v>9</v>
      </c>
      <c r="C146" s="3" t="s">
        <v>268</v>
      </c>
      <c r="D146" s="3" t="s">
        <v>87</v>
      </c>
      <c r="E146" s="3" t="s">
        <v>24</v>
      </c>
      <c r="F146" s="4" t="s">
        <v>327</v>
      </c>
      <c r="G146" s="4" t="s">
        <v>328</v>
      </c>
      <c r="H146" s="3" t="n">
        <f aca="false">IF(COUNTIFS($D$2:D146,D146,$E$2:E146,E146,$A$2:A146,A146)=1,1,0)</f>
        <v>0</v>
      </c>
    </row>
    <row r="147" customFormat="false" ht="45.75" hidden="false" customHeight="true" outlineLevel="0" collapsed="false">
      <c r="A147" s="3" t="s">
        <v>120</v>
      </c>
      <c r="B147" s="3" t="s">
        <v>9</v>
      </c>
      <c r="C147" s="3" t="s">
        <v>268</v>
      </c>
      <c r="D147" s="3" t="s">
        <v>87</v>
      </c>
      <c r="E147" s="3" t="s">
        <v>12</v>
      </c>
      <c r="F147" s="4" t="s">
        <v>329</v>
      </c>
      <c r="G147" s="4" t="s">
        <v>330</v>
      </c>
      <c r="H147" s="3" t="n">
        <f aca="false">IF(COUNTIFS($D$2:D147,D147,$E$2:E147,E147,$A$2:A147,A147)=1,1,0)</f>
        <v>1</v>
      </c>
    </row>
    <row r="148" customFormat="false" ht="45.75" hidden="false" customHeight="true" outlineLevel="0" collapsed="false">
      <c r="A148" s="3" t="s">
        <v>120</v>
      </c>
      <c r="B148" s="3" t="s">
        <v>9</v>
      </c>
      <c r="C148" s="3" t="s">
        <v>268</v>
      </c>
      <c r="D148" s="3" t="s">
        <v>87</v>
      </c>
      <c r="E148" s="3" t="s">
        <v>12</v>
      </c>
      <c r="F148" s="4" t="s">
        <v>331</v>
      </c>
      <c r="G148" s="4" t="s">
        <v>332</v>
      </c>
      <c r="H148" s="3" t="n">
        <f aca="false">IF(COUNTIFS($D$2:D148,D148,$E$2:E148,E148,$A$2:A148,A148)=1,1,0)</f>
        <v>0</v>
      </c>
    </row>
    <row r="149" customFormat="false" ht="34.5" hidden="false" customHeight="true" outlineLevel="0" collapsed="false">
      <c r="A149" s="3" t="s">
        <v>120</v>
      </c>
      <c r="B149" s="3" t="s">
        <v>9</v>
      </c>
      <c r="C149" s="3" t="s">
        <v>268</v>
      </c>
      <c r="D149" s="3" t="s">
        <v>87</v>
      </c>
      <c r="E149" s="3" t="s">
        <v>24</v>
      </c>
      <c r="F149" s="4" t="s">
        <v>333</v>
      </c>
      <c r="G149" s="4" t="s">
        <v>334</v>
      </c>
      <c r="H149" s="3" t="n">
        <f aca="false">IF(COUNTIFS($D$2:D149,D149,$E$2:E149,E149,$A$2:A149,A149)=1,1,0)</f>
        <v>0</v>
      </c>
    </row>
    <row r="150" customFormat="false" ht="45.75" hidden="false" customHeight="true" outlineLevel="0" collapsed="false">
      <c r="A150" s="3" t="s">
        <v>120</v>
      </c>
      <c r="B150" s="3" t="s">
        <v>9</v>
      </c>
      <c r="C150" s="3" t="s">
        <v>268</v>
      </c>
      <c r="D150" s="3" t="s">
        <v>87</v>
      </c>
      <c r="E150" s="3" t="s">
        <v>12</v>
      </c>
      <c r="F150" s="4" t="s">
        <v>335</v>
      </c>
      <c r="G150" s="4" t="s">
        <v>336</v>
      </c>
      <c r="H150" s="3" t="n">
        <f aca="false">IF(COUNTIFS($D$2:D150,D150,$E$2:E150,E150,$A$2:A150,A150)=1,1,0)</f>
        <v>0</v>
      </c>
    </row>
    <row r="151" customFormat="false" ht="45.75" hidden="false" customHeight="true" outlineLevel="0" collapsed="false">
      <c r="A151" s="3" t="s">
        <v>143</v>
      </c>
      <c r="B151" s="3" t="s">
        <v>9</v>
      </c>
      <c r="C151" s="3" t="s">
        <v>268</v>
      </c>
      <c r="D151" s="3" t="s">
        <v>87</v>
      </c>
      <c r="E151" s="3" t="s">
        <v>24</v>
      </c>
      <c r="F151" s="4" t="s">
        <v>337</v>
      </c>
      <c r="G151" s="4" t="s">
        <v>338</v>
      </c>
      <c r="H151" s="3" t="n">
        <f aca="false">IF(COUNTIFS($D$2:D151,D151,$E$2:E151,E151,$A$2:A151,A151)=1,1,0)</f>
        <v>1</v>
      </c>
    </row>
    <row r="152" customFormat="false" ht="34.5" hidden="false" customHeight="true" outlineLevel="0" collapsed="false">
      <c r="A152" s="3" t="s">
        <v>143</v>
      </c>
      <c r="B152" s="3" t="s">
        <v>9</v>
      </c>
      <c r="C152" s="3" t="s">
        <v>268</v>
      </c>
      <c r="D152" s="3" t="s">
        <v>87</v>
      </c>
      <c r="E152" s="3" t="s">
        <v>24</v>
      </c>
      <c r="F152" s="4" t="s">
        <v>339</v>
      </c>
      <c r="G152" s="4" t="s">
        <v>340</v>
      </c>
      <c r="H152" s="3" t="n">
        <f aca="false">IF(COUNTIFS($D$2:D152,D152,$E$2:E152,E152,$A$2:A152,A152)=1,1,0)</f>
        <v>0</v>
      </c>
    </row>
    <row r="153" customFormat="false" ht="34.5" hidden="false" customHeight="true" outlineLevel="0" collapsed="false">
      <c r="A153" s="3" t="s">
        <v>143</v>
      </c>
      <c r="B153" s="3" t="s">
        <v>9</v>
      </c>
      <c r="C153" s="3" t="s">
        <v>268</v>
      </c>
      <c r="D153" s="3" t="s">
        <v>87</v>
      </c>
      <c r="E153" s="3" t="s">
        <v>24</v>
      </c>
      <c r="F153" s="4" t="s">
        <v>341</v>
      </c>
      <c r="G153" s="4" t="s">
        <v>342</v>
      </c>
      <c r="H153" s="3" t="n">
        <f aca="false">IF(COUNTIFS($D$2:D153,D153,$E$2:E153,E153,$A$2:A153,A153)=1,1,0)</f>
        <v>0</v>
      </c>
    </row>
    <row r="154" customFormat="false" ht="34.5" hidden="false" customHeight="true" outlineLevel="0" collapsed="false">
      <c r="A154" s="3" t="s">
        <v>150</v>
      </c>
      <c r="B154" s="3" t="s">
        <v>9</v>
      </c>
      <c r="C154" s="3" t="s">
        <v>268</v>
      </c>
      <c r="D154" s="3" t="s">
        <v>87</v>
      </c>
      <c r="E154" s="3" t="s">
        <v>24</v>
      </c>
      <c r="F154" s="4" t="s">
        <v>343</v>
      </c>
      <c r="G154" s="4" t="s">
        <v>344</v>
      </c>
      <c r="H154" s="3" t="n">
        <f aca="false">IF(COUNTIFS($D$2:D154,D154,$E$2:E154,E154,$A$2:A154,A154)=1,1,0)</f>
        <v>0</v>
      </c>
    </row>
    <row r="155" customFormat="false" ht="34.5" hidden="false" customHeight="true" outlineLevel="0" collapsed="false">
      <c r="A155" s="3" t="s">
        <v>150</v>
      </c>
      <c r="B155" s="3" t="s">
        <v>9</v>
      </c>
      <c r="C155" s="3" t="s">
        <v>268</v>
      </c>
      <c r="D155" s="3" t="s">
        <v>87</v>
      </c>
      <c r="E155" s="3" t="s">
        <v>24</v>
      </c>
      <c r="F155" s="4" t="s">
        <v>345</v>
      </c>
      <c r="G155" s="4" t="s">
        <v>346</v>
      </c>
      <c r="H155" s="3" t="n">
        <f aca="false">IF(COUNTIFS($D$2:D155,D155,$E$2:E155,E155,$A$2:A155,A155)=1,1,0)</f>
        <v>0</v>
      </c>
    </row>
    <row r="156" customFormat="false" ht="34.5" hidden="false" customHeight="true" outlineLevel="0" collapsed="false">
      <c r="A156" s="3" t="s">
        <v>150</v>
      </c>
      <c r="B156" s="3" t="s">
        <v>9</v>
      </c>
      <c r="C156" s="3" t="s">
        <v>268</v>
      </c>
      <c r="D156" s="3" t="s">
        <v>87</v>
      </c>
      <c r="E156" s="3" t="s">
        <v>12</v>
      </c>
      <c r="F156" s="4" t="s">
        <v>347</v>
      </c>
      <c r="G156" s="4" t="s">
        <v>348</v>
      </c>
      <c r="H156" s="3" t="n">
        <f aca="false">IF(COUNTIFS($D$2:D156,D156,$E$2:E156,E156,$A$2:A156,A156)=1,1,0)</f>
        <v>1</v>
      </c>
    </row>
    <row r="157" customFormat="false" ht="68.25" hidden="false" customHeight="true" outlineLevel="0" collapsed="false">
      <c r="A157" s="3" t="s">
        <v>150</v>
      </c>
      <c r="B157" s="3" t="s">
        <v>9</v>
      </c>
      <c r="C157" s="3" t="s">
        <v>268</v>
      </c>
      <c r="D157" s="3" t="s">
        <v>87</v>
      </c>
      <c r="E157" s="3" t="s">
        <v>59</v>
      </c>
      <c r="F157" s="4" t="s">
        <v>349</v>
      </c>
      <c r="G157" s="4" t="s">
        <v>350</v>
      </c>
      <c r="H157" s="3" t="n">
        <f aca="false">IF(COUNTIFS($D$2:D157,D157,$E$2:E157,E157,$A$2:A157,A157)=1,1,0)</f>
        <v>1</v>
      </c>
    </row>
    <row r="158" customFormat="false" ht="57" hidden="false" customHeight="true" outlineLevel="0" collapsed="false">
      <c r="A158" s="3" t="s">
        <v>150</v>
      </c>
      <c r="B158" s="3" t="s">
        <v>9</v>
      </c>
      <c r="C158" s="3" t="s">
        <v>268</v>
      </c>
      <c r="D158" s="3" t="s">
        <v>87</v>
      </c>
      <c r="E158" s="3" t="s">
        <v>24</v>
      </c>
      <c r="F158" s="4" t="s">
        <v>351</v>
      </c>
      <c r="G158" s="4" t="s">
        <v>352</v>
      </c>
      <c r="H158" s="3" t="n">
        <f aca="false">IF(COUNTIFS($D$2:D158,D158,$E$2:E158,E158,$A$2:A158,A158)=1,1,0)</f>
        <v>0</v>
      </c>
    </row>
    <row r="159" customFormat="false" ht="68.25" hidden="false" customHeight="true" outlineLevel="0" collapsed="false">
      <c r="A159" s="3" t="s">
        <v>150</v>
      </c>
      <c r="B159" s="3" t="s">
        <v>9</v>
      </c>
      <c r="C159" s="3" t="s">
        <v>268</v>
      </c>
      <c r="D159" s="3" t="s">
        <v>87</v>
      </c>
      <c r="E159" s="3" t="s">
        <v>24</v>
      </c>
      <c r="F159" s="4" t="s">
        <v>353</v>
      </c>
      <c r="G159" s="4" t="s">
        <v>354</v>
      </c>
      <c r="H159" s="3" t="n">
        <f aca="false">IF(COUNTIFS($D$2:D159,D159,$E$2:E159,E159,$A$2:A159,A159)=1,1,0)</f>
        <v>0</v>
      </c>
    </row>
    <row r="160" customFormat="false" ht="45.75" hidden="false" customHeight="true" outlineLevel="0" collapsed="false">
      <c r="A160" s="3" t="s">
        <v>171</v>
      </c>
      <c r="B160" s="3" t="s">
        <v>9</v>
      </c>
      <c r="C160" s="3" t="s">
        <v>268</v>
      </c>
      <c r="D160" s="3" t="s">
        <v>87</v>
      </c>
      <c r="E160" s="3" t="s">
        <v>12</v>
      </c>
      <c r="F160" s="4" t="s">
        <v>355</v>
      </c>
      <c r="G160" s="4" t="s">
        <v>356</v>
      </c>
      <c r="H160" s="3" t="n">
        <f aca="false">IF(COUNTIFS($D$2:D160,D160,$E$2:E160,E160,$A$2:A160,A160)=1,1,0)</f>
        <v>1</v>
      </c>
    </row>
    <row r="161" customFormat="false" ht="23.25" hidden="false" customHeight="true" outlineLevel="0" collapsed="false">
      <c r="A161" s="3" t="s">
        <v>171</v>
      </c>
      <c r="B161" s="3" t="s">
        <v>9</v>
      </c>
      <c r="C161" s="3" t="s">
        <v>268</v>
      </c>
      <c r="D161" s="3" t="s">
        <v>27</v>
      </c>
      <c r="E161" s="3" t="s">
        <v>12</v>
      </c>
      <c r="F161" s="4" t="s">
        <v>357</v>
      </c>
      <c r="G161" s="4" t="s">
        <v>358</v>
      </c>
      <c r="H161" s="3" t="n">
        <f aca="false">IF(COUNTIFS($D$2:D161,D161,$E$2:E161,E161,$A$2:A161,A161)=1,1,0)</f>
        <v>1</v>
      </c>
    </row>
    <row r="162" customFormat="false" ht="34.5" hidden="false" customHeight="true" outlineLevel="0" collapsed="false">
      <c r="A162" s="3" t="s">
        <v>171</v>
      </c>
      <c r="B162" s="3" t="s">
        <v>9</v>
      </c>
      <c r="C162" s="3" t="s">
        <v>268</v>
      </c>
      <c r="D162" s="3" t="s">
        <v>87</v>
      </c>
      <c r="E162" s="3" t="s">
        <v>24</v>
      </c>
      <c r="F162" s="4" t="s">
        <v>359</v>
      </c>
      <c r="G162" s="4" t="s">
        <v>360</v>
      </c>
      <c r="H162" s="3" t="n">
        <f aca="false">IF(COUNTIFS($D$2:D162,D162,$E$2:E162,E162,$A$2:A162,A162)=1,1,0)</f>
        <v>0</v>
      </c>
    </row>
    <row r="163" customFormat="false" ht="45.75" hidden="false" customHeight="true" outlineLevel="0" collapsed="false">
      <c r="A163" s="3" t="s">
        <v>171</v>
      </c>
      <c r="B163" s="3" t="s">
        <v>9</v>
      </c>
      <c r="C163" s="3" t="s">
        <v>268</v>
      </c>
      <c r="D163" s="3" t="s">
        <v>87</v>
      </c>
      <c r="E163" s="3" t="s">
        <v>24</v>
      </c>
      <c r="F163" s="4" t="s">
        <v>361</v>
      </c>
      <c r="G163" s="4" t="s">
        <v>362</v>
      </c>
      <c r="H163" s="3" t="n">
        <f aca="false">IF(COUNTIFS($D$2:D163,D163,$E$2:E163,E163,$A$2:A163,A163)=1,1,0)</f>
        <v>0</v>
      </c>
    </row>
    <row r="164" customFormat="false" ht="23.25" hidden="false" customHeight="true" outlineLevel="0" collapsed="false">
      <c r="A164" s="3" t="s">
        <v>171</v>
      </c>
      <c r="B164" s="3" t="s">
        <v>9</v>
      </c>
      <c r="C164" s="3" t="s">
        <v>268</v>
      </c>
      <c r="D164" s="3" t="s">
        <v>87</v>
      </c>
      <c r="E164" s="3" t="s">
        <v>24</v>
      </c>
      <c r="F164" s="4" t="s">
        <v>363</v>
      </c>
      <c r="G164" s="4" t="s">
        <v>364</v>
      </c>
      <c r="H164" s="3" t="n">
        <f aca="false">IF(COUNTIFS($D$2:D164,D164,$E$2:E164,E164,$A$2:A164,A164)=1,1,0)</f>
        <v>0</v>
      </c>
    </row>
    <row r="165" customFormat="false" ht="57" hidden="false" customHeight="true" outlineLevel="0" collapsed="false">
      <c r="A165" s="3" t="s">
        <v>186</v>
      </c>
      <c r="B165" s="3" t="s">
        <v>9</v>
      </c>
      <c r="C165" s="3" t="s">
        <v>268</v>
      </c>
      <c r="D165" s="3" t="s">
        <v>87</v>
      </c>
      <c r="E165" s="3" t="s">
        <v>12</v>
      </c>
      <c r="F165" s="4" t="s">
        <v>365</v>
      </c>
      <c r="G165" s="4" t="s">
        <v>366</v>
      </c>
      <c r="H165" s="3" t="n">
        <f aca="false">IF(COUNTIFS($D$2:D165,D165,$E$2:E165,E165,$A$2:A165,A165)=1,1,0)</f>
        <v>1</v>
      </c>
    </row>
    <row r="166" customFormat="false" ht="45.75" hidden="false" customHeight="true" outlineLevel="0" collapsed="false">
      <c r="A166" s="3" t="s">
        <v>186</v>
      </c>
      <c r="B166" s="3" t="s">
        <v>9</v>
      </c>
      <c r="C166" s="3" t="s">
        <v>268</v>
      </c>
      <c r="D166" s="3" t="s">
        <v>19</v>
      </c>
      <c r="E166" s="3" t="s">
        <v>12</v>
      </c>
      <c r="F166" s="4" t="s">
        <v>367</v>
      </c>
      <c r="G166" s="4" t="s">
        <v>368</v>
      </c>
      <c r="H166" s="3" t="n">
        <f aca="false">IF(COUNTIFS($D$2:D166,D166,$E$2:E166,E166,$A$2:A166,A166)=1,1,0)</f>
        <v>0</v>
      </c>
    </row>
    <row r="167" customFormat="false" ht="34.5" hidden="false" customHeight="true" outlineLevel="0" collapsed="false">
      <c r="A167" s="3" t="s">
        <v>186</v>
      </c>
      <c r="B167" s="3" t="s">
        <v>9</v>
      </c>
      <c r="C167" s="3" t="s">
        <v>268</v>
      </c>
      <c r="D167" s="3" t="s">
        <v>19</v>
      </c>
      <c r="E167" s="3" t="s">
        <v>12</v>
      </c>
      <c r="F167" s="4" t="s">
        <v>369</v>
      </c>
      <c r="G167" s="4" t="s">
        <v>370</v>
      </c>
      <c r="H167" s="3" t="n">
        <f aca="false">IF(COUNTIFS($D$2:D167,D167,$E$2:E167,E167,$A$2:A167,A167)=1,1,0)</f>
        <v>0</v>
      </c>
    </row>
    <row r="168" customFormat="false" ht="45.75" hidden="false" customHeight="true" outlineLevel="0" collapsed="false">
      <c r="A168" s="3" t="s">
        <v>186</v>
      </c>
      <c r="B168" s="3" t="s">
        <v>9</v>
      </c>
      <c r="C168" s="3" t="s">
        <v>268</v>
      </c>
      <c r="D168" s="3" t="s">
        <v>87</v>
      </c>
      <c r="E168" s="3" t="s">
        <v>12</v>
      </c>
      <c r="F168" s="4" t="s">
        <v>371</v>
      </c>
      <c r="G168" s="4" t="s">
        <v>372</v>
      </c>
      <c r="H168" s="3" t="n">
        <f aca="false">IF(COUNTIFS($D$2:D168,D168,$E$2:E168,E168,$A$2:A168,A168)=1,1,0)</f>
        <v>0</v>
      </c>
    </row>
    <row r="169" customFormat="false" ht="57" hidden="false" customHeight="true" outlineLevel="0" collapsed="false">
      <c r="A169" s="3" t="s">
        <v>186</v>
      </c>
      <c r="B169" s="3" t="s">
        <v>9</v>
      </c>
      <c r="C169" s="3" t="s">
        <v>268</v>
      </c>
      <c r="D169" s="3" t="s">
        <v>87</v>
      </c>
      <c r="E169" s="3" t="s">
        <v>24</v>
      </c>
      <c r="F169" s="4" t="s">
        <v>373</v>
      </c>
      <c r="G169" s="4" t="s">
        <v>374</v>
      </c>
      <c r="H169" s="3" t="n">
        <f aca="false">IF(COUNTIFS($D$2:D169,D169,$E$2:E169,E169,$A$2:A169,A169)=1,1,0)</f>
        <v>1</v>
      </c>
    </row>
    <row r="170" customFormat="false" ht="45.75" hidden="false" customHeight="true" outlineLevel="0" collapsed="false">
      <c r="A170" s="3" t="s">
        <v>207</v>
      </c>
      <c r="B170" s="3" t="s">
        <v>9</v>
      </c>
      <c r="C170" s="3" t="s">
        <v>268</v>
      </c>
      <c r="D170" s="3" t="s">
        <v>87</v>
      </c>
      <c r="E170" s="3" t="s">
        <v>24</v>
      </c>
      <c r="F170" s="4" t="s">
        <v>375</v>
      </c>
      <c r="G170" s="4" t="s">
        <v>376</v>
      </c>
      <c r="H170" s="3" t="n">
        <f aca="false">IF(COUNTIFS($D$2:D170,D170,$E$2:E170,E170,$A$2:A170,A170)=1,1,0)</f>
        <v>0</v>
      </c>
    </row>
    <row r="171" customFormat="false" ht="57" hidden="false" customHeight="true" outlineLevel="0" collapsed="false">
      <c r="A171" s="3" t="s">
        <v>207</v>
      </c>
      <c r="B171" s="3" t="s">
        <v>9</v>
      </c>
      <c r="C171" s="3" t="s">
        <v>268</v>
      </c>
      <c r="D171" s="3" t="s">
        <v>87</v>
      </c>
      <c r="E171" s="3" t="s">
        <v>24</v>
      </c>
      <c r="F171" s="4" t="s">
        <v>377</v>
      </c>
      <c r="G171" s="4" t="s">
        <v>378</v>
      </c>
      <c r="H171" s="3" t="n">
        <f aca="false">IF(COUNTIFS($D$2:D171,D171,$E$2:E171,E171,$A$2:A171,A171)=1,1,0)</f>
        <v>0</v>
      </c>
    </row>
    <row r="172" customFormat="false" ht="34.5" hidden="false" customHeight="true" outlineLevel="0" collapsed="false">
      <c r="A172" s="3" t="s">
        <v>207</v>
      </c>
      <c r="B172" s="3" t="s">
        <v>9</v>
      </c>
      <c r="C172" s="3" t="s">
        <v>268</v>
      </c>
      <c r="D172" s="3" t="s">
        <v>87</v>
      </c>
      <c r="E172" s="3" t="s">
        <v>12</v>
      </c>
      <c r="F172" s="4" t="s">
        <v>379</v>
      </c>
      <c r="G172" s="4" t="s">
        <v>380</v>
      </c>
      <c r="H172" s="3" t="n">
        <f aca="false">IF(COUNTIFS($D$2:D172,D172,$E$2:E172,E172,$A$2:A172,A172)=1,1,0)</f>
        <v>0</v>
      </c>
    </row>
    <row r="173" customFormat="false" ht="57" hidden="false" customHeight="true" outlineLevel="0" collapsed="false">
      <c r="A173" s="3" t="s">
        <v>207</v>
      </c>
      <c r="B173" s="3" t="s">
        <v>9</v>
      </c>
      <c r="C173" s="3" t="s">
        <v>268</v>
      </c>
      <c r="D173" s="3" t="s">
        <v>87</v>
      </c>
      <c r="E173" s="3" t="s">
        <v>12</v>
      </c>
      <c r="F173" s="4" t="s">
        <v>381</v>
      </c>
      <c r="G173" s="4" t="s">
        <v>382</v>
      </c>
      <c r="H173" s="3" t="n">
        <f aca="false">IF(COUNTIFS($D$2:D173,D173,$E$2:E173,E173,$A$2:A173,A173)=1,1,0)</f>
        <v>0</v>
      </c>
    </row>
    <row r="174" customFormat="false" ht="45.75" hidden="false" customHeight="true" outlineLevel="0" collapsed="false">
      <c r="A174" s="3" t="s">
        <v>207</v>
      </c>
      <c r="B174" s="3" t="s">
        <v>9</v>
      </c>
      <c r="C174" s="3" t="s">
        <v>268</v>
      </c>
      <c r="D174" s="3" t="s">
        <v>87</v>
      </c>
      <c r="E174" s="3" t="s">
        <v>24</v>
      </c>
      <c r="F174" s="4" t="s">
        <v>383</v>
      </c>
      <c r="G174" s="4" t="s">
        <v>384</v>
      </c>
      <c r="H174" s="3" t="n">
        <f aca="false">IF(COUNTIFS($D$2:D174,D174,$E$2:E174,E174,$A$2:A174,A174)=1,1,0)</f>
        <v>0</v>
      </c>
    </row>
    <row r="175" customFormat="false" ht="23.25" hidden="false" customHeight="true" outlineLevel="0" collapsed="false">
      <c r="A175" s="3" t="s">
        <v>227</v>
      </c>
      <c r="B175" s="3" t="s">
        <v>9</v>
      </c>
      <c r="C175" s="3" t="s">
        <v>268</v>
      </c>
      <c r="D175" s="3" t="s">
        <v>19</v>
      </c>
      <c r="E175" s="3" t="s">
        <v>12</v>
      </c>
      <c r="F175" s="4" t="s">
        <v>385</v>
      </c>
      <c r="G175" s="4"/>
      <c r="H175" s="3" t="n">
        <f aca="false">IF(COUNTIFS($D$2:D175,D175,$E$2:E175,E175,$A$2:A175,A175)=1,1,0)</f>
        <v>0</v>
      </c>
    </row>
    <row r="176" customFormat="false" ht="34.5" hidden="false" customHeight="true" outlineLevel="0" collapsed="false">
      <c r="A176" s="3" t="s">
        <v>227</v>
      </c>
      <c r="B176" s="3" t="s">
        <v>9</v>
      </c>
      <c r="C176" s="3" t="s">
        <v>268</v>
      </c>
      <c r="D176" s="3" t="s">
        <v>87</v>
      </c>
      <c r="E176" s="3" t="s">
        <v>12</v>
      </c>
      <c r="F176" s="4" t="s">
        <v>386</v>
      </c>
      <c r="G176" s="4" t="s">
        <v>387</v>
      </c>
      <c r="H176" s="3" t="n">
        <f aca="false">IF(COUNTIFS($D$2:D176,D176,$E$2:E176,E176,$A$2:A176,A176)=1,1,0)</f>
        <v>0</v>
      </c>
    </row>
    <row r="177" customFormat="false" ht="45.75" hidden="false" customHeight="true" outlineLevel="0" collapsed="false">
      <c r="A177" s="3" t="s">
        <v>227</v>
      </c>
      <c r="B177" s="3" t="s">
        <v>9</v>
      </c>
      <c r="C177" s="3" t="s">
        <v>268</v>
      </c>
      <c r="D177" s="3" t="s">
        <v>87</v>
      </c>
      <c r="E177" s="3" t="s">
        <v>24</v>
      </c>
      <c r="F177" s="4" t="s">
        <v>388</v>
      </c>
      <c r="G177" s="4" t="s">
        <v>389</v>
      </c>
      <c r="H177" s="3" t="n">
        <f aca="false">IF(COUNTIFS($D$2:D177,D177,$E$2:E177,E177,$A$2:A177,A177)=1,1,0)</f>
        <v>0</v>
      </c>
    </row>
    <row r="178" customFormat="false" ht="45.75" hidden="false" customHeight="true" outlineLevel="0" collapsed="false">
      <c r="A178" s="3" t="s">
        <v>227</v>
      </c>
      <c r="B178" s="3" t="s">
        <v>9</v>
      </c>
      <c r="C178" s="3" t="s">
        <v>268</v>
      </c>
      <c r="D178" s="3" t="s">
        <v>87</v>
      </c>
      <c r="E178" s="3" t="s">
        <v>24</v>
      </c>
      <c r="F178" s="4" t="s">
        <v>390</v>
      </c>
      <c r="G178" s="4" t="s">
        <v>391</v>
      </c>
      <c r="H178" s="3" t="n">
        <f aca="false">IF(COUNTIFS($D$2:D178,D178,$E$2:E178,E178,$A$2:A178,A178)=1,1,0)</f>
        <v>0</v>
      </c>
    </row>
    <row r="179" customFormat="false" ht="34.5" hidden="false" customHeight="true" outlineLevel="0" collapsed="false">
      <c r="A179" s="3" t="s">
        <v>227</v>
      </c>
      <c r="B179" s="3" t="s">
        <v>9</v>
      </c>
      <c r="C179" s="3" t="s">
        <v>268</v>
      </c>
      <c r="D179" s="3" t="s">
        <v>87</v>
      </c>
      <c r="E179" s="3" t="s">
        <v>24</v>
      </c>
      <c r="F179" s="4" t="s">
        <v>392</v>
      </c>
      <c r="G179" s="4" t="s">
        <v>393</v>
      </c>
      <c r="H179" s="3" t="n">
        <f aca="false">IF(COUNTIFS($D$2:D179,D179,$E$2:E179,E179,$A$2:A179,A179)=1,1,0)</f>
        <v>0</v>
      </c>
    </row>
    <row r="180" customFormat="false" ht="45.75" hidden="false" customHeight="true" outlineLevel="0" collapsed="false">
      <c r="A180" s="3" t="s">
        <v>227</v>
      </c>
      <c r="B180" s="3" t="s">
        <v>9</v>
      </c>
      <c r="C180" s="3" t="s">
        <v>268</v>
      </c>
      <c r="D180" s="3" t="s">
        <v>87</v>
      </c>
      <c r="E180" s="3" t="s">
        <v>12</v>
      </c>
      <c r="F180" s="4" t="s">
        <v>394</v>
      </c>
      <c r="G180" s="4" t="s">
        <v>395</v>
      </c>
      <c r="H180" s="3" t="n">
        <f aca="false">IF(COUNTIFS($D$2:D180,D180,$E$2:E180,E180,$A$2:A180,A180)=1,1,0)</f>
        <v>0</v>
      </c>
    </row>
    <row r="181" customFormat="false" ht="68.25" hidden="false" customHeight="true" outlineLevel="0" collapsed="false">
      <c r="A181" s="3" t="s">
        <v>251</v>
      </c>
      <c r="B181" s="3" t="s">
        <v>9</v>
      </c>
      <c r="C181" s="3" t="s">
        <v>268</v>
      </c>
      <c r="D181" s="3" t="s">
        <v>87</v>
      </c>
      <c r="E181" s="3" t="s">
        <v>12</v>
      </c>
      <c r="F181" s="4" t="s">
        <v>396</v>
      </c>
      <c r="G181" s="4" t="s">
        <v>397</v>
      </c>
      <c r="H181" s="3" t="n">
        <f aca="false">IF(COUNTIFS($D$2:D181,D181,$E$2:E181,E181,$A$2:A181,A181)=1,1,0)</f>
        <v>1</v>
      </c>
    </row>
    <row r="182" customFormat="false" ht="57" hidden="false" customHeight="true" outlineLevel="0" collapsed="false">
      <c r="A182" s="3" t="s">
        <v>251</v>
      </c>
      <c r="B182" s="3" t="s">
        <v>9</v>
      </c>
      <c r="C182" s="3" t="s">
        <v>268</v>
      </c>
      <c r="D182" s="3" t="s">
        <v>11</v>
      </c>
      <c r="E182" s="3" t="s">
        <v>12</v>
      </c>
      <c r="F182" s="4" t="s">
        <v>398</v>
      </c>
      <c r="G182" s="4" t="s">
        <v>399</v>
      </c>
      <c r="H182" s="3" t="n">
        <f aca="false">IF(COUNTIFS($D$2:D182,D182,$E$2:E182,E182,$A$2:A182,A182)=1,1,0)</f>
        <v>0</v>
      </c>
    </row>
    <row r="183" customFormat="false" ht="34.5" hidden="false" customHeight="true" outlineLevel="0" collapsed="false">
      <c r="A183" s="3" t="s">
        <v>251</v>
      </c>
      <c r="B183" s="3" t="s">
        <v>9</v>
      </c>
      <c r="C183" s="3" t="s">
        <v>268</v>
      </c>
      <c r="D183" s="3" t="s">
        <v>27</v>
      </c>
      <c r="E183" s="3" t="s">
        <v>12</v>
      </c>
      <c r="F183" s="4" t="s">
        <v>400</v>
      </c>
      <c r="G183" s="4" t="s">
        <v>401</v>
      </c>
      <c r="H183" s="3" t="n">
        <f aca="false">IF(COUNTIFS($D$2:D183,D183,$E$2:E183,E183,$A$2:A183,A183)=1,1,0)</f>
        <v>1</v>
      </c>
    </row>
    <row r="184" customFormat="false" ht="68.25" hidden="false" customHeight="true" outlineLevel="0" collapsed="false">
      <c r="A184" s="3" t="s">
        <v>251</v>
      </c>
      <c r="B184" s="3" t="s">
        <v>9</v>
      </c>
      <c r="C184" s="3" t="s">
        <v>268</v>
      </c>
      <c r="D184" s="3" t="s">
        <v>87</v>
      </c>
      <c r="E184" s="3" t="s">
        <v>24</v>
      </c>
      <c r="F184" s="4" t="s">
        <v>402</v>
      </c>
      <c r="G184" s="4" t="s">
        <v>403</v>
      </c>
      <c r="H184" s="3" t="n">
        <f aca="false">IF(COUNTIFS($D$2:D184,D184,$E$2:E184,E184,$A$2:A184,A184)=1,1,0)</f>
        <v>1</v>
      </c>
    </row>
    <row r="185" customFormat="false" ht="57" hidden="false" customHeight="true" outlineLevel="0" collapsed="false">
      <c r="A185" s="3" t="s">
        <v>251</v>
      </c>
      <c r="B185" s="3" t="s">
        <v>9</v>
      </c>
      <c r="C185" s="3" t="s">
        <v>268</v>
      </c>
      <c r="D185" s="3" t="s">
        <v>87</v>
      </c>
      <c r="E185" s="3" t="s">
        <v>12</v>
      </c>
      <c r="F185" s="4" t="s">
        <v>404</v>
      </c>
      <c r="G185" s="4" t="s">
        <v>405</v>
      </c>
      <c r="H185" s="3" t="n">
        <f aca="false">IF(COUNTIFS($D$2:D185,D185,$E$2:E185,E185,$A$2:A185,A185)=1,1,0)</f>
        <v>0</v>
      </c>
    </row>
    <row r="186" customFormat="false" ht="57" hidden="false" customHeight="true" outlineLevel="0" collapsed="false">
      <c r="A186" s="3" t="s">
        <v>251</v>
      </c>
      <c r="B186" s="3" t="s">
        <v>9</v>
      </c>
      <c r="C186" s="3" t="s">
        <v>268</v>
      </c>
      <c r="D186" s="3" t="s">
        <v>87</v>
      </c>
      <c r="E186" s="3" t="s">
        <v>24</v>
      </c>
      <c r="F186" s="4" t="s">
        <v>406</v>
      </c>
      <c r="G186" s="4" t="s">
        <v>407</v>
      </c>
      <c r="H186" s="3" t="n">
        <f aca="false">IF(COUNTIFS($D$2:D186,D186,$E$2:E186,E186,$A$2:A186,A186)=1,1,0)</f>
        <v>0</v>
      </c>
    </row>
    <row r="187" customFormat="false" ht="34.5" hidden="false" customHeight="true" outlineLevel="0" collapsed="false">
      <c r="A187" s="3" t="s">
        <v>251</v>
      </c>
      <c r="B187" s="3" t="s">
        <v>9</v>
      </c>
      <c r="C187" s="3" t="s">
        <v>268</v>
      </c>
      <c r="D187" s="3" t="s">
        <v>87</v>
      </c>
      <c r="E187" s="3" t="s">
        <v>12</v>
      </c>
      <c r="F187" s="4" t="s">
        <v>408</v>
      </c>
      <c r="G187" s="4" t="s">
        <v>409</v>
      </c>
      <c r="H187" s="3" t="n">
        <f aca="false">IF(COUNTIFS($D$2:D187,D187,$E$2:E187,E187,$A$2:A187,A187)=1,1,0)</f>
        <v>0</v>
      </c>
    </row>
    <row r="188" customFormat="false" ht="45.75" hidden="false" customHeight="true" outlineLevel="0" collapsed="false">
      <c r="A188" s="3" t="s">
        <v>8</v>
      </c>
      <c r="B188" s="3" t="s">
        <v>9</v>
      </c>
      <c r="C188" s="3" t="s">
        <v>410</v>
      </c>
      <c r="D188" s="3" t="s">
        <v>168</v>
      </c>
      <c r="E188" s="3" t="s">
        <v>12</v>
      </c>
      <c r="F188" s="4" t="s">
        <v>411</v>
      </c>
      <c r="G188" s="4" t="s">
        <v>412</v>
      </c>
      <c r="H188" s="3" t="n">
        <f aca="false">IF(COUNTIFS($D$2:D188,D188,$E$2:E188,E188,$A$2:A188,A188)=1,1,0)</f>
        <v>1</v>
      </c>
    </row>
    <row r="189" customFormat="false" ht="45.75" hidden="false" customHeight="true" outlineLevel="0" collapsed="false">
      <c r="A189" s="3" t="s">
        <v>8</v>
      </c>
      <c r="B189" s="3" t="s">
        <v>9</v>
      </c>
      <c r="C189" s="3" t="s">
        <v>410</v>
      </c>
      <c r="D189" s="3" t="s">
        <v>413</v>
      </c>
      <c r="E189" s="3" t="s">
        <v>24</v>
      </c>
      <c r="F189" s="4" t="s">
        <v>414</v>
      </c>
      <c r="G189" s="4" t="s">
        <v>415</v>
      </c>
      <c r="H189" s="3" t="n">
        <f aca="false">IF(COUNTIFS($D$2:D189,D189,$E$2:E189,E189,$A$2:A189,A189)=1,1,0)</f>
        <v>1</v>
      </c>
    </row>
    <row r="190" customFormat="false" ht="34.5" hidden="false" customHeight="true" outlineLevel="0" collapsed="false">
      <c r="A190" s="3" t="s">
        <v>8</v>
      </c>
      <c r="B190" s="3" t="s">
        <v>9</v>
      </c>
      <c r="C190" s="3" t="s">
        <v>410</v>
      </c>
      <c r="D190" s="3" t="s">
        <v>416</v>
      </c>
      <c r="E190" s="3" t="s">
        <v>12</v>
      </c>
      <c r="F190" s="4" t="s">
        <v>417</v>
      </c>
      <c r="G190" s="4" t="s">
        <v>418</v>
      </c>
      <c r="H190" s="3" t="n">
        <f aca="false">IF(COUNTIFS($D$2:D190,D190,$E$2:E190,E190,$A$2:A190,A190)=1,1,0)</f>
        <v>1</v>
      </c>
    </row>
    <row r="191" customFormat="false" ht="23.25" hidden="false" customHeight="true" outlineLevel="0" collapsed="false">
      <c r="A191" s="3" t="s">
        <v>8</v>
      </c>
      <c r="B191" s="3" t="s">
        <v>9</v>
      </c>
      <c r="C191" s="3" t="s">
        <v>410</v>
      </c>
      <c r="D191" s="3" t="s">
        <v>168</v>
      </c>
      <c r="E191" s="3" t="s">
        <v>12</v>
      </c>
      <c r="F191" s="4" t="s">
        <v>419</v>
      </c>
      <c r="G191" s="4" t="s">
        <v>420</v>
      </c>
      <c r="H191" s="3" t="n">
        <f aca="false">IF(COUNTIFS($D$2:D191,D191,$E$2:E191,E191,$A$2:A191,A191)=1,1,0)</f>
        <v>0</v>
      </c>
    </row>
    <row r="192" customFormat="false" ht="34.5" hidden="false" customHeight="true" outlineLevel="0" collapsed="false">
      <c r="A192" s="3" t="s">
        <v>32</v>
      </c>
      <c r="B192" s="3" t="s">
        <v>9</v>
      </c>
      <c r="C192" s="3" t="s">
        <v>410</v>
      </c>
      <c r="D192" s="3" t="s">
        <v>168</v>
      </c>
      <c r="E192" s="3" t="s">
        <v>24</v>
      </c>
      <c r="F192" s="4" t="s">
        <v>421</v>
      </c>
      <c r="G192" s="4" t="s">
        <v>422</v>
      </c>
      <c r="H192" s="3" t="n">
        <f aca="false">IF(COUNTIFS($D$2:D192,D192,$E$2:E192,E192,$A$2:A192,A192)=1,1,0)</f>
        <v>1</v>
      </c>
    </row>
    <row r="193" customFormat="false" ht="45.75" hidden="false" customHeight="true" outlineLevel="0" collapsed="false">
      <c r="A193" s="3" t="s">
        <v>32</v>
      </c>
      <c r="B193" s="3" t="s">
        <v>9</v>
      </c>
      <c r="C193" s="3" t="s">
        <v>410</v>
      </c>
      <c r="D193" s="3" t="s">
        <v>168</v>
      </c>
      <c r="E193" s="3" t="s">
        <v>12</v>
      </c>
      <c r="F193" s="4" t="s">
        <v>423</v>
      </c>
      <c r="G193" s="4" t="s">
        <v>424</v>
      </c>
      <c r="H193" s="3" t="n">
        <f aca="false">IF(COUNTIFS($D$2:D193,D193,$E$2:E193,E193,$A$2:A193,A193)=1,1,0)</f>
        <v>1</v>
      </c>
    </row>
    <row r="194" customFormat="false" ht="57" hidden="false" customHeight="true" outlineLevel="0" collapsed="false">
      <c r="A194" s="3" t="s">
        <v>32</v>
      </c>
      <c r="B194" s="3" t="s">
        <v>9</v>
      </c>
      <c r="C194" s="3" t="s">
        <v>410</v>
      </c>
      <c r="D194" s="3" t="s">
        <v>413</v>
      </c>
      <c r="E194" s="3" t="s">
        <v>96</v>
      </c>
      <c r="F194" s="4" t="s">
        <v>425</v>
      </c>
      <c r="G194" s="4" t="s">
        <v>426</v>
      </c>
      <c r="H194" s="3" t="n">
        <f aca="false">IF(COUNTIFS($D$2:D194,D194,$E$2:E194,E194,$A$2:A194,A194)=1,1,0)</f>
        <v>1</v>
      </c>
    </row>
    <row r="195" customFormat="false" ht="45.75" hidden="false" customHeight="true" outlineLevel="0" collapsed="false">
      <c r="A195" s="3" t="s">
        <v>32</v>
      </c>
      <c r="B195" s="3" t="s">
        <v>9</v>
      </c>
      <c r="C195" s="3" t="s">
        <v>410</v>
      </c>
      <c r="D195" s="3" t="s">
        <v>413</v>
      </c>
      <c r="E195" s="3" t="s">
        <v>96</v>
      </c>
      <c r="F195" s="4" t="s">
        <v>427</v>
      </c>
      <c r="G195" s="4" t="s">
        <v>428</v>
      </c>
      <c r="H195" s="3" t="n">
        <f aca="false">IF(COUNTIFS($D$2:D195,D195,$E$2:E195,E195,$A$2:A195,A195)=1,1,0)</f>
        <v>0</v>
      </c>
    </row>
    <row r="196" customFormat="false" ht="34.5" hidden="false" customHeight="true" outlineLevel="0" collapsed="false">
      <c r="A196" s="3" t="s">
        <v>32</v>
      </c>
      <c r="B196" s="3" t="s">
        <v>9</v>
      </c>
      <c r="C196" s="3" t="s">
        <v>410</v>
      </c>
      <c r="D196" s="3" t="s">
        <v>413</v>
      </c>
      <c r="E196" s="3" t="s">
        <v>96</v>
      </c>
      <c r="F196" s="4" t="s">
        <v>429</v>
      </c>
      <c r="G196" s="4" t="s">
        <v>430</v>
      </c>
      <c r="H196" s="3" t="n">
        <f aca="false">IF(COUNTIFS($D$2:D196,D196,$E$2:E196,E196,$A$2:A196,A196)=1,1,0)</f>
        <v>0</v>
      </c>
    </row>
    <row r="197" customFormat="false" ht="45.75" hidden="false" customHeight="true" outlineLevel="0" collapsed="false">
      <c r="A197" s="3" t="s">
        <v>32</v>
      </c>
      <c r="B197" s="3" t="s">
        <v>9</v>
      </c>
      <c r="C197" s="3" t="s">
        <v>410</v>
      </c>
      <c r="D197" s="3" t="s">
        <v>431</v>
      </c>
      <c r="E197" s="3" t="s">
        <v>12</v>
      </c>
      <c r="F197" s="4" t="s">
        <v>432</v>
      </c>
      <c r="G197" s="4" t="s">
        <v>433</v>
      </c>
      <c r="H197" s="3" t="n">
        <f aca="false">IF(COUNTIFS($D$2:D197,D197,$E$2:E197,E197,$A$2:A197,A197)=1,1,0)</f>
        <v>1</v>
      </c>
    </row>
    <row r="198" customFormat="false" ht="45.75" hidden="false" customHeight="true" outlineLevel="0" collapsed="false">
      <c r="A198" s="3" t="s">
        <v>54</v>
      </c>
      <c r="B198" s="3" t="s">
        <v>9</v>
      </c>
      <c r="C198" s="3" t="s">
        <v>410</v>
      </c>
      <c r="D198" s="3" t="s">
        <v>168</v>
      </c>
      <c r="E198" s="3" t="s">
        <v>12</v>
      </c>
      <c r="F198" s="4" t="s">
        <v>434</v>
      </c>
      <c r="G198" s="4" t="s">
        <v>435</v>
      </c>
      <c r="H198" s="3" t="n">
        <f aca="false">IF(COUNTIFS($D$2:D198,D198,$E$2:E198,E198,$A$2:A198,A198)=1,1,0)</f>
        <v>1</v>
      </c>
    </row>
    <row r="199" customFormat="false" ht="34.5" hidden="false" customHeight="true" outlineLevel="0" collapsed="false">
      <c r="A199" s="3" t="s">
        <v>54</v>
      </c>
      <c r="B199" s="3" t="s">
        <v>9</v>
      </c>
      <c r="C199" s="3" t="s">
        <v>410</v>
      </c>
      <c r="D199" s="3" t="s">
        <v>168</v>
      </c>
      <c r="E199" s="3" t="s">
        <v>12</v>
      </c>
      <c r="F199" s="4" t="s">
        <v>436</v>
      </c>
      <c r="G199" s="4" t="s">
        <v>437</v>
      </c>
      <c r="H199" s="3" t="n">
        <f aca="false">IF(COUNTIFS($D$2:D199,D199,$E$2:E199,E199,$A$2:A199,A199)=1,1,0)</f>
        <v>0</v>
      </c>
    </row>
    <row r="200" customFormat="false" ht="45.75" hidden="false" customHeight="true" outlineLevel="0" collapsed="false">
      <c r="A200" s="3" t="s">
        <v>54</v>
      </c>
      <c r="B200" s="3" t="s">
        <v>9</v>
      </c>
      <c r="C200" s="3" t="s">
        <v>410</v>
      </c>
      <c r="D200" s="3" t="s">
        <v>168</v>
      </c>
      <c r="E200" s="3" t="s">
        <v>12</v>
      </c>
      <c r="F200" s="4" t="s">
        <v>438</v>
      </c>
      <c r="G200" s="4" t="s">
        <v>439</v>
      </c>
      <c r="H200" s="3" t="n">
        <f aca="false">IF(COUNTIFS($D$2:D200,D200,$E$2:E200,E200,$A$2:A200,A200)=1,1,0)</f>
        <v>0</v>
      </c>
    </row>
    <row r="201" customFormat="false" ht="45.75" hidden="false" customHeight="true" outlineLevel="0" collapsed="false">
      <c r="A201" s="3" t="s">
        <v>54</v>
      </c>
      <c r="B201" s="3" t="s">
        <v>9</v>
      </c>
      <c r="C201" s="3" t="s">
        <v>410</v>
      </c>
      <c r="D201" s="3" t="s">
        <v>134</v>
      </c>
      <c r="E201" s="3" t="s">
        <v>12</v>
      </c>
      <c r="F201" s="4" t="s">
        <v>440</v>
      </c>
      <c r="G201" s="4" t="s">
        <v>441</v>
      </c>
      <c r="H201" s="3" t="n">
        <f aca="false">IF(COUNTIFS($D$2:D201,D201,$E$2:E201,E201,$A$2:A201,A201)=1,1,0)</f>
        <v>1</v>
      </c>
    </row>
    <row r="202" customFormat="false" ht="23.25" hidden="false" customHeight="true" outlineLevel="0" collapsed="false">
      <c r="A202" s="3" t="s">
        <v>72</v>
      </c>
      <c r="B202" s="3" t="s">
        <v>9</v>
      </c>
      <c r="C202" s="3" t="s">
        <v>410</v>
      </c>
      <c r="D202" s="3" t="s">
        <v>168</v>
      </c>
      <c r="E202" s="3" t="s">
        <v>12</v>
      </c>
      <c r="F202" s="4" t="s">
        <v>442</v>
      </c>
      <c r="G202" s="4" t="s">
        <v>443</v>
      </c>
      <c r="H202" s="3" t="n">
        <f aca="false">IF(COUNTIFS($D$2:D202,D202,$E$2:E202,E202,$A$2:A202,A202)=1,1,0)</f>
        <v>1</v>
      </c>
    </row>
    <row r="203" customFormat="false" ht="45.75" hidden="false" customHeight="true" outlineLevel="0" collapsed="false">
      <c r="A203" s="3" t="s">
        <v>72</v>
      </c>
      <c r="B203" s="3" t="s">
        <v>9</v>
      </c>
      <c r="C203" s="3" t="s">
        <v>410</v>
      </c>
      <c r="D203" s="3" t="s">
        <v>444</v>
      </c>
      <c r="E203" s="3" t="s">
        <v>12</v>
      </c>
      <c r="F203" s="4" t="s">
        <v>445</v>
      </c>
      <c r="G203" s="4" t="s">
        <v>446</v>
      </c>
      <c r="H203" s="3" t="n">
        <f aca="false">IF(COUNTIFS($D$2:D203,D203,$E$2:E203,E203,$A$2:A203,A203)=1,1,0)</f>
        <v>1</v>
      </c>
    </row>
    <row r="204" customFormat="false" ht="23.25" hidden="false" customHeight="true" outlineLevel="0" collapsed="false">
      <c r="A204" s="3" t="s">
        <v>72</v>
      </c>
      <c r="B204" s="3" t="s">
        <v>9</v>
      </c>
      <c r="C204" s="3" t="s">
        <v>410</v>
      </c>
      <c r="D204" s="3" t="s">
        <v>444</v>
      </c>
      <c r="E204" s="3" t="s">
        <v>12</v>
      </c>
      <c r="F204" s="4" t="s">
        <v>447</v>
      </c>
      <c r="G204" s="4" t="s">
        <v>448</v>
      </c>
      <c r="H204" s="3" t="n">
        <f aca="false">IF(COUNTIFS($D$2:D204,D204,$E$2:E204,E204,$A$2:A204,A204)=1,1,0)</f>
        <v>0</v>
      </c>
    </row>
    <row r="205" customFormat="false" ht="57" hidden="false" customHeight="true" outlineLevel="0" collapsed="false">
      <c r="A205" s="3" t="s">
        <v>72</v>
      </c>
      <c r="B205" s="3" t="s">
        <v>9</v>
      </c>
      <c r="C205" s="3" t="s">
        <v>410</v>
      </c>
      <c r="D205" s="3" t="s">
        <v>444</v>
      </c>
      <c r="E205" s="3" t="s">
        <v>12</v>
      </c>
      <c r="F205" s="4" t="s">
        <v>449</v>
      </c>
      <c r="G205" s="4" t="s">
        <v>450</v>
      </c>
      <c r="H205" s="3" t="n">
        <f aca="false">IF(COUNTIFS($D$2:D205,D205,$E$2:E205,E205,$A$2:A205,A205)=1,1,0)</f>
        <v>0</v>
      </c>
    </row>
    <row r="206" customFormat="false" ht="45.75" hidden="false" customHeight="true" outlineLevel="0" collapsed="false">
      <c r="A206" s="3" t="s">
        <v>72</v>
      </c>
      <c r="B206" s="3" t="s">
        <v>9</v>
      </c>
      <c r="C206" s="3" t="s">
        <v>410</v>
      </c>
      <c r="D206" s="3" t="s">
        <v>444</v>
      </c>
      <c r="E206" s="3" t="s">
        <v>59</v>
      </c>
      <c r="F206" s="4" t="s">
        <v>451</v>
      </c>
      <c r="G206" s="4" t="s">
        <v>452</v>
      </c>
      <c r="H206" s="3" t="n">
        <f aca="false">IF(COUNTIFS($D$2:D206,D206,$E$2:E206,E206,$A$2:A206,A206)=1,1,0)</f>
        <v>1</v>
      </c>
    </row>
    <row r="207" customFormat="false" ht="34.5" hidden="false" customHeight="true" outlineLevel="0" collapsed="false">
      <c r="A207" s="3" t="s">
        <v>72</v>
      </c>
      <c r="B207" s="3" t="s">
        <v>9</v>
      </c>
      <c r="C207" s="3" t="s">
        <v>410</v>
      </c>
      <c r="D207" s="3" t="s">
        <v>168</v>
      </c>
      <c r="E207" s="3" t="s">
        <v>12</v>
      </c>
      <c r="F207" s="4" t="s">
        <v>453</v>
      </c>
      <c r="G207" s="4" t="s">
        <v>454</v>
      </c>
      <c r="H207" s="3" t="n">
        <f aca="false">IF(COUNTIFS($D$2:D207,D207,$E$2:E207,E207,$A$2:A207,A207)=1,1,0)</f>
        <v>0</v>
      </c>
    </row>
    <row r="208" customFormat="false" ht="45.75" hidden="false" customHeight="true" outlineLevel="0" collapsed="false">
      <c r="A208" s="3" t="s">
        <v>72</v>
      </c>
      <c r="B208" s="3" t="s">
        <v>9</v>
      </c>
      <c r="C208" s="3" t="s">
        <v>410</v>
      </c>
      <c r="D208" s="3" t="s">
        <v>168</v>
      </c>
      <c r="E208" s="3" t="s">
        <v>12</v>
      </c>
      <c r="F208" s="4" t="s">
        <v>455</v>
      </c>
      <c r="G208" s="4" t="s">
        <v>456</v>
      </c>
      <c r="H208" s="3" t="n">
        <f aca="false">IF(COUNTIFS($D$2:D208,D208,$E$2:E208,E208,$A$2:A208,A208)=1,1,0)</f>
        <v>0</v>
      </c>
    </row>
    <row r="209" customFormat="false" ht="34.5" hidden="false" customHeight="true" outlineLevel="0" collapsed="false">
      <c r="A209" s="3" t="s">
        <v>72</v>
      </c>
      <c r="B209" s="3" t="s">
        <v>9</v>
      </c>
      <c r="C209" s="3" t="s">
        <v>410</v>
      </c>
      <c r="D209" s="3" t="s">
        <v>457</v>
      </c>
      <c r="E209" s="3" t="s">
        <v>12</v>
      </c>
      <c r="F209" s="4" t="s">
        <v>458</v>
      </c>
      <c r="G209" s="4" t="s">
        <v>459</v>
      </c>
      <c r="H209" s="3" t="n">
        <f aca="false">IF(COUNTIFS($D$2:D209,D209,$E$2:E209,E209,$A$2:A209,A209)=1,1,0)</f>
        <v>1</v>
      </c>
    </row>
    <row r="210" customFormat="false" ht="68.25" hidden="false" customHeight="true" outlineLevel="0" collapsed="false">
      <c r="A210" s="3" t="s">
        <v>72</v>
      </c>
      <c r="B210" s="3" t="s">
        <v>9</v>
      </c>
      <c r="C210" s="3" t="s">
        <v>410</v>
      </c>
      <c r="D210" s="3" t="s">
        <v>457</v>
      </c>
      <c r="E210" s="3" t="s">
        <v>12</v>
      </c>
      <c r="F210" s="4" t="s">
        <v>460</v>
      </c>
      <c r="G210" s="4" t="s">
        <v>461</v>
      </c>
      <c r="H210" s="3" t="n">
        <f aca="false">IF(COUNTIFS($D$2:D210,D210,$E$2:E210,E210,$A$2:A210,A210)=1,1,0)</f>
        <v>0</v>
      </c>
    </row>
    <row r="211" customFormat="false" ht="34.5" hidden="false" customHeight="true" outlineLevel="0" collapsed="false">
      <c r="A211" s="3" t="s">
        <v>72</v>
      </c>
      <c r="B211" s="3" t="s">
        <v>9</v>
      </c>
      <c r="C211" s="3" t="s">
        <v>410</v>
      </c>
      <c r="D211" s="3" t="s">
        <v>457</v>
      </c>
      <c r="E211" s="3" t="s">
        <v>12</v>
      </c>
      <c r="F211" s="4" t="s">
        <v>462</v>
      </c>
      <c r="G211" s="4" t="s">
        <v>463</v>
      </c>
      <c r="H211" s="3" t="n">
        <f aca="false">IF(COUNTIFS($D$2:D211,D211,$E$2:E211,E211,$A$2:A211,A211)=1,1,0)</f>
        <v>0</v>
      </c>
    </row>
    <row r="212" customFormat="false" ht="45.75" hidden="false" customHeight="true" outlineLevel="0" collapsed="false">
      <c r="A212" s="3" t="s">
        <v>99</v>
      </c>
      <c r="B212" s="3" t="s">
        <v>9</v>
      </c>
      <c r="C212" s="3" t="s">
        <v>410</v>
      </c>
      <c r="D212" s="3" t="s">
        <v>168</v>
      </c>
      <c r="E212" s="3" t="s">
        <v>12</v>
      </c>
      <c r="F212" s="4" t="s">
        <v>464</v>
      </c>
      <c r="G212" s="4" t="s">
        <v>465</v>
      </c>
      <c r="H212" s="3" t="n">
        <f aca="false">IF(COUNTIFS($D$2:D212,D212,$E$2:E212,E212,$A$2:A212,A212)=1,1,0)</f>
        <v>1</v>
      </c>
    </row>
    <row r="213" customFormat="false" ht="57" hidden="false" customHeight="true" outlineLevel="0" collapsed="false">
      <c r="A213" s="3" t="s">
        <v>99</v>
      </c>
      <c r="B213" s="3" t="s">
        <v>9</v>
      </c>
      <c r="C213" s="3" t="s">
        <v>410</v>
      </c>
      <c r="D213" s="3" t="s">
        <v>168</v>
      </c>
      <c r="E213" s="3" t="s">
        <v>12</v>
      </c>
      <c r="F213" s="4" t="s">
        <v>466</v>
      </c>
      <c r="G213" s="4" t="s">
        <v>467</v>
      </c>
      <c r="H213" s="3" t="n">
        <f aca="false">IF(COUNTIFS($D$2:D213,D213,$E$2:E213,E213,$A$2:A213,A213)=1,1,0)</f>
        <v>0</v>
      </c>
    </row>
    <row r="214" customFormat="false" ht="57" hidden="false" customHeight="true" outlineLevel="0" collapsed="false">
      <c r="A214" s="3" t="s">
        <v>99</v>
      </c>
      <c r="B214" s="3" t="s">
        <v>9</v>
      </c>
      <c r="C214" s="3" t="s">
        <v>410</v>
      </c>
      <c r="D214" s="3" t="s">
        <v>112</v>
      </c>
      <c r="E214" s="3" t="s">
        <v>12</v>
      </c>
      <c r="F214" s="4" t="s">
        <v>468</v>
      </c>
      <c r="G214" s="4" t="s">
        <v>469</v>
      </c>
      <c r="H214" s="3" t="n">
        <f aca="false">IF(COUNTIFS($D$2:D214,D214,$E$2:E214,E214,$A$2:A214,A214)=1,1,0)</f>
        <v>0</v>
      </c>
    </row>
    <row r="215" customFormat="false" ht="45.75" hidden="false" customHeight="true" outlineLevel="0" collapsed="false">
      <c r="A215" s="3" t="s">
        <v>99</v>
      </c>
      <c r="B215" s="3" t="s">
        <v>9</v>
      </c>
      <c r="C215" s="3" t="s">
        <v>410</v>
      </c>
      <c r="D215" s="3" t="s">
        <v>470</v>
      </c>
      <c r="E215" s="3" t="s">
        <v>96</v>
      </c>
      <c r="F215" s="4" t="s">
        <v>471</v>
      </c>
      <c r="G215" s="4" t="s">
        <v>472</v>
      </c>
      <c r="H215" s="3" t="n">
        <f aca="false">IF(COUNTIFS($D$2:D215,D215,$E$2:E215,E215,$A$2:A215,A215)=1,1,0)</f>
        <v>1</v>
      </c>
    </row>
    <row r="216" customFormat="false" ht="34.5" hidden="false" customHeight="true" outlineLevel="0" collapsed="false">
      <c r="A216" s="3" t="s">
        <v>99</v>
      </c>
      <c r="B216" s="3" t="s">
        <v>9</v>
      </c>
      <c r="C216" s="3" t="s">
        <v>410</v>
      </c>
      <c r="D216" s="3" t="s">
        <v>473</v>
      </c>
      <c r="E216" s="3" t="s">
        <v>24</v>
      </c>
      <c r="F216" s="4" t="s">
        <v>474</v>
      </c>
      <c r="G216" s="4" t="s">
        <v>475</v>
      </c>
      <c r="H216" s="3" t="n">
        <f aca="false">IF(COUNTIFS($D$2:D216,D216,$E$2:E216,E216,$A$2:A216,A216)=1,1,0)</f>
        <v>1</v>
      </c>
    </row>
    <row r="217" customFormat="false" ht="45.75" hidden="false" customHeight="true" outlineLevel="0" collapsed="false">
      <c r="A217" s="3" t="s">
        <v>120</v>
      </c>
      <c r="B217" s="3" t="s">
        <v>9</v>
      </c>
      <c r="C217" s="3" t="s">
        <v>410</v>
      </c>
      <c r="D217" s="3" t="s">
        <v>168</v>
      </c>
      <c r="E217" s="3" t="s">
        <v>12</v>
      </c>
      <c r="F217" s="4" t="s">
        <v>476</v>
      </c>
      <c r="G217" s="4" t="s">
        <v>477</v>
      </c>
      <c r="H217" s="3" t="n">
        <f aca="false">IF(COUNTIFS($D$2:D217,D217,$E$2:E217,E217,$A$2:A217,A217)=1,1,0)</f>
        <v>1</v>
      </c>
    </row>
    <row r="218" customFormat="false" ht="34.5" hidden="false" customHeight="true" outlineLevel="0" collapsed="false">
      <c r="A218" s="3" t="s">
        <v>120</v>
      </c>
      <c r="B218" s="3" t="s">
        <v>9</v>
      </c>
      <c r="C218" s="3" t="s">
        <v>410</v>
      </c>
      <c r="D218" s="3" t="s">
        <v>168</v>
      </c>
      <c r="E218" s="3" t="s">
        <v>12</v>
      </c>
      <c r="F218" s="4" t="s">
        <v>478</v>
      </c>
      <c r="G218" s="4" t="s">
        <v>479</v>
      </c>
      <c r="H218" s="3" t="n">
        <f aca="false">IF(COUNTIFS($D$2:D218,D218,$E$2:E218,E218,$A$2:A218,A218)=1,1,0)</f>
        <v>0</v>
      </c>
    </row>
    <row r="219" customFormat="false" ht="34.5" hidden="false" customHeight="true" outlineLevel="0" collapsed="false">
      <c r="A219" s="3" t="s">
        <v>120</v>
      </c>
      <c r="B219" s="3" t="s">
        <v>9</v>
      </c>
      <c r="C219" s="3" t="s">
        <v>410</v>
      </c>
      <c r="D219" s="3" t="s">
        <v>69</v>
      </c>
      <c r="E219" s="3" t="s">
        <v>12</v>
      </c>
      <c r="F219" s="4" t="s">
        <v>480</v>
      </c>
      <c r="G219" s="4" t="s">
        <v>481</v>
      </c>
      <c r="H219" s="3" t="n">
        <f aca="false">IF(COUNTIFS($D$2:D219,D219,$E$2:E219,E219,$A$2:A219,A219)=1,1,0)</f>
        <v>1</v>
      </c>
    </row>
    <row r="220" customFormat="false" ht="34.5" hidden="false" customHeight="true" outlineLevel="0" collapsed="false">
      <c r="A220" s="3" t="s">
        <v>120</v>
      </c>
      <c r="B220" s="3" t="s">
        <v>9</v>
      </c>
      <c r="C220" s="3" t="s">
        <v>410</v>
      </c>
      <c r="D220" s="3" t="s">
        <v>168</v>
      </c>
      <c r="E220" s="3" t="s">
        <v>12</v>
      </c>
      <c r="F220" s="4" t="s">
        <v>482</v>
      </c>
      <c r="G220" s="4" t="s">
        <v>483</v>
      </c>
      <c r="H220" s="3" t="n">
        <f aca="false">IF(COUNTIFS($D$2:D220,D220,$E$2:E220,E220,$A$2:A220,A220)=1,1,0)</f>
        <v>0</v>
      </c>
    </row>
    <row r="221" customFormat="false" ht="34.5" hidden="false" customHeight="true" outlineLevel="0" collapsed="false">
      <c r="A221" s="3" t="s">
        <v>120</v>
      </c>
      <c r="B221" s="3" t="s">
        <v>9</v>
      </c>
      <c r="C221" s="3" t="s">
        <v>410</v>
      </c>
      <c r="D221" s="3" t="s">
        <v>168</v>
      </c>
      <c r="E221" s="3" t="s">
        <v>12</v>
      </c>
      <c r="F221" s="4" t="s">
        <v>484</v>
      </c>
      <c r="G221" s="4" t="s">
        <v>485</v>
      </c>
      <c r="H221" s="3" t="n">
        <f aca="false">IF(COUNTIFS($D$2:D221,D221,$E$2:E221,E221,$A$2:A221,A221)=1,1,0)</f>
        <v>0</v>
      </c>
    </row>
    <row r="222" customFormat="false" ht="34.5" hidden="false" customHeight="true" outlineLevel="0" collapsed="false">
      <c r="A222" s="3" t="s">
        <v>143</v>
      </c>
      <c r="B222" s="3" t="s">
        <v>9</v>
      </c>
      <c r="C222" s="3" t="s">
        <v>410</v>
      </c>
      <c r="D222" s="3" t="s">
        <v>486</v>
      </c>
      <c r="E222" s="3" t="s">
        <v>12</v>
      </c>
      <c r="F222" s="4" t="s">
        <v>487</v>
      </c>
      <c r="G222" s="4" t="s">
        <v>488</v>
      </c>
      <c r="H222" s="3" t="n">
        <f aca="false">IF(COUNTIFS($D$2:D222,D222,$E$2:E222,E222,$A$2:A222,A222)=1,1,0)</f>
        <v>1</v>
      </c>
    </row>
    <row r="223" customFormat="false" ht="57" hidden="false" customHeight="true" outlineLevel="0" collapsed="false">
      <c r="A223" s="3" t="s">
        <v>143</v>
      </c>
      <c r="B223" s="3" t="s">
        <v>9</v>
      </c>
      <c r="C223" s="3" t="s">
        <v>410</v>
      </c>
      <c r="D223" s="3" t="s">
        <v>486</v>
      </c>
      <c r="E223" s="3" t="s">
        <v>222</v>
      </c>
      <c r="F223" s="4" t="s">
        <v>489</v>
      </c>
      <c r="G223" s="4" t="s">
        <v>490</v>
      </c>
      <c r="H223" s="3" t="n">
        <f aca="false">IF(COUNTIFS($D$2:D223,D223,$E$2:E223,E223,$A$2:A223,A223)=1,1,0)</f>
        <v>1</v>
      </c>
    </row>
    <row r="224" customFormat="false" ht="45.75" hidden="false" customHeight="true" outlineLevel="0" collapsed="false">
      <c r="A224" s="3" t="s">
        <v>150</v>
      </c>
      <c r="B224" s="3" t="s">
        <v>9</v>
      </c>
      <c r="C224" s="3" t="s">
        <v>410</v>
      </c>
      <c r="D224" s="3" t="s">
        <v>27</v>
      </c>
      <c r="E224" s="3" t="s">
        <v>12</v>
      </c>
      <c r="F224" s="4" t="s">
        <v>491</v>
      </c>
      <c r="G224" s="4" t="s">
        <v>492</v>
      </c>
      <c r="H224" s="3" t="n">
        <f aca="false">IF(COUNTIFS($D$2:D224,D224,$E$2:E224,E224,$A$2:A224,A224)=1,1,0)</f>
        <v>1</v>
      </c>
    </row>
    <row r="225" customFormat="false" ht="34.5" hidden="false" customHeight="true" outlineLevel="0" collapsed="false">
      <c r="A225" s="3" t="s">
        <v>150</v>
      </c>
      <c r="B225" s="3" t="s">
        <v>9</v>
      </c>
      <c r="C225" s="3" t="s">
        <v>410</v>
      </c>
      <c r="D225" s="3" t="s">
        <v>27</v>
      </c>
      <c r="E225" s="3" t="s">
        <v>24</v>
      </c>
      <c r="F225" s="4" t="s">
        <v>493</v>
      </c>
      <c r="G225" s="4" t="s">
        <v>494</v>
      </c>
      <c r="H225" s="3" t="n">
        <f aca="false">IF(COUNTIFS($D$2:D225,D225,$E$2:E225,E225,$A$2:A225,A225)=1,1,0)</f>
        <v>1</v>
      </c>
    </row>
    <row r="226" customFormat="false" ht="34.5" hidden="false" customHeight="true" outlineLevel="0" collapsed="false">
      <c r="A226" s="3" t="s">
        <v>150</v>
      </c>
      <c r="B226" s="3" t="s">
        <v>9</v>
      </c>
      <c r="C226" s="3" t="s">
        <v>410</v>
      </c>
      <c r="D226" s="3" t="s">
        <v>27</v>
      </c>
      <c r="E226" s="3" t="s">
        <v>12</v>
      </c>
      <c r="F226" s="4" t="s">
        <v>495</v>
      </c>
      <c r="G226" s="4" t="s">
        <v>496</v>
      </c>
      <c r="H226" s="3" t="n">
        <f aca="false">IF(COUNTIFS($D$2:D226,D226,$E$2:E226,E226,$A$2:A226,A226)=1,1,0)</f>
        <v>0</v>
      </c>
    </row>
    <row r="227" customFormat="false" ht="45.75" hidden="false" customHeight="true" outlineLevel="0" collapsed="false">
      <c r="A227" s="3" t="s">
        <v>150</v>
      </c>
      <c r="B227" s="3" t="s">
        <v>9</v>
      </c>
      <c r="C227" s="3" t="s">
        <v>410</v>
      </c>
      <c r="D227" s="3" t="s">
        <v>413</v>
      </c>
      <c r="E227" s="3" t="s">
        <v>12</v>
      </c>
      <c r="F227" s="4" t="s">
        <v>497</v>
      </c>
      <c r="G227" s="4" t="s">
        <v>498</v>
      </c>
      <c r="H227" s="3" t="n">
        <f aca="false">IF(COUNTIFS($D$2:D227,D227,$E$2:E227,E227,$A$2:A227,A227)=1,1,0)</f>
        <v>1</v>
      </c>
    </row>
    <row r="228" customFormat="false" ht="68.25" hidden="false" customHeight="true" outlineLevel="0" collapsed="false">
      <c r="A228" s="3" t="s">
        <v>150</v>
      </c>
      <c r="B228" s="3" t="s">
        <v>9</v>
      </c>
      <c r="C228" s="3" t="s">
        <v>410</v>
      </c>
      <c r="D228" s="3" t="s">
        <v>168</v>
      </c>
      <c r="E228" s="3" t="s">
        <v>12</v>
      </c>
      <c r="F228" s="4" t="s">
        <v>499</v>
      </c>
      <c r="G228" s="4" t="s">
        <v>500</v>
      </c>
      <c r="H228" s="3" t="n">
        <f aca="false">IF(COUNTIFS($D$2:D228,D228,$E$2:E228,E228,$A$2:A228,A228)=1,1,0)</f>
        <v>0</v>
      </c>
    </row>
    <row r="229" customFormat="false" ht="45.75" hidden="false" customHeight="true" outlineLevel="0" collapsed="false">
      <c r="A229" s="3" t="s">
        <v>150</v>
      </c>
      <c r="B229" s="3" t="s">
        <v>9</v>
      </c>
      <c r="C229" s="3" t="s">
        <v>410</v>
      </c>
      <c r="D229" s="3" t="s">
        <v>168</v>
      </c>
      <c r="E229" s="3" t="s">
        <v>12</v>
      </c>
      <c r="F229" s="4" t="s">
        <v>501</v>
      </c>
      <c r="G229" s="4" t="s">
        <v>502</v>
      </c>
      <c r="H229" s="3" t="n">
        <f aca="false">IF(COUNTIFS($D$2:D229,D229,$E$2:E229,E229,$A$2:A229,A229)=1,1,0)</f>
        <v>0</v>
      </c>
    </row>
    <row r="230" customFormat="false" ht="23.25" hidden="false" customHeight="true" outlineLevel="0" collapsed="false">
      <c r="A230" s="3" t="s">
        <v>171</v>
      </c>
      <c r="B230" s="3" t="s">
        <v>9</v>
      </c>
      <c r="C230" s="3" t="s">
        <v>410</v>
      </c>
      <c r="D230" s="3" t="s">
        <v>168</v>
      </c>
      <c r="E230" s="3" t="s">
        <v>12</v>
      </c>
      <c r="F230" s="4" t="s">
        <v>503</v>
      </c>
      <c r="G230" s="4" t="s">
        <v>504</v>
      </c>
      <c r="H230" s="3" t="n">
        <f aca="false">IF(COUNTIFS($D$2:D230,D230,$E$2:E230,E230,$A$2:A230,A230)=1,1,0)</f>
        <v>1</v>
      </c>
    </row>
    <row r="231" customFormat="false" ht="23.25" hidden="false" customHeight="true" outlineLevel="0" collapsed="false">
      <c r="A231" s="3" t="s">
        <v>171</v>
      </c>
      <c r="B231" s="3" t="s">
        <v>9</v>
      </c>
      <c r="C231" s="3" t="s">
        <v>410</v>
      </c>
      <c r="D231" s="3" t="s">
        <v>168</v>
      </c>
      <c r="E231" s="3" t="s">
        <v>24</v>
      </c>
      <c r="F231" s="4" t="s">
        <v>505</v>
      </c>
      <c r="G231" s="4" t="s">
        <v>506</v>
      </c>
      <c r="H231" s="3" t="n">
        <f aca="false">IF(COUNTIFS($D$2:D231,D231,$E$2:E231,E231,$A$2:A231,A231)=1,1,0)</f>
        <v>1</v>
      </c>
    </row>
    <row r="232" customFormat="false" ht="45.75" hidden="false" customHeight="true" outlineLevel="0" collapsed="false">
      <c r="A232" s="3" t="s">
        <v>171</v>
      </c>
      <c r="B232" s="3" t="s">
        <v>9</v>
      </c>
      <c r="C232" s="3" t="s">
        <v>410</v>
      </c>
      <c r="D232" s="3" t="s">
        <v>168</v>
      </c>
      <c r="E232" s="3" t="s">
        <v>12</v>
      </c>
      <c r="F232" s="4" t="s">
        <v>507</v>
      </c>
      <c r="G232" s="4" t="s">
        <v>508</v>
      </c>
      <c r="H232" s="3" t="n">
        <f aca="false">IF(COUNTIFS($D$2:D232,D232,$E$2:E232,E232,$A$2:A232,A232)=1,1,0)</f>
        <v>0</v>
      </c>
    </row>
    <row r="233" customFormat="false" ht="34.5" hidden="false" customHeight="true" outlineLevel="0" collapsed="false">
      <c r="A233" s="3" t="s">
        <v>171</v>
      </c>
      <c r="B233" s="3" t="s">
        <v>9</v>
      </c>
      <c r="C233" s="3" t="s">
        <v>410</v>
      </c>
      <c r="D233" s="3" t="s">
        <v>234</v>
      </c>
      <c r="E233" s="3" t="s">
        <v>12</v>
      </c>
      <c r="F233" s="4" t="s">
        <v>509</v>
      </c>
      <c r="G233" s="4" t="s">
        <v>510</v>
      </c>
      <c r="H233" s="3" t="n">
        <f aca="false">IF(COUNTIFS($D$2:D233,D233,$E$2:E233,E233,$A$2:A233,A233)=1,1,0)</f>
        <v>1</v>
      </c>
    </row>
    <row r="234" customFormat="false" ht="34.5" hidden="false" customHeight="true" outlineLevel="0" collapsed="false">
      <c r="A234" s="3" t="s">
        <v>186</v>
      </c>
      <c r="B234" s="3" t="s">
        <v>9</v>
      </c>
      <c r="C234" s="3" t="s">
        <v>410</v>
      </c>
      <c r="D234" s="3" t="s">
        <v>168</v>
      </c>
      <c r="E234" s="3" t="s">
        <v>24</v>
      </c>
      <c r="F234" s="4" t="s">
        <v>511</v>
      </c>
      <c r="G234" s="4" t="s">
        <v>512</v>
      </c>
      <c r="H234" s="3" t="n">
        <f aca="false">IF(COUNTIFS($D$2:D234,D234,$E$2:E234,E234,$A$2:A234,A234)=1,1,0)</f>
        <v>1</v>
      </c>
    </row>
    <row r="235" customFormat="false" ht="45.75" hidden="false" customHeight="true" outlineLevel="0" collapsed="false">
      <c r="A235" s="3" t="s">
        <v>186</v>
      </c>
      <c r="B235" s="3" t="s">
        <v>9</v>
      </c>
      <c r="C235" s="3" t="s">
        <v>410</v>
      </c>
      <c r="D235" s="3" t="s">
        <v>112</v>
      </c>
      <c r="E235" s="3" t="s">
        <v>12</v>
      </c>
      <c r="F235" s="4" t="s">
        <v>513</v>
      </c>
      <c r="G235" s="4" t="s">
        <v>514</v>
      </c>
      <c r="H235" s="3" t="n">
        <f aca="false">IF(COUNTIFS($D$2:D235,D235,$E$2:E235,E235,$A$2:A235,A235)=1,1,0)</f>
        <v>0</v>
      </c>
    </row>
    <row r="236" customFormat="false" ht="68.25" hidden="false" customHeight="true" outlineLevel="0" collapsed="false">
      <c r="A236" s="3" t="s">
        <v>186</v>
      </c>
      <c r="B236" s="3" t="s">
        <v>9</v>
      </c>
      <c r="C236" s="3" t="s">
        <v>410</v>
      </c>
      <c r="D236" s="3" t="s">
        <v>168</v>
      </c>
      <c r="E236" s="3" t="s">
        <v>96</v>
      </c>
      <c r="F236" s="4" t="s">
        <v>515</v>
      </c>
      <c r="G236" s="4" t="s">
        <v>516</v>
      </c>
      <c r="H236" s="3" t="n">
        <f aca="false">IF(COUNTIFS($D$2:D236,D236,$E$2:E236,E236,$A$2:A236,A236)=1,1,0)</f>
        <v>1</v>
      </c>
    </row>
    <row r="237" customFormat="false" ht="57" hidden="false" customHeight="true" outlineLevel="0" collapsed="false">
      <c r="A237" s="3" t="s">
        <v>186</v>
      </c>
      <c r="B237" s="3" t="s">
        <v>9</v>
      </c>
      <c r="C237" s="3" t="s">
        <v>410</v>
      </c>
      <c r="D237" s="3" t="s">
        <v>134</v>
      </c>
      <c r="E237" s="3" t="s">
        <v>12</v>
      </c>
      <c r="F237" s="4" t="s">
        <v>517</v>
      </c>
      <c r="G237" s="4" t="s">
        <v>518</v>
      </c>
      <c r="H237" s="3" t="n">
        <f aca="false">IF(COUNTIFS($D$2:D237,D237,$E$2:E237,E237,$A$2:A237,A237)=1,1,0)</f>
        <v>0</v>
      </c>
    </row>
    <row r="238" customFormat="false" ht="57" hidden="false" customHeight="true" outlineLevel="0" collapsed="false">
      <c r="A238" s="3" t="s">
        <v>186</v>
      </c>
      <c r="B238" s="3" t="s">
        <v>9</v>
      </c>
      <c r="C238" s="3" t="s">
        <v>410</v>
      </c>
      <c r="D238" s="3" t="s">
        <v>486</v>
      </c>
      <c r="E238" s="3" t="s">
        <v>12</v>
      </c>
      <c r="F238" s="4" t="s">
        <v>519</v>
      </c>
      <c r="G238" s="4" t="s">
        <v>520</v>
      </c>
      <c r="H238" s="3" t="n">
        <f aca="false">IF(COUNTIFS($D$2:D238,D238,$E$2:E238,E238,$A$2:A238,A238)=1,1,0)</f>
        <v>1</v>
      </c>
    </row>
    <row r="239" customFormat="false" ht="45.75" hidden="false" customHeight="true" outlineLevel="0" collapsed="false">
      <c r="A239" s="3" t="s">
        <v>207</v>
      </c>
      <c r="B239" s="3" t="s">
        <v>9</v>
      </c>
      <c r="C239" s="3" t="s">
        <v>410</v>
      </c>
      <c r="D239" s="3" t="s">
        <v>168</v>
      </c>
      <c r="E239" s="3" t="s">
        <v>12</v>
      </c>
      <c r="F239" s="4" t="s">
        <v>521</v>
      </c>
      <c r="G239" s="4" t="s">
        <v>522</v>
      </c>
      <c r="H239" s="3" t="n">
        <f aca="false">IF(COUNTIFS($D$2:D239,D239,$E$2:E239,E239,$A$2:A239,A239)=1,1,0)</f>
        <v>1</v>
      </c>
    </row>
    <row r="240" customFormat="false" ht="34.5" hidden="false" customHeight="true" outlineLevel="0" collapsed="false">
      <c r="A240" s="3" t="s">
        <v>207</v>
      </c>
      <c r="B240" s="3" t="s">
        <v>9</v>
      </c>
      <c r="C240" s="3" t="s">
        <v>410</v>
      </c>
      <c r="D240" s="3" t="s">
        <v>431</v>
      </c>
      <c r="E240" s="3" t="s">
        <v>12</v>
      </c>
      <c r="F240" s="4" t="s">
        <v>523</v>
      </c>
      <c r="G240" s="4" t="s">
        <v>524</v>
      </c>
      <c r="H240" s="3" t="n">
        <f aca="false">IF(COUNTIFS($D$2:D240,D240,$E$2:E240,E240,$A$2:A240,A240)=1,1,0)</f>
        <v>1</v>
      </c>
    </row>
    <row r="241" customFormat="false" ht="34.5" hidden="false" customHeight="true" outlineLevel="0" collapsed="false">
      <c r="A241" s="3" t="s">
        <v>207</v>
      </c>
      <c r="B241" s="3" t="s">
        <v>9</v>
      </c>
      <c r="C241" s="3" t="s">
        <v>410</v>
      </c>
      <c r="D241" s="3" t="s">
        <v>168</v>
      </c>
      <c r="E241" s="3" t="s">
        <v>12</v>
      </c>
      <c r="F241" s="4" t="s">
        <v>525</v>
      </c>
      <c r="G241" s="4" t="s">
        <v>526</v>
      </c>
      <c r="H241" s="3" t="n">
        <f aca="false">IF(COUNTIFS($D$2:D241,D241,$E$2:E241,E241,$A$2:A241,A241)=1,1,0)</f>
        <v>0</v>
      </c>
    </row>
    <row r="242" customFormat="false" ht="57" hidden="false" customHeight="true" outlineLevel="0" collapsed="false">
      <c r="A242" s="3" t="s">
        <v>207</v>
      </c>
      <c r="B242" s="3" t="s">
        <v>9</v>
      </c>
      <c r="C242" s="3" t="s">
        <v>410</v>
      </c>
      <c r="D242" s="3" t="s">
        <v>168</v>
      </c>
      <c r="E242" s="3" t="s">
        <v>12</v>
      </c>
      <c r="F242" s="4" t="s">
        <v>527</v>
      </c>
      <c r="G242" s="4" t="s">
        <v>528</v>
      </c>
      <c r="H242" s="3" t="n">
        <f aca="false">IF(COUNTIFS($D$2:D242,D242,$E$2:E242,E242,$A$2:A242,A242)=1,1,0)</f>
        <v>0</v>
      </c>
    </row>
    <row r="243" customFormat="false" ht="45.75" hidden="false" customHeight="true" outlineLevel="0" collapsed="false">
      <c r="A243" s="3" t="s">
        <v>227</v>
      </c>
      <c r="B243" s="3" t="s">
        <v>9</v>
      </c>
      <c r="C243" s="3" t="s">
        <v>410</v>
      </c>
      <c r="D243" s="3" t="s">
        <v>431</v>
      </c>
      <c r="E243" s="3" t="s">
        <v>12</v>
      </c>
      <c r="F243" s="4" t="s">
        <v>529</v>
      </c>
      <c r="G243" s="4" t="s">
        <v>530</v>
      </c>
      <c r="H243" s="3" t="n">
        <f aca="false">IF(COUNTIFS($D$2:D243,D243,$E$2:E243,E243,$A$2:A243,A243)=1,1,0)</f>
        <v>1</v>
      </c>
    </row>
    <row r="244" customFormat="false" ht="45.75" hidden="false" customHeight="true" outlineLevel="0" collapsed="false">
      <c r="A244" s="3" t="s">
        <v>227</v>
      </c>
      <c r="B244" s="3" t="s">
        <v>9</v>
      </c>
      <c r="C244" s="3" t="s">
        <v>410</v>
      </c>
      <c r="D244" s="3" t="s">
        <v>168</v>
      </c>
      <c r="E244" s="3" t="s">
        <v>12</v>
      </c>
      <c r="F244" s="4" t="s">
        <v>531</v>
      </c>
      <c r="G244" s="4" t="s">
        <v>532</v>
      </c>
      <c r="H244" s="3" t="n">
        <f aca="false">IF(COUNTIFS($D$2:D244,D244,$E$2:E244,E244,$A$2:A244,A244)=1,1,0)</f>
        <v>1</v>
      </c>
    </row>
    <row r="245" customFormat="false" ht="68.25" hidden="false" customHeight="true" outlineLevel="0" collapsed="false">
      <c r="A245" s="3" t="s">
        <v>227</v>
      </c>
      <c r="B245" s="3" t="s">
        <v>9</v>
      </c>
      <c r="C245" s="3" t="s">
        <v>410</v>
      </c>
      <c r="D245" s="3" t="s">
        <v>27</v>
      </c>
      <c r="E245" s="3" t="s">
        <v>12</v>
      </c>
      <c r="F245" s="4" t="s">
        <v>533</v>
      </c>
      <c r="G245" s="4" t="s">
        <v>534</v>
      </c>
      <c r="H245" s="3" t="n">
        <f aca="false">IF(COUNTIFS($D$2:D245,D245,$E$2:E245,E245,$A$2:A245,A245)=1,1,0)</f>
        <v>1</v>
      </c>
    </row>
    <row r="246" customFormat="false" ht="57" hidden="false" customHeight="true" outlineLevel="0" collapsed="false">
      <c r="A246" s="3" t="s">
        <v>227</v>
      </c>
      <c r="B246" s="3" t="s">
        <v>9</v>
      </c>
      <c r="C246" s="3" t="s">
        <v>410</v>
      </c>
      <c r="D246" s="3" t="s">
        <v>431</v>
      </c>
      <c r="E246" s="3" t="s">
        <v>96</v>
      </c>
      <c r="F246" s="4" t="s">
        <v>535</v>
      </c>
      <c r="G246" s="4" t="s">
        <v>536</v>
      </c>
      <c r="H246" s="3" t="n">
        <f aca="false">IF(COUNTIFS($D$2:D246,D246,$E$2:E246,E246,$A$2:A246,A246)=1,1,0)</f>
        <v>1</v>
      </c>
    </row>
    <row r="247" customFormat="false" ht="45.75" hidden="false" customHeight="true" outlineLevel="0" collapsed="false">
      <c r="A247" s="3" t="s">
        <v>227</v>
      </c>
      <c r="B247" s="3" t="s">
        <v>9</v>
      </c>
      <c r="C247" s="3" t="s">
        <v>410</v>
      </c>
      <c r="D247" s="3" t="s">
        <v>431</v>
      </c>
      <c r="E247" s="3" t="s">
        <v>59</v>
      </c>
      <c r="F247" s="4" t="s">
        <v>537</v>
      </c>
      <c r="G247" s="4" t="s">
        <v>538</v>
      </c>
      <c r="H247" s="3" t="n">
        <f aca="false">IF(COUNTIFS($D$2:D247,D247,$E$2:E247,E247,$A$2:A247,A247)=1,1,0)</f>
        <v>1</v>
      </c>
    </row>
    <row r="248" customFormat="false" ht="34.5" hidden="false" customHeight="true" outlineLevel="0" collapsed="false">
      <c r="A248" s="3" t="s">
        <v>227</v>
      </c>
      <c r="B248" s="3" t="s">
        <v>9</v>
      </c>
      <c r="C248" s="3" t="s">
        <v>410</v>
      </c>
      <c r="D248" s="3" t="s">
        <v>168</v>
      </c>
      <c r="E248" s="3" t="s">
        <v>222</v>
      </c>
      <c r="F248" s="4" t="s">
        <v>539</v>
      </c>
      <c r="G248" s="4" t="s">
        <v>540</v>
      </c>
      <c r="H248" s="3" t="n">
        <f aca="false">IF(COUNTIFS($D$2:D248,D248,$E$2:E248,E248,$A$2:A248,A248)=1,1,0)</f>
        <v>1</v>
      </c>
    </row>
    <row r="249" customFormat="false" ht="34.5" hidden="false" customHeight="true" outlineLevel="0" collapsed="false">
      <c r="A249" s="3" t="s">
        <v>227</v>
      </c>
      <c r="B249" s="3" t="s">
        <v>9</v>
      </c>
      <c r="C249" s="3" t="s">
        <v>410</v>
      </c>
      <c r="D249" s="3" t="s">
        <v>69</v>
      </c>
      <c r="E249" s="3" t="s">
        <v>12</v>
      </c>
      <c r="F249" s="4" t="s">
        <v>541</v>
      </c>
      <c r="G249" s="4" t="s">
        <v>542</v>
      </c>
      <c r="H249" s="3" t="n">
        <f aca="false">IF(COUNTIFS($D$2:D249,D249,$E$2:E249,E249,$A$2:A249,A249)=1,1,0)</f>
        <v>0</v>
      </c>
    </row>
    <row r="250" customFormat="false" ht="57" hidden="false" customHeight="true" outlineLevel="0" collapsed="false">
      <c r="A250" s="3" t="s">
        <v>227</v>
      </c>
      <c r="B250" s="3" t="s">
        <v>9</v>
      </c>
      <c r="C250" s="3" t="s">
        <v>410</v>
      </c>
      <c r="D250" s="3" t="s">
        <v>431</v>
      </c>
      <c r="E250" s="3" t="s">
        <v>222</v>
      </c>
      <c r="F250" s="4" t="s">
        <v>543</v>
      </c>
      <c r="G250" s="4" t="s">
        <v>544</v>
      </c>
      <c r="H250" s="3" t="n">
        <f aca="false">IF(COUNTIFS($D$2:D250,D250,$E$2:E250,E250,$A$2:A250,A250)=1,1,0)</f>
        <v>1</v>
      </c>
    </row>
    <row r="251" customFormat="false" ht="45.75" hidden="false" customHeight="true" outlineLevel="0" collapsed="false">
      <c r="A251" s="3" t="s">
        <v>251</v>
      </c>
      <c r="B251" s="3" t="s">
        <v>9</v>
      </c>
      <c r="C251" s="3" t="s">
        <v>410</v>
      </c>
      <c r="D251" s="3" t="s">
        <v>112</v>
      </c>
      <c r="E251" s="3" t="s">
        <v>12</v>
      </c>
      <c r="F251" s="4" t="s">
        <v>545</v>
      </c>
      <c r="G251" s="4" t="s">
        <v>546</v>
      </c>
      <c r="H251" s="3" t="n">
        <f aca="false">IF(COUNTIFS($D$2:D251,D251,$E$2:E251,E251,$A$2:A251,A251)=1,1,0)</f>
        <v>1</v>
      </c>
    </row>
    <row r="252" customFormat="false" ht="45.75" hidden="false" customHeight="true" outlineLevel="0" collapsed="false">
      <c r="A252" s="3" t="s">
        <v>251</v>
      </c>
      <c r="B252" s="3" t="s">
        <v>9</v>
      </c>
      <c r="C252" s="3" t="s">
        <v>410</v>
      </c>
      <c r="D252" s="3" t="s">
        <v>112</v>
      </c>
      <c r="E252" s="3" t="s">
        <v>12</v>
      </c>
      <c r="F252" s="4" t="s">
        <v>547</v>
      </c>
      <c r="G252" s="4" t="s">
        <v>548</v>
      </c>
      <c r="H252" s="3" t="n">
        <f aca="false">IF(COUNTIFS($D$2:D252,D252,$E$2:E252,E252,$A$2:A252,A252)=1,1,0)</f>
        <v>0</v>
      </c>
    </row>
    <row r="253" customFormat="false" ht="57" hidden="false" customHeight="true" outlineLevel="0" collapsed="false">
      <c r="A253" s="3" t="s">
        <v>251</v>
      </c>
      <c r="B253" s="3" t="s">
        <v>9</v>
      </c>
      <c r="C253" s="3" t="s">
        <v>410</v>
      </c>
      <c r="D253" s="3" t="s">
        <v>112</v>
      </c>
      <c r="E253" s="3" t="s">
        <v>12</v>
      </c>
      <c r="F253" s="4" t="s">
        <v>549</v>
      </c>
      <c r="G253" s="4" t="s">
        <v>550</v>
      </c>
      <c r="H253" s="3" t="n">
        <f aca="false">IF(COUNTIFS($D$2:D253,D253,$E$2:E253,E253,$A$2:A253,A253)=1,1,0)</f>
        <v>0</v>
      </c>
    </row>
    <row r="254" customFormat="false" ht="45.75" hidden="false" customHeight="true" outlineLevel="0" collapsed="false">
      <c r="A254" s="3" t="s">
        <v>251</v>
      </c>
      <c r="B254" s="3" t="s">
        <v>9</v>
      </c>
      <c r="C254" s="3" t="s">
        <v>410</v>
      </c>
      <c r="D254" s="3" t="s">
        <v>112</v>
      </c>
      <c r="E254" s="3" t="s">
        <v>12</v>
      </c>
      <c r="F254" s="4" t="s">
        <v>551</v>
      </c>
      <c r="G254" s="4" t="s">
        <v>552</v>
      </c>
      <c r="H254" s="3" t="n">
        <f aca="false">IF(COUNTIFS($D$2:D254,D254,$E$2:E254,E254,$A$2:A254,A254)=1,1,0)</f>
        <v>0</v>
      </c>
    </row>
    <row r="255" customFormat="false" ht="34.5" hidden="false" customHeight="true" outlineLevel="0" collapsed="false">
      <c r="A255" s="3" t="s">
        <v>251</v>
      </c>
      <c r="B255" s="3" t="s">
        <v>9</v>
      </c>
      <c r="C255" s="3" t="s">
        <v>410</v>
      </c>
      <c r="D255" s="3" t="s">
        <v>112</v>
      </c>
      <c r="E255" s="3" t="s">
        <v>24</v>
      </c>
      <c r="F255" s="4" t="s">
        <v>553</v>
      </c>
      <c r="G255" s="4" t="s">
        <v>554</v>
      </c>
      <c r="H255" s="3" t="n">
        <f aca="false">IF(COUNTIFS($D$2:D255,D255,$E$2:E255,E255,$A$2:A255,A255)=1,1,0)</f>
        <v>1</v>
      </c>
    </row>
    <row r="256" customFormat="false" ht="34.5" hidden="false" customHeight="true" outlineLevel="0" collapsed="false">
      <c r="A256" s="3" t="s">
        <v>8</v>
      </c>
      <c r="B256" s="3" t="s">
        <v>9</v>
      </c>
      <c r="C256" s="3" t="s">
        <v>555</v>
      </c>
      <c r="D256" s="3" t="s">
        <v>556</v>
      </c>
      <c r="E256" s="3" t="s">
        <v>12</v>
      </c>
      <c r="F256" s="4" t="s">
        <v>557</v>
      </c>
      <c r="G256" s="4" t="s">
        <v>558</v>
      </c>
      <c r="H256" s="3" t="n">
        <f aca="false">IF(COUNTIFS($D$2:D256,D256,$E$2:E256,E256,$A$2:A256,A256)=1,1,0)</f>
        <v>1</v>
      </c>
    </row>
    <row r="257" customFormat="false" ht="57" hidden="false" customHeight="true" outlineLevel="0" collapsed="false">
      <c r="A257" s="3" t="s">
        <v>8</v>
      </c>
      <c r="B257" s="3" t="s">
        <v>9</v>
      </c>
      <c r="C257" s="3" t="s">
        <v>555</v>
      </c>
      <c r="D257" s="3" t="s">
        <v>556</v>
      </c>
      <c r="E257" s="3" t="s">
        <v>12</v>
      </c>
      <c r="F257" s="4" t="s">
        <v>559</v>
      </c>
      <c r="G257" s="4" t="s">
        <v>560</v>
      </c>
      <c r="H257" s="3" t="n">
        <f aca="false">IF(COUNTIFS($D$2:D257,D257,$E$2:E257,E257,$A$2:A257,A257)=1,1,0)</f>
        <v>0</v>
      </c>
    </row>
    <row r="258" customFormat="false" ht="34.5" hidden="false" customHeight="true" outlineLevel="0" collapsed="false">
      <c r="A258" s="3" t="s">
        <v>8</v>
      </c>
      <c r="B258" s="3" t="s">
        <v>9</v>
      </c>
      <c r="C258" s="3" t="s">
        <v>555</v>
      </c>
      <c r="D258" s="3" t="s">
        <v>556</v>
      </c>
      <c r="E258" s="3" t="s">
        <v>12</v>
      </c>
      <c r="F258" s="4" t="s">
        <v>561</v>
      </c>
      <c r="G258" s="4" t="s">
        <v>562</v>
      </c>
      <c r="H258" s="3" t="n">
        <f aca="false">IF(COUNTIFS($D$2:D258,D258,$E$2:E258,E258,$A$2:A258,A258)=1,1,0)</f>
        <v>0</v>
      </c>
    </row>
    <row r="259" customFormat="false" ht="45.75" hidden="false" customHeight="true" outlineLevel="0" collapsed="false">
      <c r="A259" s="3" t="s">
        <v>8</v>
      </c>
      <c r="B259" s="3" t="s">
        <v>9</v>
      </c>
      <c r="C259" s="3" t="s">
        <v>555</v>
      </c>
      <c r="D259" s="3" t="s">
        <v>556</v>
      </c>
      <c r="E259" s="3" t="s">
        <v>24</v>
      </c>
      <c r="F259" s="4" t="s">
        <v>563</v>
      </c>
      <c r="G259" s="4" t="s">
        <v>564</v>
      </c>
      <c r="H259" s="3" t="n">
        <f aca="false">IF(COUNTIFS($D$2:D259,D259,$E$2:E259,E259,$A$2:A259,A259)=1,1,0)</f>
        <v>1</v>
      </c>
    </row>
    <row r="260" customFormat="false" ht="34.5" hidden="false" customHeight="true" outlineLevel="0" collapsed="false">
      <c r="A260" s="3" t="s">
        <v>32</v>
      </c>
      <c r="B260" s="3" t="s">
        <v>9</v>
      </c>
      <c r="C260" s="3" t="s">
        <v>555</v>
      </c>
      <c r="D260" s="3" t="s">
        <v>556</v>
      </c>
      <c r="E260" s="3" t="s">
        <v>12</v>
      </c>
      <c r="F260" s="4" t="s">
        <v>565</v>
      </c>
      <c r="G260" s="4" t="s">
        <v>566</v>
      </c>
      <c r="H260" s="3" t="n">
        <f aca="false">IF(COUNTIFS($D$2:D260,D260,$E$2:E260,E260,$A$2:A260,A260)=1,1,0)</f>
        <v>1</v>
      </c>
    </row>
    <row r="261" customFormat="false" ht="23.25" hidden="false" customHeight="true" outlineLevel="0" collapsed="false">
      <c r="A261" s="3" t="s">
        <v>32</v>
      </c>
      <c r="B261" s="3" t="s">
        <v>9</v>
      </c>
      <c r="C261" s="3" t="s">
        <v>555</v>
      </c>
      <c r="D261" s="3" t="s">
        <v>473</v>
      </c>
      <c r="E261" s="3" t="s">
        <v>12</v>
      </c>
      <c r="F261" s="4" t="s">
        <v>567</v>
      </c>
      <c r="G261" s="4" t="s">
        <v>568</v>
      </c>
      <c r="H261" s="3" t="n">
        <f aca="false">IF(COUNTIFS($D$2:D261,D261,$E$2:E261,E261,$A$2:A261,A261)=1,1,0)</f>
        <v>1</v>
      </c>
    </row>
    <row r="262" customFormat="false" ht="57" hidden="false" customHeight="true" outlineLevel="0" collapsed="false">
      <c r="A262" s="3" t="s">
        <v>32</v>
      </c>
      <c r="B262" s="3" t="s">
        <v>9</v>
      </c>
      <c r="C262" s="3" t="s">
        <v>555</v>
      </c>
      <c r="D262" s="3" t="s">
        <v>473</v>
      </c>
      <c r="E262" s="3" t="s">
        <v>12</v>
      </c>
      <c r="F262" s="4" t="s">
        <v>569</v>
      </c>
      <c r="G262" s="4" t="s">
        <v>570</v>
      </c>
      <c r="H262" s="3" t="n">
        <f aca="false">IF(COUNTIFS($D$2:D262,D262,$E$2:E262,E262,$A$2:A262,A262)=1,1,0)</f>
        <v>0</v>
      </c>
    </row>
    <row r="263" customFormat="false" ht="45.75" hidden="false" customHeight="true" outlineLevel="0" collapsed="false">
      <c r="A263" s="3" t="s">
        <v>32</v>
      </c>
      <c r="B263" s="3" t="s">
        <v>9</v>
      </c>
      <c r="C263" s="3" t="s">
        <v>555</v>
      </c>
      <c r="D263" s="3" t="s">
        <v>556</v>
      </c>
      <c r="E263" s="3" t="s">
        <v>12</v>
      </c>
      <c r="F263" s="4" t="s">
        <v>571</v>
      </c>
      <c r="G263" s="4" t="s">
        <v>572</v>
      </c>
      <c r="H263" s="3" t="n">
        <f aca="false">IF(COUNTIFS($D$2:D263,D263,$E$2:E263,E263,$A$2:A263,A263)=1,1,0)</f>
        <v>0</v>
      </c>
    </row>
    <row r="264" customFormat="false" ht="34.5" hidden="false" customHeight="true" outlineLevel="0" collapsed="false">
      <c r="A264" s="3" t="s">
        <v>32</v>
      </c>
      <c r="B264" s="3" t="s">
        <v>9</v>
      </c>
      <c r="C264" s="3" t="s">
        <v>555</v>
      </c>
      <c r="D264" s="3" t="s">
        <v>556</v>
      </c>
      <c r="E264" s="3" t="s">
        <v>12</v>
      </c>
      <c r="F264" s="4" t="s">
        <v>573</v>
      </c>
      <c r="G264" s="4" t="s">
        <v>574</v>
      </c>
      <c r="H264" s="3" t="n">
        <f aca="false">IF(COUNTIFS($D$2:D264,D264,$E$2:E264,E264,$A$2:A264,A264)=1,1,0)</f>
        <v>0</v>
      </c>
    </row>
    <row r="265" customFormat="false" ht="68.25" hidden="false" customHeight="true" outlineLevel="0" collapsed="false">
      <c r="A265" s="3" t="s">
        <v>32</v>
      </c>
      <c r="B265" s="3" t="s">
        <v>9</v>
      </c>
      <c r="C265" s="3" t="s">
        <v>555</v>
      </c>
      <c r="D265" s="3" t="s">
        <v>556</v>
      </c>
      <c r="E265" s="3" t="s">
        <v>24</v>
      </c>
      <c r="F265" s="4" t="s">
        <v>575</v>
      </c>
      <c r="G265" s="4" t="s">
        <v>576</v>
      </c>
      <c r="H265" s="3" t="n">
        <f aca="false">IF(COUNTIFS($D$2:D265,D265,$E$2:E265,E265,$A$2:A265,A265)=1,1,0)</f>
        <v>1</v>
      </c>
    </row>
    <row r="266" customFormat="false" ht="34.5" hidden="false" customHeight="true" outlineLevel="0" collapsed="false">
      <c r="A266" s="3" t="s">
        <v>54</v>
      </c>
      <c r="B266" s="3" t="s">
        <v>9</v>
      </c>
      <c r="C266" s="3" t="s">
        <v>555</v>
      </c>
      <c r="D266" s="3" t="s">
        <v>556</v>
      </c>
      <c r="E266" s="3" t="s">
        <v>12</v>
      </c>
      <c r="F266" s="4" t="s">
        <v>577</v>
      </c>
      <c r="G266" s="4" t="s">
        <v>578</v>
      </c>
      <c r="H266" s="3" t="n">
        <f aca="false">IF(COUNTIFS($D$2:D266,D266,$E$2:E266,E266,$A$2:A266,A266)=1,1,0)</f>
        <v>1</v>
      </c>
    </row>
    <row r="267" customFormat="false" ht="34.5" hidden="false" customHeight="true" outlineLevel="0" collapsed="false">
      <c r="A267" s="3" t="s">
        <v>54</v>
      </c>
      <c r="B267" s="3" t="s">
        <v>9</v>
      </c>
      <c r="C267" s="3" t="s">
        <v>555</v>
      </c>
      <c r="D267" s="3" t="s">
        <v>556</v>
      </c>
      <c r="E267" s="3" t="s">
        <v>12</v>
      </c>
      <c r="F267" s="4" t="s">
        <v>579</v>
      </c>
      <c r="G267" s="4" t="s">
        <v>580</v>
      </c>
      <c r="H267" s="3" t="n">
        <f aca="false">IF(COUNTIFS($D$2:D267,D267,$E$2:E267,E267,$A$2:A267,A267)=1,1,0)</f>
        <v>0</v>
      </c>
    </row>
    <row r="268" customFormat="false" ht="68.25" hidden="false" customHeight="true" outlineLevel="0" collapsed="false">
      <c r="A268" s="3" t="s">
        <v>54</v>
      </c>
      <c r="B268" s="3" t="s">
        <v>9</v>
      </c>
      <c r="C268" s="3" t="s">
        <v>555</v>
      </c>
      <c r="D268" s="3" t="s">
        <v>556</v>
      </c>
      <c r="E268" s="3" t="s">
        <v>12</v>
      </c>
      <c r="F268" s="4" t="s">
        <v>581</v>
      </c>
      <c r="G268" s="4" t="s">
        <v>582</v>
      </c>
      <c r="H268" s="3" t="n">
        <f aca="false">IF(COUNTIFS($D$2:D268,D268,$E$2:E268,E268,$A$2:A268,A268)=1,1,0)</f>
        <v>0</v>
      </c>
    </row>
    <row r="269" customFormat="false" ht="68.25" hidden="false" customHeight="true" outlineLevel="0" collapsed="false">
      <c r="A269" s="3" t="s">
        <v>54</v>
      </c>
      <c r="B269" s="3" t="s">
        <v>9</v>
      </c>
      <c r="C269" s="3" t="s">
        <v>555</v>
      </c>
      <c r="D269" s="3" t="s">
        <v>556</v>
      </c>
      <c r="E269" s="3" t="s">
        <v>12</v>
      </c>
      <c r="F269" s="4" t="s">
        <v>583</v>
      </c>
      <c r="G269" s="4" t="s">
        <v>584</v>
      </c>
      <c r="H269" s="3" t="n">
        <f aca="false">IF(COUNTIFS($D$2:D269,D269,$E$2:E269,E269,$A$2:A269,A269)=1,1,0)</f>
        <v>0</v>
      </c>
    </row>
    <row r="270" customFormat="false" ht="45.75" hidden="false" customHeight="true" outlineLevel="0" collapsed="false">
      <c r="A270" s="3" t="s">
        <v>54</v>
      </c>
      <c r="B270" s="3" t="s">
        <v>9</v>
      </c>
      <c r="C270" s="3" t="s">
        <v>555</v>
      </c>
      <c r="D270" s="3" t="s">
        <v>473</v>
      </c>
      <c r="E270" s="3" t="s">
        <v>96</v>
      </c>
      <c r="F270" s="4" t="s">
        <v>585</v>
      </c>
      <c r="G270" s="4" t="s">
        <v>586</v>
      </c>
      <c r="H270" s="3" t="n">
        <f aca="false">IF(COUNTIFS($D$2:D270,D270,$E$2:E270,E270,$A$2:A270,A270)=1,1,0)</f>
        <v>1</v>
      </c>
    </row>
    <row r="271" customFormat="false" ht="45.75" hidden="false" customHeight="true" outlineLevel="0" collapsed="false">
      <c r="A271" s="3" t="s">
        <v>54</v>
      </c>
      <c r="B271" s="3" t="s">
        <v>9</v>
      </c>
      <c r="C271" s="3" t="s">
        <v>555</v>
      </c>
      <c r="D271" s="3" t="s">
        <v>473</v>
      </c>
      <c r="E271" s="3" t="s">
        <v>59</v>
      </c>
      <c r="F271" s="4" t="s">
        <v>587</v>
      </c>
      <c r="G271" s="4" t="s">
        <v>588</v>
      </c>
      <c r="H271" s="3" t="n">
        <f aca="false">IF(COUNTIFS($D$2:D271,D271,$E$2:E271,E271,$A$2:A271,A271)=1,1,0)</f>
        <v>1</v>
      </c>
    </row>
    <row r="272" customFormat="false" ht="68.25" hidden="false" customHeight="true" outlineLevel="0" collapsed="false">
      <c r="A272" s="3" t="s">
        <v>54</v>
      </c>
      <c r="B272" s="3" t="s">
        <v>9</v>
      </c>
      <c r="C272" s="3" t="s">
        <v>555</v>
      </c>
      <c r="D272" s="3" t="s">
        <v>473</v>
      </c>
      <c r="E272" s="3" t="s">
        <v>12</v>
      </c>
      <c r="F272" s="4" t="s">
        <v>589</v>
      </c>
      <c r="G272" s="4" t="s">
        <v>590</v>
      </c>
      <c r="H272" s="3" t="n">
        <f aca="false">IF(COUNTIFS($D$2:D272,D272,$E$2:E272,E272,$A$2:A272,A272)=1,1,0)</f>
        <v>1</v>
      </c>
    </row>
    <row r="273" customFormat="false" ht="34.5" hidden="false" customHeight="true" outlineLevel="0" collapsed="false">
      <c r="A273" s="3" t="s">
        <v>54</v>
      </c>
      <c r="B273" s="3" t="s">
        <v>9</v>
      </c>
      <c r="C273" s="3" t="s">
        <v>555</v>
      </c>
      <c r="D273" s="3" t="s">
        <v>134</v>
      </c>
      <c r="E273" s="3" t="s">
        <v>12</v>
      </c>
      <c r="F273" s="4" t="s">
        <v>591</v>
      </c>
      <c r="G273" s="4" t="s">
        <v>592</v>
      </c>
      <c r="H273" s="3" t="n">
        <f aca="false">IF(COUNTIFS($D$2:D273,D273,$E$2:E273,E273,$A$2:A273,A273)=1,1,0)</f>
        <v>0</v>
      </c>
    </row>
    <row r="274" customFormat="false" ht="57" hidden="false" customHeight="true" outlineLevel="0" collapsed="false">
      <c r="A274" s="3" t="s">
        <v>72</v>
      </c>
      <c r="B274" s="3" t="s">
        <v>9</v>
      </c>
      <c r="C274" s="3" t="s">
        <v>555</v>
      </c>
      <c r="D274" s="3" t="s">
        <v>486</v>
      </c>
      <c r="E274" s="3" t="s">
        <v>12</v>
      </c>
      <c r="F274" s="4" t="s">
        <v>593</v>
      </c>
      <c r="G274" s="4" t="s">
        <v>594</v>
      </c>
      <c r="H274" s="3" t="n">
        <f aca="false">IF(COUNTIFS($D$2:D274,D274,$E$2:E274,E274,$A$2:A274,A274)=1,1,0)</f>
        <v>1</v>
      </c>
    </row>
    <row r="275" customFormat="false" ht="57" hidden="false" customHeight="true" outlineLevel="0" collapsed="false">
      <c r="A275" s="3" t="s">
        <v>72</v>
      </c>
      <c r="B275" s="3" t="s">
        <v>9</v>
      </c>
      <c r="C275" s="3" t="s">
        <v>555</v>
      </c>
      <c r="D275" s="3" t="s">
        <v>556</v>
      </c>
      <c r="E275" s="3" t="s">
        <v>12</v>
      </c>
      <c r="F275" s="4" t="s">
        <v>595</v>
      </c>
      <c r="G275" s="4" t="s">
        <v>596</v>
      </c>
      <c r="H275" s="3" t="n">
        <f aca="false">IF(COUNTIFS($D$2:D275,D275,$E$2:E275,E275,$A$2:A275,A275)=1,1,0)</f>
        <v>1</v>
      </c>
    </row>
    <row r="276" customFormat="false" ht="34.5" hidden="false" customHeight="true" outlineLevel="0" collapsed="false">
      <c r="A276" s="3" t="s">
        <v>72</v>
      </c>
      <c r="B276" s="3" t="s">
        <v>9</v>
      </c>
      <c r="C276" s="3" t="s">
        <v>555</v>
      </c>
      <c r="D276" s="3" t="s">
        <v>556</v>
      </c>
      <c r="E276" s="3" t="s">
        <v>12</v>
      </c>
      <c r="F276" s="4" t="s">
        <v>597</v>
      </c>
      <c r="G276" s="4" t="s">
        <v>598</v>
      </c>
      <c r="H276" s="3" t="n">
        <f aca="false">IF(COUNTIFS($D$2:D276,D276,$E$2:E276,E276,$A$2:A276,A276)=1,1,0)</f>
        <v>0</v>
      </c>
    </row>
    <row r="277" customFormat="false" ht="45.75" hidden="false" customHeight="true" outlineLevel="0" collapsed="false">
      <c r="A277" s="3" t="s">
        <v>72</v>
      </c>
      <c r="B277" s="3" t="s">
        <v>9</v>
      </c>
      <c r="C277" s="3" t="s">
        <v>555</v>
      </c>
      <c r="D277" s="3" t="s">
        <v>556</v>
      </c>
      <c r="E277" s="3" t="s">
        <v>12</v>
      </c>
      <c r="F277" s="4" t="s">
        <v>599</v>
      </c>
      <c r="G277" s="4" t="s">
        <v>600</v>
      </c>
      <c r="H277" s="3" t="n">
        <f aca="false">IF(COUNTIFS($D$2:D277,D277,$E$2:E277,E277,$A$2:A277,A277)=1,1,0)</f>
        <v>0</v>
      </c>
    </row>
    <row r="278" customFormat="false" ht="23.25" hidden="false" customHeight="true" outlineLevel="0" collapsed="false">
      <c r="A278" s="3" t="s">
        <v>72</v>
      </c>
      <c r="B278" s="3" t="s">
        <v>9</v>
      </c>
      <c r="C278" s="3" t="s">
        <v>555</v>
      </c>
      <c r="D278" s="3" t="s">
        <v>556</v>
      </c>
      <c r="E278" s="3" t="s">
        <v>12</v>
      </c>
      <c r="F278" s="4" t="s">
        <v>601</v>
      </c>
      <c r="G278" s="4" t="s">
        <v>602</v>
      </c>
      <c r="H278" s="3" t="n">
        <f aca="false">IF(COUNTIFS($D$2:D278,D278,$E$2:E278,E278,$A$2:A278,A278)=1,1,0)</f>
        <v>0</v>
      </c>
    </row>
    <row r="279" customFormat="false" ht="34.5" hidden="false" customHeight="true" outlineLevel="0" collapsed="false">
      <c r="A279" s="3" t="s">
        <v>72</v>
      </c>
      <c r="B279" s="3" t="s">
        <v>9</v>
      </c>
      <c r="C279" s="3" t="s">
        <v>555</v>
      </c>
      <c r="D279" s="3" t="s">
        <v>134</v>
      </c>
      <c r="E279" s="3" t="s">
        <v>12</v>
      </c>
      <c r="F279" s="4" t="s">
        <v>603</v>
      </c>
      <c r="G279" s="4" t="s">
        <v>604</v>
      </c>
      <c r="H279" s="3" t="n">
        <f aca="false">IF(COUNTIFS($D$2:D279,D279,$E$2:E279,E279,$A$2:A279,A279)=1,1,0)</f>
        <v>1</v>
      </c>
    </row>
    <row r="280" customFormat="false" ht="45.75" hidden="false" customHeight="true" outlineLevel="0" collapsed="false">
      <c r="A280" s="3" t="s">
        <v>72</v>
      </c>
      <c r="B280" s="3" t="s">
        <v>9</v>
      </c>
      <c r="C280" s="3" t="s">
        <v>555</v>
      </c>
      <c r="D280" s="3" t="s">
        <v>556</v>
      </c>
      <c r="E280" s="3" t="s">
        <v>12</v>
      </c>
      <c r="F280" s="4" t="s">
        <v>605</v>
      </c>
      <c r="G280" s="4" t="s">
        <v>606</v>
      </c>
      <c r="H280" s="3" t="n">
        <f aca="false">IF(COUNTIFS($D$2:D280,D280,$E$2:E280,E280,$A$2:A280,A280)=1,1,0)</f>
        <v>0</v>
      </c>
    </row>
    <row r="281" customFormat="false" ht="68.25" hidden="false" customHeight="true" outlineLevel="0" collapsed="false">
      <c r="A281" s="3" t="s">
        <v>72</v>
      </c>
      <c r="B281" s="3" t="s">
        <v>9</v>
      </c>
      <c r="C281" s="3" t="s">
        <v>555</v>
      </c>
      <c r="D281" s="3" t="s">
        <v>556</v>
      </c>
      <c r="E281" s="3" t="s">
        <v>12</v>
      </c>
      <c r="F281" s="4" t="s">
        <v>607</v>
      </c>
      <c r="G281" s="4" t="s">
        <v>608</v>
      </c>
      <c r="H281" s="3" t="n">
        <f aca="false">IF(COUNTIFS($D$2:D281,D281,$E$2:E281,E281,$A$2:A281,A281)=1,1,0)</f>
        <v>0</v>
      </c>
    </row>
    <row r="282" customFormat="false" ht="34.5" hidden="false" customHeight="true" outlineLevel="0" collapsed="false">
      <c r="A282" s="3" t="s">
        <v>72</v>
      </c>
      <c r="B282" s="3" t="s">
        <v>9</v>
      </c>
      <c r="C282" s="3" t="s">
        <v>555</v>
      </c>
      <c r="D282" s="3" t="s">
        <v>556</v>
      </c>
      <c r="E282" s="3" t="s">
        <v>12</v>
      </c>
      <c r="F282" s="4" t="s">
        <v>609</v>
      </c>
      <c r="G282" s="4" t="s">
        <v>610</v>
      </c>
      <c r="H282" s="3" t="n">
        <f aca="false">IF(COUNTIFS($D$2:D282,D282,$E$2:E282,E282,$A$2:A282,A282)=1,1,0)</f>
        <v>0</v>
      </c>
    </row>
    <row r="283" customFormat="false" ht="57" hidden="false" customHeight="true" outlineLevel="0" collapsed="false">
      <c r="A283" s="3" t="s">
        <v>72</v>
      </c>
      <c r="B283" s="3" t="s">
        <v>9</v>
      </c>
      <c r="C283" s="3" t="s">
        <v>555</v>
      </c>
      <c r="D283" s="3" t="s">
        <v>134</v>
      </c>
      <c r="E283" s="3" t="s">
        <v>12</v>
      </c>
      <c r="F283" s="4" t="s">
        <v>611</v>
      </c>
      <c r="G283" s="4" t="s">
        <v>612</v>
      </c>
      <c r="H283" s="3" t="n">
        <f aca="false">IF(COUNTIFS($D$2:D283,D283,$E$2:E283,E283,$A$2:A283,A283)=1,1,0)</f>
        <v>0</v>
      </c>
    </row>
    <row r="284" customFormat="false" ht="45.75" hidden="false" customHeight="true" outlineLevel="0" collapsed="false">
      <c r="A284" s="3" t="s">
        <v>72</v>
      </c>
      <c r="B284" s="3" t="s">
        <v>9</v>
      </c>
      <c r="C284" s="3" t="s">
        <v>555</v>
      </c>
      <c r="D284" s="3" t="s">
        <v>556</v>
      </c>
      <c r="E284" s="3" t="s">
        <v>12</v>
      </c>
      <c r="F284" s="4" t="s">
        <v>613</v>
      </c>
      <c r="G284" s="4" t="s">
        <v>614</v>
      </c>
      <c r="H284" s="3" t="n">
        <f aca="false">IF(COUNTIFS($D$2:D284,D284,$E$2:E284,E284,$A$2:A284,A284)=1,1,0)</f>
        <v>0</v>
      </c>
    </row>
    <row r="285" customFormat="false" ht="57" hidden="false" customHeight="true" outlineLevel="0" collapsed="false">
      <c r="A285" s="3" t="s">
        <v>72</v>
      </c>
      <c r="B285" s="3" t="s">
        <v>9</v>
      </c>
      <c r="C285" s="3" t="s">
        <v>555</v>
      </c>
      <c r="D285" s="3" t="s">
        <v>556</v>
      </c>
      <c r="E285" s="3" t="s">
        <v>12</v>
      </c>
      <c r="F285" s="4" t="s">
        <v>615</v>
      </c>
      <c r="G285" s="4" t="s">
        <v>616</v>
      </c>
      <c r="H285" s="3" t="n">
        <f aca="false">IF(COUNTIFS($D$2:D285,D285,$E$2:E285,E285,$A$2:A285,A285)=1,1,0)</f>
        <v>0</v>
      </c>
    </row>
    <row r="286" customFormat="false" ht="45.75" hidden="false" customHeight="true" outlineLevel="0" collapsed="false">
      <c r="A286" s="3" t="s">
        <v>99</v>
      </c>
      <c r="B286" s="3" t="s">
        <v>9</v>
      </c>
      <c r="C286" s="3" t="s">
        <v>555</v>
      </c>
      <c r="D286" s="3" t="s">
        <v>134</v>
      </c>
      <c r="E286" s="3" t="s">
        <v>12</v>
      </c>
      <c r="F286" s="4" t="s">
        <v>617</v>
      </c>
      <c r="G286" s="4" t="s">
        <v>618</v>
      </c>
      <c r="H286" s="3" t="n">
        <f aca="false">IF(COUNTIFS($D$2:D286,D286,$E$2:E286,E286,$A$2:A286,A286)=1,1,0)</f>
        <v>1</v>
      </c>
    </row>
    <row r="287" customFormat="false" ht="68.25" hidden="false" customHeight="true" outlineLevel="0" collapsed="false">
      <c r="A287" s="3" t="s">
        <v>99</v>
      </c>
      <c r="B287" s="3" t="s">
        <v>9</v>
      </c>
      <c r="C287" s="3" t="s">
        <v>555</v>
      </c>
      <c r="D287" s="3" t="s">
        <v>619</v>
      </c>
      <c r="E287" s="3" t="s">
        <v>12</v>
      </c>
      <c r="F287" s="4" t="s">
        <v>620</v>
      </c>
      <c r="G287" s="4" t="s">
        <v>621</v>
      </c>
      <c r="H287" s="3" t="n">
        <f aca="false">IF(COUNTIFS($D$2:D287,D287,$E$2:E287,E287,$A$2:A287,A287)=1,1,0)</f>
        <v>1</v>
      </c>
    </row>
    <row r="288" customFormat="false" ht="45.75" hidden="false" customHeight="true" outlineLevel="0" collapsed="false">
      <c r="A288" s="3" t="s">
        <v>99</v>
      </c>
      <c r="B288" s="3" t="s">
        <v>9</v>
      </c>
      <c r="C288" s="3" t="s">
        <v>555</v>
      </c>
      <c r="D288" s="3" t="s">
        <v>134</v>
      </c>
      <c r="E288" s="3" t="s">
        <v>12</v>
      </c>
      <c r="F288" s="4" t="s">
        <v>622</v>
      </c>
      <c r="G288" s="4" t="s">
        <v>623</v>
      </c>
      <c r="H288" s="3" t="n">
        <f aca="false">IF(COUNTIFS($D$2:D288,D288,$E$2:E288,E288,$A$2:A288,A288)=1,1,0)</f>
        <v>0</v>
      </c>
    </row>
    <row r="289" customFormat="false" ht="45.75" hidden="false" customHeight="true" outlineLevel="0" collapsed="false">
      <c r="A289" s="3" t="s">
        <v>99</v>
      </c>
      <c r="B289" s="3" t="s">
        <v>9</v>
      </c>
      <c r="C289" s="3" t="s">
        <v>555</v>
      </c>
      <c r="D289" s="3" t="s">
        <v>134</v>
      </c>
      <c r="E289" s="3" t="s">
        <v>12</v>
      </c>
      <c r="F289" s="4" t="s">
        <v>624</v>
      </c>
      <c r="G289" s="4" t="s">
        <v>625</v>
      </c>
      <c r="H289" s="3" t="n">
        <f aca="false">IF(COUNTIFS($D$2:D289,D289,$E$2:E289,E289,$A$2:A289,A289)=1,1,0)</f>
        <v>0</v>
      </c>
    </row>
    <row r="290" customFormat="false" ht="57" hidden="false" customHeight="true" outlineLevel="0" collapsed="false">
      <c r="A290" s="3" t="s">
        <v>99</v>
      </c>
      <c r="B290" s="3" t="s">
        <v>9</v>
      </c>
      <c r="C290" s="3" t="s">
        <v>555</v>
      </c>
      <c r="D290" s="3" t="s">
        <v>556</v>
      </c>
      <c r="E290" s="3" t="s">
        <v>12</v>
      </c>
      <c r="F290" s="4" t="s">
        <v>626</v>
      </c>
      <c r="G290" s="4" t="s">
        <v>627</v>
      </c>
      <c r="H290" s="3" t="n">
        <f aca="false">IF(COUNTIFS($D$2:D290,D290,$E$2:E290,E290,$A$2:A290,A290)=1,1,0)</f>
        <v>1</v>
      </c>
    </row>
    <row r="291" customFormat="false" ht="57" hidden="false" customHeight="true" outlineLevel="0" collapsed="false">
      <c r="A291" s="3" t="s">
        <v>99</v>
      </c>
      <c r="B291" s="3" t="s">
        <v>9</v>
      </c>
      <c r="C291" s="3" t="s">
        <v>555</v>
      </c>
      <c r="D291" s="3" t="s">
        <v>556</v>
      </c>
      <c r="E291" s="3" t="s">
        <v>12</v>
      </c>
      <c r="F291" s="4" t="s">
        <v>628</v>
      </c>
      <c r="G291" s="4" t="s">
        <v>629</v>
      </c>
      <c r="H291" s="3" t="n">
        <f aca="false">IF(COUNTIFS($D$2:D291,D291,$E$2:E291,E291,$A$2:A291,A291)=1,1,0)</f>
        <v>0</v>
      </c>
    </row>
    <row r="292" customFormat="false" ht="34.5" hidden="false" customHeight="true" outlineLevel="0" collapsed="false">
      <c r="A292" s="3" t="s">
        <v>120</v>
      </c>
      <c r="B292" s="3" t="s">
        <v>9</v>
      </c>
      <c r="C292" s="3" t="s">
        <v>555</v>
      </c>
      <c r="D292" s="3" t="s">
        <v>486</v>
      </c>
      <c r="E292" s="3" t="s">
        <v>12</v>
      </c>
      <c r="F292" s="4" t="s">
        <v>630</v>
      </c>
      <c r="G292" s="4" t="s">
        <v>631</v>
      </c>
      <c r="H292" s="3" t="n">
        <f aca="false">IF(COUNTIFS($D$2:D292,D292,$E$2:E292,E292,$A$2:A292,A292)=1,1,0)</f>
        <v>1</v>
      </c>
    </row>
    <row r="293" customFormat="false" ht="34.5" hidden="false" customHeight="true" outlineLevel="0" collapsed="false">
      <c r="A293" s="3" t="s">
        <v>120</v>
      </c>
      <c r="B293" s="3" t="s">
        <v>9</v>
      </c>
      <c r="C293" s="3" t="s">
        <v>555</v>
      </c>
      <c r="D293" s="3" t="s">
        <v>556</v>
      </c>
      <c r="E293" s="3" t="s">
        <v>12</v>
      </c>
      <c r="F293" s="4" t="s">
        <v>632</v>
      </c>
      <c r="G293" s="4" t="s">
        <v>633</v>
      </c>
      <c r="H293" s="3" t="n">
        <f aca="false">IF(COUNTIFS($D$2:D293,D293,$E$2:E293,E293,$A$2:A293,A293)=1,1,0)</f>
        <v>1</v>
      </c>
    </row>
    <row r="294" customFormat="false" ht="68.25" hidden="false" customHeight="true" outlineLevel="0" collapsed="false">
      <c r="A294" s="3" t="s">
        <v>120</v>
      </c>
      <c r="B294" s="3" t="s">
        <v>9</v>
      </c>
      <c r="C294" s="3" t="s">
        <v>555</v>
      </c>
      <c r="D294" s="3" t="s">
        <v>556</v>
      </c>
      <c r="E294" s="3" t="s">
        <v>24</v>
      </c>
      <c r="F294" s="4" t="s">
        <v>634</v>
      </c>
      <c r="G294" s="4" t="s">
        <v>635</v>
      </c>
      <c r="H294" s="3" t="n">
        <f aca="false">IF(COUNTIFS($D$2:D294,D294,$E$2:E294,E294,$A$2:A294,A294)=1,1,0)</f>
        <v>1</v>
      </c>
    </row>
    <row r="295" customFormat="false" ht="23.25" hidden="false" customHeight="true" outlineLevel="0" collapsed="false">
      <c r="A295" s="3" t="s">
        <v>120</v>
      </c>
      <c r="B295" s="3" t="s">
        <v>9</v>
      </c>
      <c r="C295" s="3" t="s">
        <v>555</v>
      </c>
      <c r="D295" s="3" t="s">
        <v>556</v>
      </c>
      <c r="E295" s="3" t="s">
        <v>12</v>
      </c>
      <c r="F295" s="4" t="s">
        <v>636</v>
      </c>
      <c r="G295" s="4" t="s">
        <v>637</v>
      </c>
      <c r="H295" s="3" t="n">
        <f aca="false">IF(COUNTIFS($D$2:D295,D295,$E$2:E295,E295,$A$2:A295,A295)=1,1,0)</f>
        <v>0</v>
      </c>
    </row>
    <row r="296" customFormat="false" ht="57" hidden="false" customHeight="true" outlineLevel="0" collapsed="false">
      <c r="A296" s="3" t="s">
        <v>120</v>
      </c>
      <c r="B296" s="3" t="s">
        <v>9</v>
      </c>
      <c r="C296" s="3" t="s">
        <v>555</v>
      </c>
      <c r="D296" s="3" t="s">
        <v>556</v>
      </c>
      <c r="E296" s="3" t="s">
        <v>12</v>
      </c>
      <c r="F296" s="4" t="s">
        <v>638</v>
      </c>
      <c r="G296" s="4" t="s">
        <v>639</v>
      </c>
      <c r="H296" s="3" t="n">
        <f aca="false">IF(COUNTIFS($D$2:D296,D296,$E$2:E296,E296,$A$2:A296,A296)=1,1,0)</f>
        <v>0</v>
      </c>
    </row>
    <row r="297" customFormat="false" ht="45.75" hidden="false" customHeight="true" outlineLevel="0" collapsed="false">
      <c r="A297" s="3" t="s">
        <v>120</v>
      </c>
      <c r="B297" s="3" t="s">
        <v>9</v>
      </c>
      <c r="C297" s="3" t="s">
        <v>555</v>
      </c>
      <c r="D297" s="3" t="s">
        <v>134</v>
      </c>
      <c r="E297" s="3" t="s">
        <v>12</v>
      </c>
      <c r="F297" s="4" t="s">
        <v>640</v>
      </c>
      <c r="G297" s="4" t="s">
        <v>641</v>
      </c>
      <c r="H297" s="3" t="n">
        <f aca="false">IF(COUNTIFS($D$2:D297,D297,$E$2:E297,E297,$A$2:A297,A297)=1,1,0)</f>
        <v>0</v>
      </c>
    </row>
    <row r="298" customFormat="false" ht="34.5" hidden="false" customHeight="true" outlineLevel="0" collapsed="false">
      <c r="A298" s="3" t="s">
        <v>143</v>
      </c>
      <c r="B298" s="3" t="s">
        <v>9</v>
      </c>
      <c r="C298" s="3" t="s">
        <v>555</v>
      </c>
      <c r="D298" s="3" t="s">
        <v>556</v>
      </c>
      <c r="E298" s="3" t="s">
        <v>12</v>
      </c>
      <c r="F298" s="4" t="s">
        <v>642</v>
      </c>
      <c r="G298" s="4" t="s">
        <v>643</v>
      </c>
      <c r="H298" s="3" t="n">
        <f aca="false">IF(COUNTIFS($D$2:D298,D298,$E$2:E298,E298,$A$2:A298,A298)=1,1,0)</f>
        <v>1</v>
      </c>
    </row>
    <row r="299" customFormat="false" ht="34.5" hidden="false" customHeight="true" outlineLevel="0" collapsed="false">
      <c r="A299" s="3" t="s">
        <v>143</v>
      </c>
      <c r="B299" s="3" t="s">
        <v>9</v>
      </c>
      <c r="C299" s="3" t="s">
        <v>555</v>
      </c>
      <c r="D299" s="3" t="s">
        <v>619</v>
      </c>
      <c r="E299" s="3" t="s">
        <v>12</v>
      </c>
      <c r="F299" s="4" t="s">
        <v>644</v>
      </c>
      <c r="G299" s="4" t="s">
        <v>645</v>
      </c>
      <c r="H299" s="3" t="n">
        <f aca="false">IF(COUNTIFS($D$2:D299,D299,$E$2:E299,E299,$A$2:A299,A299)=1,1,0)</f>
        <v>1</v>
      </c>
    </row>
    <row r="300" customFormat="false" ht="45.75" hidden="false" customHeight="true" outlineLevel="0" collapsed="false">
      <c r="A300" s="3" t="s">
        <v>143</v>
      </c>
      <c r="B300" s="3" t="s">
        <v>9</v>
      </c>
      <c r="C300" s="3" t="s">
        <v>555</v>
      </c>
      <c r="D300" s="3" t="s">
        <v>556</v>
      </c>
      <c r="E300" s="3" t="s">
        <v>12</v>
      </c>
      <c r="F300" s="4" t="s">
        <v>646</v>
      </c>
      <c r="G300" s="4" t="s">
        <v>647</v>
      </c>
      <c r="H300" s="3" t="n">
        <f aca="false">IF(COUNTIFS($D$2:D300,D300,$E$2:E300,E300,$A$2:A300,A300)=1,1,0)</f>
        <v>0</v>
      </c>
    </row>
    <row r="301" customFormat="false" ht="34.5" hidden="false" customHeight="true" outlineLevel="0" collapsed="false">
      <c r="A301" s="3" t="s">
        <v>150</v>
      </c>
      <c r="B301" s="3" t="s">
        <v>9</v>
      </c>
      <c r="C301" s="3" t="s">
        <v>555</v>
      </c>
      <c r="D301" s="3" t="s">
        <v>134</v>
      </c>
      <c r="E301" s="3" t="s">
        <v>12</v>
      </c>
      <c r="F301" s="4" t="s">
        <v>648</v>
      </c>
      <c r="G301" s="4" t="s">
        <v>649</v>
      </c>
      <c r="H301" s="3" t="n">
        <f aca="false">IF(COUNTIFS($D$2:D301,D301,$E$2:E301,E301,$A$2:A301,A301)=1,1,0)</f>
        <v>0</v>
      </c>
    </row>
    <row r="302" customFormat="false" ht="45.75" hidden="false" customHeight="true" outlineLevel="0" collapsed="false">
      <c r="A302" s="3" t="s">
        <v>150</v>
      </c>
      <c r="B302" s="3" t="s">
        <v>9</v>
      </c>
      <c r="C302" s="3" t="s">
        <v>555</v>
      </c>
      <c r="D302" s="3" t="s">
        <v>134</v>
      </c>
      <c r="E302" s="3" t="s">
        <v>12</v>
      </c>
      <c r="F302" s="4" t="s">
        <v>650</v>
      </c>
      <c r="G302" s="4" t="s">
        <v>651</v>
      </c>
      <c r="H302" s="3" t="n">
        <f aca="false">IF(COUNTIFS($D$2:D302,D302,$E$2:E302,E302,$A$2:A302,A302)=1,1,0)</f>
        <v>0</v>
      </c>
    </row>
    <row r="303" customFormat="false" ht="23.25" hidden="false" customHeight="true" outlineLevel="0" collapsed="false">
      <c r="A303" s="3" t="s">
        <v>150</v>
      </c>
      <c r="B303" s="3" t="s">
        <v>9</v>
      </c>
      <c r="C303" s="3" t="s">
        <v>555</v>
      </c>
      <c r="D303" s="3" t="s">
        <v>134</v>
      </c>
      <c r="E303" s="3" t="s">
        <v>12</v>
      </c>
      <c r="F303" s="4" t="s">
        <v>652</v>
      </c>
      <c r="G303" s="4" t="s">
        <v>653</v>
      </c>
      <c r="H303" s="3" t="n">
        <f aca="false">IF(COUNTIFS($D$2:D303,D303,$E$2:E303,E303,$A$2:A303,A303)=1,1,0)</f>
        <v>0</v>
      </c>
    </row>
    <row r="304" customFormat="false" ht="57" hidden="false" customHeight="true" outlineLevel="0" collapsed="false">
      <c r="A304" s="3" t="s">
        <v>150</v>
      </c>
      <c r="B304" s="3" t="s">
        <v>9</v>
      </c>
      <c r="C304" s="3" t="s">
        <v>555</v>
      </c>
      <c r="D304" s="3" t="s">
        <v>134</v>
      </c>
      <c r="E304" s="3" t="s">
        <v>12</v>
      </c>
      <c r="F304" s="4" t="s">
        <v>654</v>
      </c>
      <c r="G304" s="4" t="s">
        <v>655</v>
      </c>
      <c r="H304" s="3" t="n">
        <f aca="false">IF(COUNTIFS($D$2:D304,D304,$E$2:E304,E304,$A$2:A304,A304)=1,1,0)</f>
        <v>0</v>
      </c>
    </row>
    <row r="305" customFormat="false" ht="34.5" hidden="false" customHeight="true" outlineLevel="0" collapsed="false">
      <c r="A305" s="3" t="s">
        <v>150</v>
      </c>
      <c r="B305" s="3" t="s">
        <v>9</v>
      </c>
      <c r="C305" s="3" t="s">
        <v>555</v>
      </c>
      <c r="D305" s="3" t="s">
        <v>134</v>
      </c>
      <c r="E305" s="3" t="s">
        <v>12</v>
      </c>
      <c r="F305" s="4" t="s">
        <v>656</v>
      </c>
      <c r="G305" s="4" t="s">
        <v>657</v>
      </c>
      <c r="H305" s="3" t="n">
        <f aca="false">IF(COUNTIFS($D$2:D305,D305,$E$2:E305,E305,$A$2:A305,A305)=1,1,0)</f>
        <v>0</v>
      </c>
    </row>
    <row r="306" customFormat="false" ht="45.75" hidden="false" customHeight="true" outlineLevel="0" collapsed="false">
      <c r="A306" s="3" t="s">
        <v>150</v>
      </c>
      <c r="B306" s="3" t="s">
        <v>9</v>
      </c>
      <c r="C306" s="3" t="s">
        <v>555</v>
      </c>
      <c r="D306" s="3" t="s">
        <v>134</v>
      </c>
      <c r="E306" s="3" t="s">
        <v>12</v>
      </c>
      <c r="F306" s="4" t="s">
        <v>658</v>
      </c>
      <c r="G306" s="4" t="s">
        <v>659</v>
      </c>
      <c r="H306" s="3" t="n">
        <f aca="false">IF(COUNTIFS($D$2:D306,D306,$E$2:E306,E306,$A$2:A306,A306)=1,1,0)</f>
        <v>0</v>
      </c>
    </row>
    <row r="307" customFormat="false" ht="45.75" hidden="false" customHeight="true" outlineLevel="0" collapsed="false">
      <c r="A307" s="3" t="s">
        <v>150</v>
      </c>
      <c r="B307" s="3" t="s">
        <v>9</v>
      </c>
      <c r="C307" s="3" t="s">
        <v>555</v>
      </c>
      <c r="D307" s="3" t="s">
        <v>619</v>
      </c>
      <c r="E307" s="3" t="s">
        <v>12</v>
      </c>
      <c r="F307" s="4" t="s">
        <v>660</v>
      </c>
      <c r="G307" s="4" t="s">
        <v>661</v>
      </c>
      <c r="H307" s="3" t="n">
        <f aca="false">IF(COUNTIFS($D$2:D307,D307,$E$2:E307,E307,$A$2:A307,A307)=1,1,0)</f>
        <v>1</v>
      </c>
    </row>
    <row r="308" customFormat="false" ht="45.75" hidden="false" customHeight="true" outlineLevel="0" collapsed="false">
      <c r="A308" s="3" t="s">
        <v>150</v>
      </c>
      <c r="B308" s="3" t="s">
        <v>9</v>
      </c>
      <c r="C308" s="3" t="s">
        <v>555</v>
      </c>
      <c r="D308" s="3" t="s">
        <v>556</v>
      </c>
      <c r="E308" s="3" t="s">
        <v>12</v>
      </c>
      <c r="F308" s="4" t="s">
        <v>662</v>
      </c>
      <c r="G308" s="4" t="s">
        <v>663</v>
      </c>
      <c r="H308" s="3" t="n">
        <f aca="false">IF(COUNTIFS($D$2:D308,D308,$E$2:E308,E308,$A$2:A308,A308)=1,1,0)</f>
        <v>1</v>
      </c>
    </row>
    <row r="309" customFormat="false" ht="34.5" hidden="false" customHeight="true" outlineLevel="0" collapsed="false">
      <c r="A309" s="3" t="s">
        <v>171</v>
      </c>
      <c r="B309" s="3" t="s">
        <v>9</v>
      </c>
      <c r="C309" s="3" t="s">
        <v>555</v>
      </c>
      <c r="D309" s="3" t="s">
        <v>556</v>
      </c>
      <c r="E309" s="3" t="s">
        <v>12</v>
      </c>
      <c r="F309" s="4" t="s">
        <v>664</v>
      </c>
      <c r="G309" s="4" t="s">
        <v>665</v>
      </c>
      <c r="H309" s="3" t="n">
        <f aca="false">IF(COUNTIFS($D$2:D309,D309,$E$2:E309,E309,$A$2:A309,A309)=1,1,0)</f>
        <v>1</v>
      </c>
    </row>
    <row r="310" customFormat="false" ht="68.25" hidden="false" customHeight="true" outlineLevel="0" collapsed="false">
      <c r="A310" s="3" t="s">
        <v>171</v>
      </c>
      <c r="B310" s="3" t="s">
        <v>9</v>
      </c>
      <c r="C310" s="3" t="s">
        <v>555</v>
      </c>
      <c r="D310" s="3" t="s">
        <v>556</v>
      </c>
      <c r="E310" s="3" t="s">
        <v>12</v>
      </c>
      <c r="F310" s="4" t="s">
        <v>666</v>
      </c>
      <c r="G310" s="4" t="s">
        <v>667</v>
      </c>
      <c r="H310" s="3" t="n">
        <f aca="false">IF(COUNTIFS($D$2:D310,D310,$E$2:E310,E310,$A$2:A310,A310)=1,1,0)</f>
        <v>0</v>
      </c>
    </row>
    <row r="311" customFormat="false" ht="57" hidden="false" customHeight="true" outlineLevel="0" collapsed="false">
      <c r="A311" s="3" t="s">
        <v>171</v>
      </c>
      <c r="B311" s="3" t="s">
        <v>9</v>
      </c>
      <c r="C311" s="3" t="s">
        <v>555</v>
      </c>
      <c r="D311" s="3" t="s">
        <v>619</v>
      </c>
      <c r="E311" s="3" t="s">
        <v>12</v>
      </c>
      <c r="F311" s="4" t="s">
        <v>668</v>
      </c>
      <c r="G311" s="4" t="s">
        <v>669</v>
      </c>
      <c r="H311" s="3" t="n">
        <f aca="false">IF(COUNTIFS($D$2:D311,D311,$E$2:E311,E311,$A$2:A311,A311)=1,1,0)</f>
        <v>1</v>
      </c>
    </row>
    <row r="312" customFormat="false" ht="68.25" hidden="false" customHeight="true" outlineLevel="0" collapsed="false">
      <c r="A312" s="3" t="s">
        <v>171</v>
      </c>
      <c r="B312" s="3" t="s">
        <v>9</v>
      </c>
      <c r="C312" s="3" t="s">
        <v>555</v>
      </c>
      <c r="D312" s="3" t="s">
        <v>619</v>
      </c>
      <c r="E312" s="3" t="s">
        <v>96</v>
      </c>
      <c r="F312" s="4" t="s">
        <v>670</v>
      </c>
      <c r="G312" s="4" t="s">
        <v>671</v>
      </c>
      <c r="H312" s="3" t="n">
        <f aca="false">IF(COUNTIFS($D$2:D312,D312,$E$2:E312,E312,$A$2:A312,A312)=1,1,0)</f>
        <v>1</v>
      </c>
    </row>
    <row r="313" customFormat="false" ht="45.75" hidden="false" customHeight="true" outlineLevel="0" collapsed="false">
      <c r="A313" s="3" t="s">
        <v>171</v>
      </c>
      <c r="B313" s="3" t="s">
        <v>9</v>
      </c>
      <c r="C313" s="3" t="s">
        <v>555</v>
      </c>
      <c r="D313" s="3" t="s">
        <v>619</v>
      </c>
      <c r="E313" s="3" t="s">
        <v>12</v>
      </c>
      <c r="F313" s="4" t="s">
        <v>672</v>
      </c>
      <c r="G313" s="4" t="s">
        <v>673</v>
      </c>
      <c r="H313" s="3" t="n">
        <f aca="false">IF(COUNTIFS($D$2:D313,D313,$E$2:E313,E313,$A$2:A313,A313)=1,1,0)</f>
        <v>0</v>
      </c>
    </row>
    <row r="314" customFormat="false" ht="34.5" hidden="false" customHeight="true" outlineLevel="0" collapsed="false">
      <c r="A314" s="3" t="s">
        <v>171</v>
      </c>
      <c r="B314" s="3" t="s">
        <v>9</v>
      </c>
      <c r="C314" s="3" t="s">
        <v>555</v>
      </c>
      <c r="D314" s="3" t="s">
        <v>619</v>
      </c>
      <c r="E314" s="3" t="s">
        <v>12</v>
      </c>
      <c r="F314" s="4" t="s">
        <v>674</v>
      </c>
      <c r="G314" s="4" t="s">
        <v>675</v>
      </c>
      <c r="H314" s="3" t="n">
        <f aca="false">IF(COUNTIFS($D$2:D314,D314,$E$2:E314,E314,$A$2:A314,A314)=1,1,0)</f>
        <v>0</v>
      </c>
    </row>
    <row r="315" customFormat="false" ht="34.5" hidden="false" customHeight="true" outlineLevel="0" collapsed="false">
      <c r="A315" s="3" t="s">
        <v>171</v>
      </c>
      <c r="B315" s="3" t="s">
        <v>9</v>
      </c>
      <c r="C315" s="3" t="s">
        <v>555</v>
      </c>
      <c r="D315" s="3" t="s">
        <v>134</v>
      </c>
      <c r="E315" s="3" t="s">
        <v>96</v>
      </c>
      <c r="F315" s="4" t="s">
        <v>676</v>
      </c>
      <c r="G315" s="4" t="s">
        <v>677</v>
      </c>
      <c r="H315" s="3" t="n">
        <f aca="false">IF(COUNTIFS($D$2:D315,D315,$E$2:E315,E315,$A$2:A315,A315)=1,1,0)</f>
        <v>1</v>
      </c>
    </row>
    <row r="316" customFormat="false" ht="34.5" hidden="false" customHeight="true" outlineLevel="0" collapsed="false">
      <c r="A316" s="3" t="s">
        <v>171</v>
      </c>
      <c r="B316" s="3" t="s">
        <v>9</v>
      </c>
      <c r="C316" s="3" t="s">
        <v>555</v>
      </c>
      <c r="D316" s="3" t="s">
        <v>134</v>
      </c>
      <c r="E316" s="3" t="s">
        <v>59</v>
      </c>
      <c r="F316" s="4" t="s">
        <v>678</v>
      </c>
      <c r="G316" s="4" t="s">
        <v>679</v>
      </c>
      <c r="H316" s="3" t="n">
        <f aca="false">IF(COUNTIFS($D$2:D316,D316,$E$2:E316,E316,$A$2:A316,A316)=1,1,0)</f>
        <v>1</v>
      </c>
    </row>
    <row r="317" customFormat="false" ht="34.5" hidden="false" customHeight="true" outlineLevel="0" collapsed="false">
      <c r="A317" s="3" t="s">
        <v>171</v>
      </c>
      <c r="B317" s="3" t="s">
        <v>9</v>
      </c>
      <c r="C317" s="3" t="s">
        <v>555</v>
      </c>
      <c r="D317" s="3" t="s">
        <v>134</v>
      </c>
      <c r="E317" s="3" t="s">
        <v>59</v>
      </c>
      <c r="F317" s="4" t="s">
        <v>680</v>
      </c>
      <c r="G317" s="4" t="s">
        <v>681</v>
      </c>
      <c r="H317" s="3" t="n">
        <f aca="false">IF(COUNTIFS($D$2:D317,D317,$E$2:E317,E317,$A$2:A317,A317)=1,1,0)</f>
        <v>0</v>
      </c>
    </row>
    <row r="318" customFormat="false" ht="45.75" hidden="false" customHeight="true" outlineLevel="0" collapsed="false">
      <c r="A318" s="3" t="s">
        <v>186</v>
      </c>
      <c r="B318" s="3" t="s">
        <v>9</v>
      </c>
      <c r="C318" s="3" t="s">
        <v>555</v>
      </c>
      <c r="D318" s="3" t="s">
        <v>444</v>
      </c>
      <c r="E318" s="3" t="s">
        <v>59</v>
      </c>
      <c r="F318" s="4" t="s">
        <v>682</v>
      </c>
      <c r="G318" s="4" t="s">
        <v>683</v>
      </c>
      <c r="H318" s="3" t="n">
        <f aca="false">IF(COUNTIFS($D$2:D318,D318,$E$2:E318,E318,$A$2:A318,A318)=1,1,0)</f>
        <v>1</v>
      </c>
    </row>
    <row r="319" customFormat="false" ht="45.75" hidden="false" customHeight="true" outlineLevel="0" collapsed="false">
      <c r="A319" s="3" t="s">
        <v>186</v>
      </c>
      <c r="B319" s="3" t="s">
        <v>9</v>
      </c>
      <c r="C319" s="3" t="s">
        <v>555</v>
      </c>
      <c r="D319" s="3" t="s">
        <v>134</v>
      </c>
      <c r="E319" s="3" t="s">
        <v>12</v>
      </c>
      <c r="F319" s="4" t="s">
        <v>684</v>
      </c>
      <c r="G319" s="4" t="s">
        <v>685</v>
      </c>
      <c r="H319" s="3" t="n">
        <f aca="false">IF(COUNTIFS($D$2:D319,D319,$E$2:E319,E319,$A$2:A319,A319)=1,1,0)</f>
        <v>0</v>
      </c>
    </row>
    <row r="320" customFormat="false" ht="57" hidden="false" customHeight="true" outlineLevel="0" collapsed="false">
      <c r="A320" s="3" t="s">
        <v>186</v>
      </c>
      <c r="B320" s="3" t="s">
        <v>9</v>
      </c>
      <c r="C320" s="3" t="s">
        <v>555</v>
      </c>
      <c r="D320" s="3" t="s">
        <v>134</v>
      </c>
      <c r="E320" s="3" t="s">
        <v>12</v>
      </c>
      <c r="F320" s="4" t="s">
        <v>686</v>
      </c>
      <c r="G320" s="4" t="s">
        <v>687</v>
      </c>
      <c r="H320" s="3" t="n">
        <f aca="false">IF(COUNTIFS($D$2:D320,D320,$E$2:E320,E320,$A$2:A320,A320)=1,1,0)</f>
        <v>0</v>
      </c>
    </row>
    <row r="321" customFormat="false" ht="34.5" hidden="false" customHeight="true" outlineLevel="0" collapsed="false">
      <c r="A321" s="3" t="s">
        <v>186</v>
      </c>
      <c r="B321" s="3" t="s">
        <v>9</v>
      </c>
      <c r="C321" s="3" t="s">
        <v>555</v>
      </c>
      <c r="D321" s="3" t="s">
        <v>134</v>
      </c>
      <c r="E321" s="3" t="s">
        <v>12</v>
      </c>
      <c r="F321" s="4" t="s">
        <v>688</v>
      </c>
      <c r="G321" s="4" t="s">
        <v>689</v>
      </c>
      <c r="H321" s="3" t="n">
        <f aca="false">IF(COUNTIFS($D$2:D321,D321,$E$2:E321,E321,$A$2:A321,A321)=1,1,0)</f>
        <v>0</v>
      </c>
    </row>
    <row r="322" customFormat="false" ht="45.75" hidden="false" customHeight="true" outlineLevel="0" collapsed="false">
      <c r="A322" s="3" t="s">
        <v>186</v>
      </c>
      <c r="B322" s="3" t="s">
        <v>9</v>
      </c>
      <c r="C322" s="3" t="s">
        <v>555</v>
      </c>
      <c r="D322" s="3" t="s">
        <v>473</v>
      </c>
      <c r="E322" s="3" t="s">
        <v>96</v>
      </c>
      <c r="F322" s="4" t="s">
        <v>690</v>
      </c>
      <c r="G322" s="4" t="s">
        <v>691</v>
      </c>
      <c r="H322" s="3" t="n">
        <f aca="false">IF(COUNTIFS($D$2:D322,D322,$E$2:E322,E322,$A$2:A322,A322)=1,1,0)</f>
        <v>1</v>
      </c>
    </row>
    <row r="323" customFormat="false" ht="34.5" hidden="false" customHeight="true" outlineLevel="0" collapsed="false">
      <c r="A323" s="3" t="s">
        <v>186</v>
      </c>
      <c r="B323" s="3" t="s">
        <v>9</v>
      </c>
      <c r="C323" s="3" t="s">
        <v>555</v>
      </c>
      <c r="D323" s="3" t="s">
        <v>556</v>
      </c>
      <c r="E323" s="3" t="s">
        <v>12</v>
      </c>
      <c r="F323" s="4" t="s">
        <v>692</v>
      </c>
      <c r="G323" s="4" t="s">
        <v>693</v>
      </c>
      <c r="H323" s="3" t="n">
        <f aca="false">IF(COUNTIFS($D$2:D323,D323,$E$2:E323,E323,$A$2:A323,A323)=1,1,0)</f>
        <v>1</v>
      </c>
    </row>
    <row r="324" customFormat="false" ht="57" hidden="false" customHeight="true" outlineLevel="0" collapsed="false">
      <c r="A324" s="3" t="s">
        <v>186</v>
      </c>
      <c r="B324" s="3" t="s">
        <v>9</v>
      </c>
      <c r="C324" s="3" t="s">
        <v>555</v>
      </c>
      <c r="D324" s="3" t="s">
        <v>556</v>
      </c>
      <c r="E324" s="3" t="s">
        <v>12</v>
      </c>
      <c r="F324" s="4" t="s">
        <v>694</v>
      </c>
      <c r="G324" s="4" t="s">
        <v>695</v>
      </c>
      <c r="H324" s="3" t="n">
        <f aca="false">IF(COUNTIFS($D$2:D324,D324,$E$2:E324,E324,$A$2:A324,A324)=1,1,0)</f>
        <v>0</v>
      </c>
    </row>
    <row r="325" customFormat="false" ht="45.75" hidden="false" customHeight="true" outlineLevel="0" collapsed="false">
      <c r="A325" s="3" t="s">
        <v>186</v>
      </c>
      <c r="B325" s="3" t="s">
        <v>9</v>
      </c>
      <c r="C325" s="3" t="s">
        <v>555</v>
      </c>
      <c r="D325" s="3" t="s">
        <v>134</v>
      </c>
      <c r="E325" s="3" t="s">
        <v>12</v>
      </c>
      <c r="F325" s="4" t="s">
        <v>696</v>
      </c>
      <c r="G325" s="4" t="s">
        <v>697</v>
      </c>
      <c r="H325" s="3" t="n">
        <f aca="false">IF(COUNTIFS($D$2:D325,D325,$E$2:E325,E325,$A$2:A325,A325)=1,1,0)</f>
        <v>0</v>
      </c>
    </row>
    <row r="326" customFormat="false" ht="34.5" hidden="false" customHeight="true" outlineLevel="0" collapsed="false">
      <c r="A326" s="3" t="s">
        <v>186</v>
      </c>
      <c r="B326" s="3" t="s">
        <v>9</v>
      </c>
      <c r="C326" s="3" t="s">
        <v>555</v>
      </c>
      <c r="D326" s="3" t="s">
        <v>134</v>
      </c>
      <c r="E326" s="3" t="s">
        <v>12</v>
      </c>
      <c r="F326" s="4" t="s">
        <v>698</v>
      </c>
      <c r="G326" s="4" t="s">
        <v>699</v>
      </c>
      <c r="H326" s="3" t="n">
        <f aca="false">IF(COUNTIFS($D$2:D326,D326,$E$2:E326,E326,$A$2:A326,A326)=1,1,0)</f>
        <v>0</v>
      </c>
    </row>
    <row r="327" customFormat="false" ht="57" hidden="false" customHeight="true" outlineLevel="0" collapsed="false">
      <c r="A327" s="3" t="s">
        <v>186</v>
      </c>
      <c r="B327" s="3" t="s">
        <v>9</v>
      </c>
      <c r="C327" s="3" t="s">
        <v>555</v>
      </c>
      <c r="D327" s="3" t="s">
        <v>473</v>
      </c>
      <c r="E327" s="3" t="s">
        <v>12</v>
      </c>
      <c r="F327" s="4" t="s">
        <v>700</v>
      </c>
      <c r="G327" s="4" t="s">
        <v>701</v>
      </c>
      <c r="H327" s="3" t="n">
        <f aca="false">IF(COUNTIFS($D$2:D327,D327,$E$2:E327,E327,$A$2:A327,A327)=1,1,0)</f>
        <v>1</v>
      </c>
    </row>
    <row r="328" customFormat="false" ht="34.5" hidden="false" customHeight="true" outlineLevel="0" collapsed="false">
      <c r="A328" s="3" t="s">
        <v>207</v>
      </c>
      <c r="B328" s="3" t="s">
        <v>9</v>
      </c>
      <c r="C328" s="3" t="s">
        <v>555</v>
      </c>
      <c r="D328" s="3" t="s">
        <v>556</v>
      </c>
      <c r="E328" s="3" t="s">
        <v>24</v>
      </c>
      <c r="F328" s="4" t="s">
        <v>702</v>
      </c>
      <c r="G328" s="4" t="s">
        <v>703</v>
      </c>
      <c r="H328" s="3" t="n">
        <f aca="false">IF(COUNTIFS($D$2:D328,D328,$E$2:E328,E328,$A$2:A328,A328)=1,1,0)</f>
        <v>1</v>
      </c>
    </row>
    <row r="329" customFormat="false" ht="57" hidden="false" customHeight="true" outlineLevel="0" collapsed="false">
      <c r="A329" s="3" t="s">
        <v>207</v>
      </c>
      <c r="B329" s="3" t="s">
        <v>9</v>
      </c>
      <c r="C329" s="3" t="s">
        <v>555</v>
      </c>
      <c r="D329" s="3" t="s">
        <v>556</v>
      </c>
      <c r="E329" s="3" t="s">
        <v>12</v>
      </c>
      <c r="F329" s="4" t="s">
        <v>704</v>
      </c>
      <c r="G329" s="4" t="s">
        <v>705</v>
      </c>
      <c r="H329" s="3" t="n">
        <f aca="false">IF(COUNTIFS($D$2:D329,D329,$E$2:E329,E329,$A$2:A329,A329)=1,1,0)</f>
        <v>1</v>
      </c>
    </row>
    <row r="330" customFormat="false" ht="57" hidden="false" customHeight="true" outlineLevel="0" collapsed="false">
      <c r="A330" s="3" t="s">
        <v>207</v>
      </c>
      <c r="B330" s="3" t="s">
        <v>9</v>
      </c>
      <c r="C330" s="3" t="s">
        <v>555</v>
      </c>
      <c r="D330" s="3" t="s">
        <v>556</v>
      </c>
      <c r="E330" s="3" t="s">
        <v>12</v>
      </c>
      <c r="F330" s="4" t="s">
        <v>706</v>
      </c>
      <c r="G330" s="4" t="s">
        <v>707</v>
      </c>
      <c r="H330" s="3" t="n">
        <f aca="false">IF(COUNTIFS($D$2:D330,D330,$E$2:E330,E330,$A$2:A330,A330)=1,1,0)</f>
        <v>0</v>
      </c>
    </row>
    <row r="331" customFormat="false" ht="68.25" hidden="false" customHeight="true" outlineLevel="0" collapsed="false">
      <c r="A331" s="3" t="s">
        <v>207</v>
      </c>
      <c r="B331" s="3" t="s">
        <v>9</v>
      </c>
      <c r="C331" s="3" t="s">
        <v>555</v>
      </c>
      <c r="D331" s="3" t="s">
        <v>556</v>
      </c>
      <c r="E331" s="3" t="s">
        <v>12</v>
      </c>
      <c r="F331" s="4" t="s">
        <v>708</v>
      </c>
      <c r="G331" s="4" t="s">
        <v>709</v>
      </c>
      <c r="H331" s="3" t="n">
        <f aca="false">IF(COUNTIFS($D$2:D331,D331,$E$2:E331,E331,$A$2:A331,A331)=1,1,0)</f>
        <v>0</v>
      </c>
    </row>
    <row r="332" customFormat="false" ht="45.75" hidden="false" customHeight="true" outlineLevel="0" collapsed="false">
      <c r="A332" s="3" t="s">
        <v>207</v>
      </c>
      <c r="B332" s="3" t="s">
        <v>9</v>
      </c>
      <c r="C332" s="3" t="s">
        <v>555</v>
      </c>
      <c r="D332" s="3" t="s">
        <v>619</v>
      </c>
      <c r="E332" s="3" t="s">
        <v>12</v>
      </c>
      <c r="F332" s="4" t="s">
        <v>710</v>
      </c>
      <c r="G332" s="4" t="s">
        <v>711</v>
      </c>
      <c r="H332" s="3" t="n">
        <f aca="false">IF(COUNTIFS($D$2:D332,D332,$E$2:E332,E332,$A$2:A332,A332)=1,1,0)</f>
        <v>1</v>
      </c>
    </row>
    <row r="333" customFormat="false" ht="79.5" hidden="false" customHeight="true" outlineLevel="0" collapsed="false">
      <c r="A333" s="3" t="s">
        <v>207</v>
      </c>
      <c r="B333" s="3" t="s">
        <v>9</v>
      </c>
      <c r="C333" s="3" t="s">
        <v>555</v>
      </c>
      <c r="D333" s="3" t="s">
        <v>556</v>
      </c>
      <c r="E333" s="3" t="s">
        <v>24</v>
      </c>
      <c r="F333" s="4" t="s">
        <v>712</v>
      </c>
      <c r="G333" s="4" t="s">
        <v>713</v>
      </c>
      <c r="H333" s="3" t="n">
        <f aca="false">IF(COUNTIFS($D$2:D333,D333,$E$2:E333,E333,$A$2:A333,A333)=1,1,0)</f>
        <v>0</v>
      </c>
    </row>
    <row r="334" customFormat="false" ht="57" hidden="false" customHeight="true" outlineLevel="0" collapsed="false">
      <c r="A334" s="3" t="s">
        <v>207</v>
      </c>
      <c r="B334" s="3" t="s">
        <v>9</v>
      </c>
      <c r="C334" s="3" t="s">
        <v>555</v>
      </c>
      <c r="D334" s="3" t="s">
        <v>556</v>
      </c>
      <c r="E334" s="3" t="s">
        <v>12</v>
      </c>
      <c r="F334" s="4" t="s">
        <v>714</v>
      </c>
      <c r="G334" s="4" t="s">
        <v>715</v>
      </c>
      <c r="H334" s="3" t="n">
        <f aca="false">IF(COUNTIFS($D$2:D334,D334,$E$2:E334,E334,$A$2:A334,A334)=1,1,0)</f>
        <v>0</v>
      </c>
    </row>
    <row r="335" customFormat="false" ht="34.5" hidden="false" customHeight="true" outlineLevel="0" collapsed="false">
      <c r="A335" s="3" t="s">
        <v>227</v>
      </c>
      <c r="B335" s="3" t="s">
        <v>9</v>
      </c>
      <c r="C335" s="3" t="s">
        <v>555</v>
      </c>
      <c r="D335" s="3" t="s">
        <v>134</v>
      </c>
      <c r="E335" s="3" t="s">
        <v>12</v>
      </c>
      <c r="F335" s="4" t="s">
        <v>716</v>
      </c>
      <c r="G335" s="4" t="s">
        <v>717</v>
      </c>
      <c r="H335" s="3" t="n">
        <f aca="false">IF(COUNTIFS($D$2:D335,D335,$E$2:E335,E335,$A$2:A335,A335)=1,1,0)</f>
        <v>1</v>
      </c>
    </row>
    <row r="336" customFormat="false" ht="34.5" hidden="false" customHeight="true" outlineLevel="0" collapsed="false">
      <c r="A336" s="3" t="s">
        <v>227</v>
      </c>
      <c r="B336" s="3" t="s">
        <v>9</v>
      </c>
      <c r="C336" s="3" t="s">
        <v>555</v>
      </c>
      <c r="D336" s="3" t="s">
        <v>134</v>
      </c>
      <c r="E336" s="3" t="s">
        <v>12</v>
      </c>
      <c r="F336" s="4" t="s">
        <v>718</v>
      </c>
      <c r="G336" s="4" t="s">
        <v>719</v>
      </c>
      <c r="H336" s="3" t="n">
        <f aca="false">IF(COUNTIFS($D$2:D336,D336,$E$2:E336,E336,$A$2:A336,A336)=1,1,0)</f>
        <v>0</v>
      </c>
    </row>
    <row r="337" customFormat="false" ht="45.75" hidden="false" customHeight="true" outlineLevel="0" collapsed="false">
      <c r="A337" s="3" t="s">
        <v>227</v>
      </c>
      <c r="B337" s="3" t="s">
        <v>9</v>
      </c>
      <c r="C337" s="3" t="s">
        <v>555</v>
      </c>
      <c r="D337" s="3" t="s">
        <v>134</v>
      </c>
      <c r="E337" s="3" t="s">
        <v>12</v>
      </c>
      <c r="F337" s="4" t="s">
        <v>720</v>
      </c>
      <c r="G337" s="4" t="s">
        <v>721</v>
      </c>
      <c r="H337" s="3" t="n">
        <f aca="false">IF(COUNTIFS($D$2:D337,D337,$E$2:E337,E337,$A$2:A337,A337)=1,1,0)</f>
        <v>0</v>
      </c>
    </row>
    <row r="338" customFormat="false" ht="45.75" hidden="false" customHeight="true" outlineLevel="0" collapsed="false">
      <c r="A338" s="3" t="s">
        <v>227</v>
      </c>
      <c r="B338" s="3" t="s">
        <v>9</v>
      </c>
      <c r="C338" s="3" t="s">
        <v>555</v>
      </c>
      <c r="D338" s="3" t="s">
        <v>556</v>
      </c>
      <c r="E338" s="3" t="s">
        <v>12</v>
      </c>
      <c r="F338" s="4" t="s">
        <v>722</v>
      </c>
      <c r="G338" s="4" t="s">
        <v>723</v>
      </c>
      <c r="H338" s="3" t="n">
        <f aca="false">IF(COUNTIFS($D$2:D338,D338,$E$2:E338,E338,$A$2:A338,A338)=1,1,0)</f>
        <v>1</v>
      </c>
    </row>
    <row r="339" customFormat="false" ht="34.5" hidden="false" customHeight="true" outlineLevel="0" collapsed="false">
      <c r="A339" s="3" t="s">
        <v>227</v>
      </c>
      <c r="B339" s="3" t="s">
        <v>9</v>
      </c>
      <c r="C339" s="3" t="s">
        <v>555</v>
      </c>
      <c r="D339" s="3" t="s">
        <v>556</v>
      </c>
      <c r="E339" s="3" t="s">
        <v>24</v>
      </c>
      <c r="F339" s="4" t="s">
        <v>724</v>
      </c>
      <c r="G339" s="4" t="s">
        <v>725</v>
      </c>
      <c r="H339" s="3" t="n">
        <f aca="false">IF(COUNTIFS($D$2:D339,D339,$E$2:E339,E339,$A$2:A339,A339)=1,1,0)</f>
        <v>1</v>
      </c>
    </row>
    <row r="340" customFormat="false" ht="45.75" hidden="false" customHeight="true" outlineLevel="0" collapsed="false">
      <c r="A340" s="3" t="s">
        <v>227</v>
      </c>
      <c r="B340" s="3" t="s">
        <v>9</v>
      </c>
      <c r="C340" s="3" t="s">
        <v>555</v>
      </c>
      <c r="D340" s="3" t="s">
        <v>556</v>
      </c>
      <c r="E340" s="3" t="s">
        <v>12</v>
      </c>
      <c r="F340" s="4" t="s">
        <v>726</v>
      </c>
      <c r="G340" s="4" t="s">
        <v>727</v>
      </c>
      <c r="H340" s="3" t="n">
        <f aca="false">IF(COUNTIFS($D$2:D340,D340,$E$2:E340,E340,$A$2:A340,A340)=1,1,0)</f>
        <v>0</v>
      </c>
    </row>
    <row r="341" customFormat="false" ht="23.25" hidden="false" customHeight="true" outlineLevel="0" collapsed="false">
      <c r="A341" s="3" t="s">
        <v>227</v>
      </c>
      <c r="B341" s="3" t="s">
        <v>9</v>
      </c>
      <c r="C341" s="3" t="s">
        <v>555</v>
      </c>
      <c r="D341" s="3" t="s">
        <v>556</v>
      </c>
      <c r="E341" s="3" t="s">
        <v>12</v>
      </c>
      <c r="F341" s="4" t="s">
        <v>728</v>
      </c>
      <c r="G341" s="4" t="s">
        <v>729</v>
      </c>
      <c r="H341" s="3" t="n">
        <f aca="false">IF(COUNTIFS($D$2:D341,D341,$E$2:E341,E341,$A$2:A341,A341)=1,1,0)</f>
        <v>0</v>
      </c>
    </row>
    <row r="342" customFormat="false" ht="34.5" hidden="false" customHeight="true" outlineLevel="0" collapsed="false">
      <c r="A342" s="3" t="s">
        <v>227</v>
      </c>
      <c r="B342" s="3" t="s">
        <v>9</v>
      </c>
      <c r="C342" s="3" t="s">
        <v>555</v>
      </c>
      <c r="D342" s="3" t="s">
        <v>556</v>
      </c>
      <c r="E342" s="3" t="s">
        <v>12</v>
      </c>
      <c r="F342" s="4" t="s">
        <v>730</v>
      </c>
      <c r="G342" s="4" t="s">
        <v>731</v>
      </c>
      <c r="H342" s="3" t="n">
        <f aca="false">IF(COUNTIFS($D$2:D342,D342,$E$2:E342,E342,$A$2:A342,A342)=1,1,0)</f>
        <v>0</v>
      </c>
    </row>
    <row r="343" customFormat="false" ht="45.75" hidden="false" customHeight="true" outlineLevel="0" collapsed="false">
      <c r="A343" s="3" t="s">
        <v>227</v>
      </c>
      <c r="B343" s="3" t="s">
        <v>9</v>
      </c>
      <c r="C343" s="3" t="s">
        <v>555</v>
      </c>
      <c r="D343" s="3" t="s">
        <v>486</v>
      </c>
      <c r="E343" s="3" t="s">
        <v>12</v>
      </c>
      <c r="F343" s="4" t="s">
        <v>732</v>
      </c>
      <c r="G343" s="4" t="s">
        <v>733</v>
      </c>
      <c r="H343" s="3" t="n">
        <f aca="false">IF(COUNTIFS($D$2:D343,D343,$E$2:E343,E343,$A$2:A343,A343)=1,1,0)</f>
        <v>1</v>
      </c>
    </row>
    <row r="344" customFormat="false" ht="45.75" hidden="false" customHeight="true" outlineLevel="0" collapsed="false">
      <c r="A344" s="3" t="s">
        <v>251</v>
      </c>
      <c r="B344" s="3" t="s">
        <v>9</v>
      </c>
      <c r="C344" s="3" t="s">
        <v>555</v>
      </c>
      <c r="D344" s="3" t="s">
        <v>134</v>
      </c>
      <c r="E344" s="3" t="s">
        <v>12</v>
      </c>
      <c r="F344" s="4" t="s">
        <v>734</v>
      </c>
      <c r="G344" s="4" t="s">
        <v>735</v>
      </c>
      <c r="H344" s="3" t="n">
        <f aca="false">IF(COUNTIFS($D$2:D344,D344,$E$2:E344,E344,$A$2:A344,A344)=1,1,0)</f>
        <v>1</v>
      </c>
    </row>
    <row r="345" customFormat="false" ht="57" hidden="false" customHeight="true" outlineLevel="0" collapsed="false">
      <c r="A345" s="3" t="s">
        <v>251</v>
      </c>
      <c r="B345" s="3" t="s">
        <v>9</v>
      </c>
      <c r="C345" s="3" t="s">
        <v>555</v>
      </c>
      <c r="D345" s="3" t="s">
        <v>134</v>
      </c>
      <c r="E345" s="3" t="s">
        <v>12</v>
      </c>
      <c r="F345" s="4" t="s">
        <v>736</v>
      </c>
      <c r="G345" s="4" t="s">
        <v>737</v>
      </c>
      <c r="H345" s="3" t="n">
        <f aca="false">IF(COUNTIFS($D$2:D345,D345,$E$2:E345,E345,$A$2:A345,A345)=1,1,0)</f>
        <v>0</v>
      </c>
    </row>
    <row r="346" customFormat="false" ht="57" hidden="false" customHeight="true" outlineLevel="0" collapsed="false">
      <c r="A346" s="3" t="s">
        <v>251</v>
      </c>
      <c r="B346" s="3" t="s">
        <v>9</v>
      </c>
      <c r="C346" s="3" t="s">
        <v>555</v>
      </c>
      <c r="D346" s="3" t="s">
        <v>134</v>
      </c>
      <c r="E346" s="3" t="s">
        <v>12</v>
      </c>
      <c r="F346" s="4" t="s">
        <v>738</v>
      </c>
      <c r="G346" s="4" t="s">
        <v>739</v>
      </c>
      <c r="H346" s="3" t="n">
        <f aca="false">IF(COUNTIFS($D$2:D346,D346,$E$2:E346,E346,$A$2:A346,A346)=1,1,0)</f>
        <v>0</v>
      </c>
    </row>
    <row r="347" customFormat="false" ht="34.5" hidden="false" customHeight="true" outlineLevel="0" collapsed="false">
      <c r="A347" s="3" t="s">
        <v>251</v>
      </c>
      <c r="B347" s="3" t="s">
        <v>9</v>
      </c>
      <c r="C347" s="3" t="s">
        <v>555</v>
      </c>
      <c r="D347" s="3" t="s">
        <v>134</v>
      </c>
      <c r="E347" s="3" t="s">
        <v>12</v>
      </c>
      <c r="F347" s="4" t="s">
        <v>740</v>
      </c>
      <c r="G347" s="4" t="s">
        <v>741</v>
      </c>
      <c r="H347" s="3" t="n">
        <f aca="false">IF(COUNTIFS($D$2:D347,D347,$E$2:E347,E347,$A$2:A347,A347)=1,1,0)</f>
        <v>0</v>
      </c>
    </row>
    <row r="348" customFormat="false" ht="34.5" hidden="false" customHeight="true" outlineLevel="0" collapsed="false">
      <c r="A348" s="3" t="s">
        <v>251</v>
      </c>
      <c r="B348" s="3" t="s">
        <v>9</v>
      </c>
      <c r="C348" s="3" t="s">
        <v>555</v>
      </c>
      <c r="D348" s="3" t="s">
        <v>134</v>
      </c>
      <c r="E348" s="3" t="s">
        <v>12</v>
      </c>
      <c r="F348" s="4" t="s">
        <v>742</v>
      </c>
      <c r="G348" s="4" t="s">
        <v>743</v>
      </c>
      <c r="H348" s="3" t="n">
        <f aca="false">IF(COUNTIFS($D$2:D348,D348,$E$2:E348,E348,$A$2:A348,A348)=1,1,0)</f>
        <v>0</v>
      </c>
    </row>
    <row r="349" customFormat="false" ht="34.5" hidden="false" customHeight="true" outlineLevel="0" collapsed="false">
      <c r="A349" s="3" t="s">
        <v>251</v>
      </c>
      <c r="B349" s="3" t="s">
        <v>9</v>
      </c>
      <c r="C349" s="3" t="s">
        <v>555</v>
      </c>
      <c r="D349" s="3" t="s">
        <v>134</v>
      </c>
      <c r="E349" s="3" t="s">
        <v>12</v>
      </c>
      <c r="F349" s="4" t="s">
        <v>744</v>
      </c>
      <c r="G349" s="4" t="s">
        <v>745</v>
      </c>
      <c r="H349" s="3" t="n">
        <f aca="false">IF(COUNTIFS($D$2:D349,D349,$E$2:E349,E349,$A$2:A349,A349)=1,1,0)</f>
        <v>0</v>
      </c>
    </row>
    <row r="350" customFormat="false" ht="57" hidden="false" customHeight="true" outlineLevel="0" collapsed="false">
      <c r="A350" s="3" t="s">
        <v>251</v>
      </c>
      <c r="B350" s="3" t="s">
        <v>9</v>
      </c>
      <c r="C350" s="3" t="s">
        <v>555</v>
      </c>
      <c r="D350" s="3" t="s">
        <v>556</v>
      </c>
      <c r="E350" s="3" t="s">
        <v>12</v>
      </c>
      <c r="F350" s="4" t="s">
        <v>746</v>
      </c>
      <c r="G350" s="4" t="s">
        <v>747</v>
      </c>
      <c r="H350" s="3" t="n">
        <f aca="false">IF(COUNTIFS($D$2:D350,D350,$E$2:E350,E350,$A$2:A350,A350)=1,1,0)</f>
        <v>1</v>
      </c>
    </row>
    <row r="351" customFormat="false" ht="45.75" hidden="false" customHeight="true" outlineLevel="0" collapsed="false">
      <c r="A351" s="3" t="s">
        <v>251</v>
      </c>
      <c r="B351" s="3" t="s">
        <v>9</v>
      </c>
      <c r="C351" s="3" t="s">
        <v>555</v>
      </c>
      <c r="D351" s="3" t="s">
        <v>556</v>
      </c>
      <c r="E351" s="3" t="s">
        <v>222</v>
      </c>
      <c r="F351" s="4" t="s">
        <v>748</v>
      </c>
      <c r="G351" s="4" t="s">
        <v>749</v>
      </c>
      <c r="H351" s="3" t="n">
        <f aca="false">IF(COUNTIFS($D$2:D351,D351,$E$2:E351,E351,$A$2:A351,A351)=1,1,0)</f>
        <v>1</v>
      </c>
    </row>
    <row r="352" customFormat="false" ht="45.75" hidden="false" customHeight="true" outlineLevel="0" collapsed="false">
      <c r="A352" s="3" t="s">
        <v>251</v>
      </c>
      <c r="B352" s="3" t="s">
        <v>9</v>
      </c>
      <c r="C352" s="3" t="s">
        <v>555</v>
      </c>
      <c r="D352" s="3" t="s">
        <v>473</v>
      </c>
      <c r="E352" s="3" t="s">
        <v>222</v>
      </c>
      <c r="F352" s="4" t="s">
        <v>750</v>
      </c>
      <c r="G352" s="4" t="s">
        <v>751</v>
      </c>
      <c r="H352" s="3" t="n">
        <f aca="false">IF(COUNTIFS($D$2:D352,D352,$E$2:E352,E352,$A$2:A352,A352)=1,1,0)</f>
        <v>1</v>
      </c>
    </row>
    <row r="353" customFormat="false" ht="68.25" hidden="false" customHeight="true" outlineLevel="0" collapsed="false">
      <c r="A353" s="3" t="s">
        <v>251</v>
      </c>
      <c r="B353" s="3" t="s">
        <v>9</v>
      </c>
      <c r="C353" s="3" t="s">
        <v>555</v>
      </c>
      <c r="D353" s="3" t="s">
        <v>134</v>
      </c>
      <c r="E353" s="3" t="s">
        <v>12</v>
      </c>
      <c r="F353" s="4" t="s">
        <v>752</v>
      </c>
      <c r="G353" s="4" t="s">
        <v>753</v>
      </c>
      <c r="H353" s="3" t="n">
        <f aca="false">IF(COUNTIFS($D$2:D353,D353,$E$2:E353,E353,$A$2:A353,A353)=1,1,0)</f>
        <v>0</v>
      </c>
    </row>
    <row r="354" customFormat="false" ht="68.25" hidden="false" customHeight="true" outlineLevel="0" collapsed="false">
      <c r="A354" s="3" t="s">
        <v>251</v>
      </c>
      <c r="B354" s="3" t="s">
        <v>9</v>
      </c>
      <c r="C354" s="3" t="s">
        <v>555</v>
      </c>
      <c r="D354" s="3" t="s">
        <v>457</v>
      </c>
      <c r="E354" s="3" t="s">
        <v>24</v>
      </c>
      <c r="F354" s="4" t="s">
        <v>754</v>
      </c>
      <c r="G354" s="4" t="s">
        <v>755</v>
      </c>
      <c r="H354" s="3" t="n">
        <f aca="false">IF(COUNTIFS($D$2:D354,D354,$E$2:E354,E354,$A$2:A354,A354)=1,1,0)</f>
        <v>1</v>
      </c>
    </row>
    <row r="355" customFormat="false" ht="34.5" hidden="false" customHeight="true" outlineLevel="0" collapsed="false">
      <c r="A355" s="3" t="s">
        <v>8</v>
      </c>
      <c r="B355" s="3" t="s">
        <v>9</v>
      </c>
      <c r="C355" s="3" t="s">
        <v>756</v>
      </c>
      <c r="D355" s="3" t="s">
        <v>757</v>
      </c>
      <c r="E355" s="3" t="s">
        <v>12</v>
      </c>
      <c r="F355" s="4" t="s">
        <v>758</v>
      </c>
      <c r="G355" s="4" t="s">
        <v>759</v>
      </c>
      <c r="H355" s="3" t="n">
        <f aca="false">IF(COUNTIFS($D$2:D355,D355,$E$2:E355,E355,$A$2:A355,A355)=1,1,0)</f>
        <v>1</v>
      </c>
    </row>
    <row r="356" customFormat="false" ht="45.75" hidden="false" customHeight="true" outlineLevel="0" collapsed="false">
      <c r="A356" s="3" t="s">
        <v>8</v>
      </c>
      <c r="B356" s="3" t="s">
        <v>9</v>
      </c>
      <c r="C356" s="3" t="s">
        <v>756</v>
      </c>
      <c r="D356" s="3" t="s">
        <v>757</v>
      </c>
      <c r="E356" s="3" t="s">
        <v>12</v>
      </c>
      <c r="F356" s="4" t="s">
        <v>760</v>
      </c>
      <c r="G356" s="4" t="s">
        <v>761</v>
      </c>
      <c r="H356" s="3" t="n">
        <f aca="false">IF(COUNTIFS($D$2:D356,D356,$E$2:E356,E356,$A$2:A356,A356)=1,1,0)</f>
        <v>0</v>
      </c>
    </row>
    <row r="357" customFormat="false" ht="45.75" hidden="false" customHeight="true" outlineLevel="0" collapsed="false">
      <c r="A357" s="3" t="s">
        <v>8</v>
      </c>
      <c r="B357" s="3" t="s">
        <v>9</v>
      </c>
      <c r="C357" s="3" t="s">
        <v>756</v>
      </c>
      <c r="D357" s="3" t="s">
        <v>757</v>
      </c>
      <c r="E357" s="3" t="s">
        <v>59</v>
      </c>
      <c r="F357" s="4" t="s">
        <v>762</v>
      </c>
      <c r="G357" s="4" t="s">
        <v>763</v>
      </c>
      <c r="H357" s="3" t="n">
        <f aca="false">IF(COUNTIFS($D$2:D357,D357,$E$2:E357,E357,$A$2:A357,A357)=1,1,0)</f>
        <v>1</v>
      </c>
    </row>
    <row r="358" customFormat="false" ht="57" hidden="false" customHeight="true" outlineLevel="0" collapsed="false">
      <c r="A358" s="3" t="s">
        <v>8</v>
      </c>
      <c r="B358" s="3" t="s">
        <v>9</v>
      </c>
      <c r="C358" s="3" t="s">
        <v>756</v>
      </c>
      <c r="D358" s="3" t="s">
        <v>486</v>
      </c>
      <c r="E358" s="3" t="s">
        <v>12</v>
      </c>
      <c r="F358" s="4" t="s">
        <v>764</v>
      </c>
      <c r="G358" s="4" t="s">
        <v>765</v>
      </c>
      <c r="H358" s="3" t="n">
        <f aca="false">IF(COUNTIFS($D$2:D358,D358,$E$2:E358,E358,$A$2:A358,A358)=1,1,0)</f>
        <v>1</v>
      </c>
    </row>
    <row r="359" customFormat="false" ht="45.75" hidden="false" customHeight="true" outlineLevel="0" collapsed="false">
      <c r="A359" s="3" t="s">
        <v>32</v>
      </c>
      <c r="B359" s="3" t="s">
        <v>9</v>
      </c>
      <c r="C359" s="3" t="s">
        <v>756</v>
      </c>
      <c r="D359" s="3" t="s">
        <v>486</v>
      </c>
      <c r="E359" s="3" t="s">
        <v>96</v>
      </c>
      <c r="F359" s="4" t="s">
        <v>766</v>
      </c>
      <c r="G359" s="4" t="s">
        <v>767</v>
      </c>
      <c r="H359" s="3" t="n">
        <f aca="false">IF(COUNTIFS($D$2:D359,D359,$E$2:E359,E359,$A$2:A359,A359)=1,1,0)</f>
        <v>1</v>
      </c>
    </row>
    <row r="360" customFormat="false" ht="34.5" hidden="false" customHeight="true" outlineLevel="0" collapsed="false">
      <c r="A360" s="3" t="s">
        <v>32</v>
      </c>
      <c r="B360" s="3" t="s">
        <v>9</v>
      </c>
      <c r="C360" s="3" t="s">
        <v>756</v>
      </c>
      <c r="D360" s="3" t="s">
        <v>486</v>
      </c>
      <c r="E360" s="3" t="s">
        <v>59</v>
      </c>
      <c r="F360" s="4" t="s">
        <v>768</v>
      </c>
      <c r="G360" s="4" t="s">
        <v>769</v>
      </c>
      <c r="H360" s="3" t="n">
        <f aca="false">IF(COUNTIFS($D$2:D360,D360,$E$2:E360,E360,$A$2:A360,A360)=1,1,0)</f>
        <v>1</v>
      </c>
    </row>
    <row r="361" customFormat="false" ht="45.75" hidden="false" customHeight="true" outlineLevel="0" collapsed="false">
      <c r="A361" s="3" t="s">
        <v>32</v>
      </c>
      <c r="B361" s="3" t="s">
        <v>9</v>
      </c>
      <c r="C361" s="3" t="s">
        <v>756</v>
      </c>
      <c r="D361" s="3" t="s">
        <v>486</v>
      </c>
      <c r="E361" s="3" t="s">
        <v>96</v>
      </c>
      <c r="F361" s="4" t="s">
        <v>770</v>
      </c>
      <c r="G361" s="4" t="s">
        <v>771</v>
      </c>
      <c r="H361" s="3" t="n">
        <f aca="false">IF(COUNTIFS($D$2:D361,D361,$E$2:E361,E361,$A$2:A361,A361)=1,1,0)</f>
        <v>0</v>
      </c>
    </row>
    <row r="362" customFormat="false" ht="90.75" hidden="false" customHeight="true" outlineLevel="0" collapsed="false">
      <c r="A362" s="3" t="s">
        <v>32</v>
      </c>
      <c r="B362" s="3" t="s">
        <v>9</v>
      </c>
      <c r="C362" s="3" t="s">
        <v>756</v>
      </c>
      <c r="D362" s="3" t="s">
        <v>486</v>
      </c>
      <c r="E362" s="3" t="s">
        <v>12</v>
      </c>
      <c r="F362" s="4" t="s">
        <v>772</v>
      </c>
      <c r="G362" s="4" t="s">
        <v>773</v>
      </c>
      <c r="H362" s="3" t="n">
        <f aca="false">IF(COUNTIFS($D$2:D362,D362,$E$2:E362,E362,$A$2:A362,A362)=1,1,0)</f>
        <v>1</v>
      </c>
    </row>
    <row r="363" customFormat="false" ht="45.75" hidden="false" customHeight="true" outlineLevel="0" collapsed="false">
      <c r="A363" s="3" t="s">
        <v>32</v>
      </c>
      <c r="B363" s="3" t="s">
        <v>9</v>
      </c>
      <c r="C363" s="3" t="s">
        <v>756</v>
      </c>
      <c r="D363" s="3" t="s">
        <v>757</v>
      </c>
      <c r="E363" s="3" t="s">
        <v>12</v>
      </c>
      <c r="F363" s="4" t="s">
        <v>774</v>
      </c>
      <c r="G363" s="4" t="s">
        <v>775</v>
      </c>
      <c r="H363" s="3" t="n">
        <f aca="false">IF(COUNTIFS($D$2:D363,D363,$E$2:E363,E363,$A$2:A363,A363)=1,1,0)</f>
        <v>1</v>
      </c>
    </row>
    <row r="364" customFormat="false" ht="34.5" hidden="false" customHeight="true" outlineLevel="0" collapsed="false">
      <c r="A364" s="3" t="s">
        <v>32</v>
      </c>
      <c r="B364" s="3" t="s">
        <v>9</v>
      </c>
      <c r="C364" s="3" t="s">
        <v>756</v>
      </c>
      <c r="D364" s="3" t="s">
        <v>413</v>
      </c>
      <c r="E364" s="3" t="s">
        <v>12</v>
      </c>
      <c r="F364" s="4" t="s">
        <v>776</v>
      </c>
      <c r="G364" s="4" t="s">
        <v>777</v>
      </c>
      <c r="H364" s="3" t="n">
        <f aca="false">IF(COUNTIFS($D$2:D364,D364,$E$2:E364,E364,$A$2:A364,A364)=1,1,0)</f>
        <v>1</v>
      </c>
    </row>
    <row r="365" customFormat="false" ht="45.75" hidden="false" customHeight="true" outlineLevel="0" collapsed="false">
      <c r="A365" s="3" t="s">
        <v>54</v>
      </c>
      <c r="B365" s="3" t="s">
        <v>9</v>
      </c>
      <c r="C365" s="3" t="s">
        <v>756</v>
      </c>
      <c r="D365" s="3" t="s">
        <v>486</v>
      </c>
      <c r="E365" s="3" t="s">
        <v>12</v>
      </c>
      <c r="F365" s="4" t="s">
        <v>778</v>
      </c>
      <c r="G365" s="4" t="s">
        <v>779</v>
      </c>
      <c r="H365" s="3" t="n">
        <f aca="false">IF(COUNTIFS($D$2:D365,D365,$E$2:E365,E365,$A$2:A365,A365)=1,1,0)</f>
        <v>1</v>
      </c>
    </row>
    <row r="366" customFormat="false" ht="45.75" hidden="false" customHeight="true" outlineLevel="0" collapsed="false">
      <c r="A366" s="3" t="s">
        <v>54</v>
      </c>
      <c r="B366" s="3" t="s">
        <v>9</v>
      </c>
      <c r="C366" s="3" t="s">
        <v>756</v>
      </c>
      <c r="D366" s="3" t="s">
        <v>486</v>
      </c>
      <c r="E366" s="3" t="s">
        <v>12</v>
      </c>
      <c r="F366" s="4" t="s">
        <v>780</v>
      </c>
      <c r="G366" s="4" t="s">
        <v>781</v>
      </c>
      <c r="H366" s="3" t="n">
        <f aca="false">IF(COUNTIFS($D$2:D366,D366,$E$2:E366,E366,$A$2:A366,A366)=1,1,0)</f>
        <v>0</v>
      </c>
    </row>
    <row r="367" customFormat="false" ht="45.75" hidden="false" customHeight="true" outlineLevel="0" collapsed="false">
      <c r="A367" s="3" t="s">
        <v>54</v>
      </c>
      <c r="B367" s="3" t="s">
        <v>9</v>
      </c>
      <c r="C367" s="3" t="s">
        <v>756</v>
      </c>
      <c r="D367" s="3" t="s">
        <v>757</v>
      </c>
      <c r="E367" s="3" t="s">
        <v>12</v>
      </c>
      <c r="F367" s="4" t="s">
        <v>782</v>
      </c>
      <c r="G367" s="4" t="s">
        <v>783</v>
      </c>
      <c r="H367" s="3" t="n">
        <f aca="false">IF(COUNTIFS($D$2:D367,D367,$E$2:E367,E367,$A$2:A367,A367)=1,1,0)</f>
        <v>1</v>
      </c>
    </row>
    <row r="368" customFormat="false" ht="34.5" hidden="false" customHeight="true" outlineLevel="0" collapsed="false">
      <c r="A368" s="3" t="s">
        <v>54</v>
      </c>
      <c r="B368" s="3" t="s">
        <v>9</v>
      </c>
      <c r="C368" s="3" t="s">
        <v>756</v>
      </c>
      <c r="D368" s="3" t="s">
        <v>757</v>
      </c>
      <c r="E368" s="3" t="s">
        <v>222</v>
      </c>
      <c r="F368" s="4" t="s">
        <v>784</v>
      </c>
      <c r="G368" s="4" t="s">
        <v>785</v>
      </c>
      <c r="H368" s="3" t="n">
        <f aca="false">IF(COUNTIFS($D$2:D368,D368,$E$2:E368,E368,$A$2:A368,A368)=1,1,0)</f>
        <v>1</v>
      </c>
    </row>
    <row r="369" customFormat="false" ht="34.5" hidden="false" customHeight="true" outlineLevel="0" collapsed="false">
      <c r="A369" s="3" t="s">
        <v>54</v>
      </c>
      <c r="B369" s="3" t="s">
        <v>9</v>
      </c>
      <c r="C369" s="3" t="s">
        <v>756</v>
      </c>
      <c r="D369" s="3" t="s">
        <v>757</v>
      </c>
      <c r="E369" s="3" t="s">
        <v>12</v>
      </c>
      <c r="F369" s="4" t="s">
        <v>786</v>
      </c>
      <c r="G369" s="4" t="s">
        <v>787</v>
      </c>
      <c r="H369" s="3" t="n">
        <f aca="false">IF(COUNTIFS($D$2:D369,D369,$E$2:E369,E369,$A$2:A369,A369)=1,1,0)</f>
        <v>0</v>
      </c>
    </row>
    <row r="370" customFormat="false" ht="34.5" hidden="false" customHeight="true" outlineLevel="0" collapsed="false">
      <c r="A370" s="3" t="s">
        <v>54</v>
      </c>
      <c r="B370" s="3" t="s">
        <v>9</v>
      </c>
      <c r="C370" s="3" t="s">
        <v>756</v>
      </c>
      <c r="D370" s="3" t="s">
        <v>757</v>
      </c>
      <c r="E370" s="3" t="s">
        <v>59</v>
      </c>
      <c r="F370" s="4" t="s">
        <v>788</v>
      </c>
      <c r="G370" s="4" t="s">
        <v>789</v>
      </c>
      <c r="H370" s="3" t="n">
        <f aca="false">IF(COUNTIFS($D$2:D370,D370,$E$2:E370,E370,$A$2:A370,A370)=1,1,0)</f>
        <v>1</v>
      </c>
    </row>
    <row r="371" customFormat="false" ht="45.75" hidden="false" customHeight="true" outlineLevel="0" collapsed="false">
      <c r="A371" s="3" t="s">
        <v>54</v>
      </c>
      <c r="B371" s="3" t="s">
        <v>9</v>
      </c>
      <c r="C371" s="3" t="s">
        <v>756</v>
      </c>
      <c r="D371" s="3" t="s">
        <v>757</v>
      </c>
      <c r="E371" s="3" t="s">
        <v>12</v>
      </c>
      <c r="F371" s="4" t="s">
        <v>790</v>
      </c>
      <c r="G371" s="4" t="s">
        <v>791</v>
      </c>
      <c r="H371" s="3" t="n">
        <f aca="false">IF(COUNTIFS($D$2:D371,D371,$E$2:E371,E371,$A$2:A371,A371)=1,1,0)</f>
        <v>0</v>
      </c>
    </row>
    <row r="372" customFormat="false" ht="23.25" hidden="false" customHeight="true" outlineLevel="0" collapsed="false">
      <c r="A372" s="3" t="s">
        <v>54</v>
      </c>
      <c r="B372" s="3" t="s">
        <v>9</v>
      </c>
      <c r="C372" s="3" t="s">
        <v>756</v>
      </c>
      <c r="D372" s="3" t="s">
        <v>757</v>
      </c>
      <c r="E372" s="3" t="s">
        <v>12</v>
      </c>
      <c r="F372" s="4" t="s">
        <v>792</v>
      </c>
      <c r="G372" s="4" t="s">
        <v>793</v>
      </c>
      <c r="H372" s="3" t="n">
        <f aca="false">IF(COUNTIFS($D$2:D372,D372,$E$2:E372,E372,$A$2:A372,A372)=1,1,0)</f>
        <v>0</v>
      </c>
    </row>
    <row r="373" customFormat="false" ht="34.5" hidden="false" customHeight="true" outlineLevel="0" collapsed="false">
      <c r="A373" s="3" t="s">
        <v>72</v>
      </c>
      <c r="B373" s="3" t="s">
        <v>9</v>
      </c>
      <c r="C373" s="3" t="s">
        <v>756</v>
      </c>
      <c r="D373" s="3" t="s">
        <v>486</v>
      </c>
      <c r="E373" s="3" t="s">
        <v>12</v>
      </c>
      <c r="F373" s="4" t="s">
        <v>794</v>
      </c>
      <c r="G373" s="4" t="s">
        <v>795</v>
      </c>
      <c r="H373" s="3" t="n">
        <f aca="false">IF(COUNTIFS($D$2:D373,D373,$E$2:E373,E373,$A$2:A373,A373)=1,1,0)</f>
        <v>0</v>
      </c>
    </row>
    <row r="374" customFormat="false" ht="34.5" hidden="false" customHeight="true" outlineLevel="0" collapsed="false">
      <c r="A374" s="3" t="s">
        <v>72</v>
      </c>
      <c r="B374" s="3" t="s">
        <v>9</v>
      </c>
      <c r="C374" s="3" t="s">
        <v>756</v>
      </c>
      <c r="D374" s="3" t="s">
        <v>486</v>
      </c>
      <c r="E374" s="3" t="s">
        <v>12</v>
      </c>
      <c r="F374" s="4" t="s">
        <v>796</v>
      </c>
      <c r="G374" s="4" t="s">
        <v>797</v>
      </c>
      <c r="H374" s="3" t="n">
        <f aca="false">IF(COUNTIFS($D$2:D374,D374,$E$2:E374,E374,$A$2:A374,A374)=1,1,0)</f>
        <v>0</v>
      </c>
    </row>
    <row r="375" customFormat="false" ht="23.25" hidden="false" customHeight="true" outlineLevel="0" collapsed="false">
      <c r="A375" s="3" t="s">
        <v>72</v>
      </c>
      <c r="B375" s="3" t="s">
        <v>9</v>
      </c>
      <c r="C375" s="3" t="s">
        <v>756</v>
      </c>
      <c r="D375" s="3" t="s">
        <v>486</v>
      </c>
      <c r="E375" s="3" t="s">
        <v>12</v>
      </c>
      <c r="F375" s="4" t="s">
        <v>798</v>
      </c>
      <c r="G375" s="4" t="s">
        <v>799</v>
      </c>
      <c r="H375" s="3" t="n">
        <f aca="false">IF(COUNTIFS($D$2:D375,D375,$E$2:E375,E375,$A$2:A375,A375)=1,1,0)</f>
        <v>0</v>
      </c>
    </row>
    <row r="376" customFormat="false" ht="34.5" hidden="false" customHeight="true" outlineLevel="0" collapsed="false">
      <c r="A376" s="3" t="s">
        <v>72</v>
      </c>
      <c r="B376" s="3" t="s">
        <v>9</v>
      </c>
      <c r="C376" s="3" t="s">
        <v>756</v>
      </c>
      <c r="D376" s="3" t="s">
        <v>757</v>
      </c>
      <c r="E376" s="3" t="s">
        <v>12</v>
      </c>
      <c r="F376" s="4" t="s">
        <v>800</v>
      </c>
      <c r="G376" s="4" t="s">
        <v>801</v>
      </c>
      <c r="H376" s="3" t="n">
        <f aca="false">IF(COUNTIFS($D$2:D376,D376,$E$2:E376,E376,$A$2:A376,A376)=1,1,0)</f>
        <v>1</v>
      </c>
    </row>
    <row r="377" customFormat="false" ht="45.75" hidden="false" customHeight="true" outlineLevel="0" collapsed="false">
      <c r="A377" s="3" t="s">
        <v>72</v>
      </c>
      <c r="B377" s="3" t="s">
        <v>9</v>
      </c>
      <c r="C377" s="3" t="s">
        <v>756</v>
      </c>
      <c r="D377" s="3" t="s">
        <v>757</v>
      </c>
      <c r="E377" s="3" t="s">
        <v>12</v>
      </c>
      <c r="F377" s="4" t="s">
        <v>802</v>
      </c>
      <c r="G377" s="4" t="s">
        <v>803</v>
      </c>
      <c r="H377" s="3" t="n">
        <f aca="false">IF(COUNTIFS($D$2:D377,D377,$E$2:E377,E377,$A$2:A377,A377)=1,1,0)</f>
        <v>0</v>
      </c>
    </row>
    <row r="378" customFormat="false" ht="79.5" hidden="false" customHeight="true" outlineLevel="0" collapsed="false">
      <c r="A378" s="3" t="s">
        <v>72</v>
      </c>
      <c r="B378" s="3" t="s">
        <v>9</v>
      </c>
      <c r="C378" s="3" t="s">
        <v>756</v>
      </c>
      <c r="D378" s="3" t="s">
        <v>757</v>
      </c>
      <c r="E378" s="3" t="s">
        <v>96</v>
      </c>
      <c r="F378" s="4" t="s">
        <v>804</v>
      </c>
      <c r="G378" s="4" t="s">
        <v>805</v>
      </c>
      <c r="H378" s="3" t="n">
        <f aca="false">IF(COUNTIFS($D$2:D378,D378,$E$2:E378,E378,$A$2:A378,A378)=1,1,0)</f>
        <v>1</v>
      </c>
    </row>
    <row r="379" customFormat="false" ht="34.5" hidden="false" customHeight="true" outlineLevel="0" collapsed="false">
      <c r="A379" s="3" t="s">
        <v>72</v>
      </c>
      <c r="B379" s="3" t="s">
        <v>9</v>
      </c>
      <c r="C379" s="3" t="s">
        <v>756</v>
      </c>
      <c r="D379" s="3" t="s">
        <v>486</v>
      </c>
      <c r="E379" s="3" t="s">
        <v>96</v>
      </c>
      <c r="F379" s="4" t="s">
        <v>806</v>
      </c>
      <c r="G379" s="4" t="s">
        <v>807</v>
      </c>
      <c r="H379" s="3" t="n">
        <f aca="false">IF(COUNTIFS($D$2:D379,D379,$E$2:E379,E379,$A$2:A379,A379)=1,1,0)</f>
        <v>1</v>
      </c>
    </row>
    <row r="380" customFormat="false" ht="34.5" hidden="false" customHeight="true" outlineLevel="0" collapsed="false">
      <c r="A380" s="3" t="s">
        <v>72</v>
      </c>
      <c r="B380" s="3" t="s">
        <v>9</v>
      </c>
      <c r="C380" s="3" t="s">
        <v>756</v>
      </c>
      <c r="D380" s="3" t="s">
        <v>757</v>
      </c>
      <c r="E380" s="3" t="s">
        <v>96</v>
      </c>
      <c r="F380" s="4" t="s">
        <v>808</v>
      </c>
      <c r="G380" s="4" t="s">
        <v>809</v>
      </c>
      <c r="H380" s="3" t="n">
        <f aca="false">IF(COUNTIFS($D$2:D380,D380,$E$2:E380,E380,$A$2:A380,A380)=1,1,0)</f>
        <v>0</v>
      </c>
    </row>
    <row r="381" customFormat="false" ht="102" hidden="false" customHeight="true" outlineLevel="0" collapsed="false">
      <c r="A381" s="3" t="s">
        <v>72</v>
      </c>
      <c r="B381" s="3" t="s">
        <v>9</v>
      </c>
      <c r="C381" s="3" t="s">
        <v>756</v>
      </c>
      <c r="D381" s="3" t="s">
        <v>757</v>
      </c>
      <c r="E381" s="3" t="s">
        <v>96</v>
      </c>
      <c r="F381" s="4" t="s">
        <v>810</v>
      </c>
      <c r="G381" s="4" t="s">
        <v>811</v>
      </c>
      <c r="H381" s="3" t="n">
        <f aca="false">IF(COUNTIFS($D$2:D381,D381,$E$2:E381,E381,$A$2:A381,A381)=1,1,0)</f>
        <v>0</v>
      </c>
    </row>
    <row r="382" customFormat="false" ht="34.5" hidden="false" customHeight="true" outlineLevel="0" collapsed="false">
      <c r="A382" s="3" t="s">
        <v>72</v>
      </c>
      <c r="B382" s="3" t="s">
        <v>9</v>
      </c>
      <c r="C382" s="3" t="s">
        <v>756</v>
      </c>
      <c r="D382" s="3" t="s">
        <v>757</v>
      </c>
      <c r="E382" s="3" t="s">
        <v>96</v>
      </c>
      <c r="F382" s="4" t="s">
        <v>812</v>
      </c>
      <c r="G382" s="4" t="s">
        <v>813</v>
      </c>
      <c r="H382" s="3" t="n">
        <f aca="false">IF(COUNTIFS($D$2:D382,D382,$E$2:E382,E382,$A$2:A382,A382)=1,1,0)</f>
        <v>0</v>
      </c>
    </row>
    <row r="383" customFormat="false" ht="34.5" hidden="false" customHeight="true" outlineLevel="0" collapsed="false">
      <c r="A383" s="3" t="s">
        <v>72</v>
      </c>
      <c r="B383" s="3" t="s">
        <v>9</v>
      </c>
      <c r="C383" s="3" t="s">
        <v>756</v>
      </c>
      <c r="D383" s="3" t="s">
        <v>757</v>
      </c>
      <c r="E383" s="3" t="s">
        <v>59</v>
      </c>
      <c r="F383" s="4" t="s">
        <v>814</v>
      </c>
      <c r="G383" s="4" t="s">
        <v>815</v>
      </c>
      <c r="H383" s="3" t="n">
        <f aca="false">IF(COUNTIFS($D$2:D383,D383,$E$2:E383,E383,$A$2:A383,A383)=1,1,0)</f>
        <v>1</v>
      </c>
    </row>
    <row r="384" customFormat="false" ht="57" hidden="false" customHeight="true" outlineLevel="0" collapsed="false">
      <c r="A384" s="3" t="s">
        <v>72</v>
      </c>
      <c r="B384" s="3" t="s">
        <v>9</v>
      </c>
      <c r="C384" s="3" t="s">
        <v>756</v>
      </c>
      <c r="D384" s="3" t="s">
        <v>816</v>
      </c>
      <c r="E384" s="3" t="s">
        <v>96</v>
      </c>
      <c r="F384" s="4" t="s">
        <v>817</v>
      </c>
      <c r="G384" s="4" t="s">
        <v>818</v>
      </c>
      <c r="H384" s="3" t="n">
        <f aca="false">IF(COUNTIFS($D$2:D384,D384,$E$2:E384,E384,$A$2:A384,A384)=1,1,0)</f>
        <v>1</v>
      </c>
    </row>
    <row r="385" customFormat="false" ht="68.25" hidden="false" customHeight="true" outlineLevel="0" collapsed="false">
      <c r="A385" s="3" t="s">
        <v>99</v>
      </c>
      <c r="B385" s="3" t="s">
        <v>9</v>
      </c>
      <c r="C385" s="3" t="s">
        <v>756</v>
      </c>
      <c r="D385" s="3" t="s">
        <v>757</v>
      </c>
      <c r="E385" s="3" t="s">
        <v>12</v>
      </c>
      <c r="F385" s="4" t="s">
        <v>819</v>
      </c>
      <c r="G385" s="4" t="s">
        <v>820</v>
      </c>
      <c r="H385" s="3" t="n">
        <f aca="false">IF(COUNTIFS($D$2:D385,D385,$E$2:E385,E385,$A$2:A385,A385)=1,1,0)</f>
        <v>1</v>
      </c>
    </row>
    <row r="386" customFormat="false" ht="23.25" hidden="false" customHeight="true" outlineLevel="0" collapsed="false">
      <c r="A386" s="3" t="s">
        <v>99</v>
      </c>
      <c r="B386" s="3" t="s">
        <v>9</v>
      </c>
      <c r="C386" s="3" t="s">
        <v>756</v>
      </c>
      <c r="D386" s="3" t="s">
        <v>486</v>
      </c>
      <c r="E386" s="3" t="s">
        <v>12</v>
      </c>
      <c r="F386" s="4" t="s">
        <v>821</v>
      </c>
      <c r="G386" s="4" t="s">
        <v>822</v>
      </c>
      <c r="H386" s="3" t="n">
        <f aca="false">IF(COUNTIFS($D$2:D386,D386,$E$2:E386,E386,$A$2:A386,A386)=1,1,0)</f>
        <v>1</v>
      </c>
    </row>
    <row r="387" customFormat="false" ht="23.25" hidden="false" customHeight="true" outlineLevel="0" collapsed="false">
      <c r="A387" s="3" t="s">
        <v>99</v>
      </c>
      <c r="B387" s="3" t="s">
        <v>9</v>
      </c>
      <c r="C387" s="3" t="s">
        <v>756</v>
      </c>
      <c r="D387" s="3" t="s">
        <v>486</v>
      </c>
      <c r="E387" s="3" t="s">
        <v>24</v>
      </c>
      <c r="F387" s="4" t="s">
        <v>823</v>
      </c>
      <c r="G387" s="4" t="s">
        <v>824</v>
      </c>
      <c r="H387" s="3" t="n">
        <f aca="false">IF(COUNTIFS($D$2:D387,D387,$E$2:E387,E387,$A$2:A387,A387)=1,1,0)</f>
        <v>1</v>
      </c>
    </row>
    <row r="388" customFormat="false" ht="45.75" hidden="false" customHeight="true" outlineLevel="0" collapsed="false">
      <c r="A388" s="3" t="s">
        <v>120</v>
      </c>
      <c r="B388" s="3" t="s">
        <v>9</v>
      </c>
      <c r="C388" s="3" t="s">
        <v>756</v>
      </c>
      <c r="D388" s="3" t="s">
        <v>757</v>
      </c>
      <c r="E388" s="3" t="s">
        <v>24</v>
      </c>
      <c r="F388" s="4" t="s">
        <v>825</v>
      </c>
      <c r="G388" s="4" t="s">
        <v>826</v>
      </c>
      <c r="H388" s="3" t="n">
        <f aca="false">IF(COUNTIFS($D$2:D388,D388,$E$2:E388,E388,$A$2:A388,A388)=1,1,0)</f>
        <v>1</v>
      </c>
    </row>
    <row r="389" customFormat="false" ht="23.25" hidden="false" customHeight="true" outlineLevel="0" collapsed="false">
      <c r="A389" s="3" t="s">
        <v>120</v>
      </c>
      <c r="B389" s="3" t="s">
        <v>9</v>
      </c>
      <c r="C389" s="3" t="s">
        <v>756</v>
      </c>
      <c r="D389" s="3" t="s">
        <v>757</v>
      </c>
      <c r="E389" s="3" t="s">
        <v>12</v>
      </c>
      <c r="F389" s="4" t="s">
        <v>827</v>
      </c>
      <c r="G389" s="4" t="s">
        <v>828</v>
      </c>
      <c r="H389" s="3" t="n">
        <f aca="false">IF(COUNTIFS($D$2:D389,D389,$E$2:E389,E389,$A$2:A389,A389)=1,1,0)</f>
        <v>1</v>
      </c>
    </row>
    <row r="390" customFormat="false" ht="57" hidden="false" customHeight="true" outlineLevel="0" collapsed="false">
      <c r="A390" s="3" t="s">
        <v>120</v>
      </c>
      <c r="B390" s="3" t="s">
        <v>9</v>
      </c>
      <c r="C390" s="3" t="s">
        <v>756</v>
      </c>
      <c r="D390" s="3" t="s">
        <v>757</v>
      </c>
      <c r="E390" s="3" t="s">
        <v>222</v>
      </c>
      <c r="F390" s="4" t="s">
        <v>829</v>
      </c>
      <c r="G390" s="4" t="s">
        <v>830</v>
      </c>
      <c r="H390" s="3" t="n">
        <f aca="false">IF(COUNTIFS($D$2:D390,D390,$E$2:E390,E390,$A$2:A390,A390)=1,1,0)</f>
        <v>1</v>
      </c>
    </row>
    <row r="391" customFormat="false" ht="34.5" hidden="false" customHeight="true" outlineLevel="0" collapsed="false">
      <c r="A391" s="3" t="s">
        <v>120</v>
      </c>
      <c r="B391" s="3" t="s">
        <v>9</v>
      </c>
      <c r="C391" s="3" t="s">
        <v>756</v>
      </c>
      <c r="D391" s="3" t="s">
        <v>486</v>
      </c>
      <c r="E391" s="3" t="s">
        <v>12</v>
      </c>
      <c r="F391" s="4" t="s">
        <v>831</v>
      </c>
      <c r="G391" s="4" t="s">
        <v>832</v>
      </c>
      <c r="H391" s="3" t="n">
        <f aca="false">IF(COUNTIFS($D$2:D391,D391,$E$2:E391,E391,$A$2:A391,A391)=1,1,0)</f>
        <v>0</v>
      </c>
    </row>
    <row r="392" customFormat="false" ht="23.25" hidden="false" customHeight="true" outlineLevel="0" collapsed="false">
      <c r="A392" s="3" t="s">
        <v>120</v>
      </c>
      <c r="B392" s="3" t="s">
        <v>9</v>
      </c>
      <c r="C392" s="3" t="s">
        <v>756</v>
      </c>
      <c r="D392" s="3" t="s">
        <v>486</v>
      </c>
      <c r="E392" s="3" t="s">
        <v>12</v>
      </c>
      <c r="F392" s="4" t="s">
        <v>833</v>
      </c>
      <c r="G392" s="4" t="s">
        <v>834</v>
      </c>
      <c r="H392" s="3" t="n">
        <f aca="false">IF(COUNTIFS($D$2:D392,D392,$E$2:E392,E392,$A$2:A392,A392)=1,1,0)</f>
        <v>0</v>
      </c>
    </row>
    <row r="393" customFormat="false" ht="34.5" hidden="false" customHeight="true" outlineLevel="0" collapsed="false">
      <c r="A393" s="3" t="s">
        <v>120</v>
      </c>
      <c r="B393" s="3" t="s">
        <v>9</v>
      </c>
      <c r="C393" s="3" t="s">
        <v>756</v>
      </c>
      <c r="D393" s="3" t="s">
        <v>486</v>
      </c>
      <c r="E393" s="3" t="s">
        <v>12</v>
      </c>
      <c r="F393" s="4" t="s">
        <v>835</v>
      </c>
      <c r="G393" s="4" t="s">
        <v>836</v>
      </c>
      <c r="H393" s="3" t="n">
        <f aca="false">IF(COUNTIFS($D$2:D393,D393,$E$2:E393,E393,$A$2:A393,A393)=1,1,0)</f>
        <v>0</v>
      </c>
    </row>
    <row r="394" customFormat="false" ht="57" hidden="false" customHeight="true" outlineLevel="0" collapsed="false">
      <c r="A394" s="3" t="s">
        <v>143</v>
      </c>
      <c r="B394" s="3" t="s">
        <v>9</v>
      </c>
      <c r="C394" s="3" t="s">
        <v>756</v>
      </c>
      <c r="D394" s="3" t="s">
        <v>486</v>
      </c>
      <c r="E394" s="3" t="s">
        <v>12</v>
      </c>
      <c r="F394" s="4" t="s">
        <v>837</v>
      </c>
      <c r="G394" s="4" t="s">
        <v>838</v>
      </c>
      <c r="H394" s="3" t="n">
        <f aca="false">IF(COUNTIFS($D$2:D394,D394,$E$2:E394,E394,$A$2:A394,A394)=1,1,0)</f>
        <v>0</v>
      </c>
    </row>
    <row r="395" customFormat="false" ht="45.75" hidden="false" customHeight="true" outlineLevel="0" collapsed="false">
      <c r="A395" s="3" t="s">
        <v>143</v>
      </c>
      <c r="B395" s="3" t="s">
        <v>9</v>
      </c>
      <c r="C395" s="3" t="s">
        <v>756</v>
      </c>
      <c r="D395" s="3" t="s">
        <v>757</v>
      </c>
      <c r="E395" s="3" t="s">
        <v>59</v>
      </c>
      <c r="F395" s="4" t="s">
        <v>839</v>
      </c>
      <c r="G395" s="4" t="s">
        <v>840</v>
      </c>
      <c r="H395" s="3" t="n">
        <f aca="false">IF(COUNTIFS($D$2:D395,D395,$E$2:E395,E395,$A$2:A395,A395)=1,1,0)</f>
        <v>1</v>
      </c>
    </row>
    <row r="396" customFormat="false" ht="79.5" hidden="false" customHeight="true" outlineLevel="0" collapsed="false">
      <c r="A396" s="3" t="s">
        <v>143</v>
      </c>
      <c r="B396" s="3" t="s">
        <v>9</v>
      </c>
      <c r="C396" s="3" t="s">
        <v>756</v>
      </c>
      <c r="D396" s="3" t="s">
        <v>757</v>
      </c>
      <c r="E396" s="3" t="s">
        <v>59</v>
      </c>
      <c r="F396" s="4" t="s">
        <v>841</v>
      </c>
      <c r="G396" s="4" t="s">
        <v>842</v>
      </c>
      <c r="H396" s="3" t="n">
        <f aca="false">IF(COUNTIFS($D$2:D396,D396,$E$2:E396,E396,$A$2:A396,A396)=1,1,0)</f>
        <v>0</v>
      </c>
    </row>
    <row r="397" customFormat="false" ht="23.25" hidden="false" customHeight="true" outlineLevel="0" collapsed="false">
      <c r="A397" s="3" t="s">
        <v>150</v>
      </c>
      <c r="B397" s="3" t="s">
        <v>9</v>
      </c>
      <c r="C397" s="3" t="s">
        <v>756</v>
      </c>
      <c r="D397" s="3" t="s">
        <v>757</v>
      </c>
      <c r="E397" s="3" t="s">
        <v>12</v>
      </c>
      <c r="F397" s="4" t="s">
        <v>843</v>
      </c>
      <c r="G397" s="4" t="s">
        <v>844</v>
      </c>
      <c r="H397" s="3" t="n">
        <f aca="false">IF(COUNTIFS($D$2:D397,D397,$E$2:E397,E397,$A$2:A397,A397)=1,1,0)</f>
        <v>1</v>
      </c>
    </row>
    <row r="398" customFormat="false" ht="34.5" hidden="false" customHeight="true" outlineLevel="0" collapsed="false">
      <c r="A398" s="3" t="s">
        <v>150</v>
      </c>
      <c r="B398" s="3" t="s">
        <v>9</v>
      </c>
      <c r="C398" s="3" t="s">
        <v>756</v>
      </c>
      <c r="D398" s="3" t="s">
        <v>757</v>
      </c>
      <c r="E398" s="3" t="s">
        <v>12</v>
      </c>
      <c r="F398" s="4" t="s">
        <v>845</v>
      </c>
      <c r="G398" s="4" t="s">
        <v>846</v>
      </c>
      <c r="H398" s="3" t="n">
        <f aca="false">IF(COUNTIFS($D$2:D398,D398,$E$2:E398,E398,$A$2:A398,A398)=1,1,0)</f>
        <v>0</v>
      </c>
    </row>
    <row r="399" customFormat="false" ht="23.25" hidden="false" customHeight="true" outlineLevel="0" collapsed="false">
      <c r="A399" s="3" t="s">
        <v>150</v>
      </c>
      <c r="B399" s="3" t="s">
        <v>9</v>
      </c>
      <c r="C399" s="3" t="s">
        <v>756</v>
      </c>
      <c r="D399" s="3" t="s">
        <v>757</v>
      </c>
      <c r="E399" s="3" t="s">
        <v>12</v>
      </c>
      <c r="F399" s="4" t="s">
        <v>847</v>
      </c>
      <c r="G399" s="4" t="s">
        <v>848</v>
      </c>
      <c r="H399" s="3" t="n">
        <f aca="false">IF(COUNTIFS($D$2:D399,D399,$E$2:E399,E399,$A$2:A399,A399)=1,1,0)</f>
        <v>0</v>
      </c>
    </row>
    <row r="400" customFormat="false" ht="57" hidden="false" customHeight="true" outlineLevel="0" collapsed="false">
      <c r="A400" s="3" t="s">
        <v>150</v>
      </c>
      <c r="B400" s="3" t="s">
        <v>9</v>
      </c>
      <c r="C400" s="3" t="s">
        <v>756</v>
      </c>
      <c r="D400" s="3" t="s">
        <v>486</v>
      </c>
      <c r="E400" s="3" t="s">
        <v>12</v>
      </c>
      <c r="F400" s="4" t="s">
        <v>849</v>
      </c>
      <c r="G400" s="4" t="s">
        <v>850</v>
      </c>
      <c r="H400" s="3" t="n">
        <f aca="false">IF(COUNTIFS($D$2:D400,D400,$E$2:E400,E400,$A$2:A400,A400)=1,1,0)</f>
        <v>1</v>
      </c>
    </row>
    <row r="401" customFormat="false" ht="57" hidden="false" customHeight="true" outlineLevel="0" collapsed="false">
      <c r="A401" s="3" t="s">
        <v>150</v>
      </c>
      <c r="B401" s="3" t="s">
        <v>9</v>
      </c>
      <c r="C401" s="3" t="s">
        <v>756</v>
      </c>
      <c r="D401" s="3" t="s">
        <v>69</v>
      </c>
      <c r="E401" s="3" t="s">
        <v>12</v>
      </c>
      <c r="F401" s="4" t="s">
        <v>851</v>
      </c>
      <c r="G401" s="4" t="s">
        <v>852</v>
      </c>
      <c r="H401" s="3" t="n">
        <f aca="false">IF(COUNTIFS($D$2:D401,D401,$E$2:E401,E401,$A$2:A401,A401)=1,1,0)</f>
        <v>0</v>
      </c>
    </row>
    <row r="402" customFormat="false" ht="34.5" hidden="false" customHeight="true" outlineLevel="0" collapsed="false">
      <c r="A402" s="3" t="s">
        <v>171</v>
      </c>
      <c r="B402" s="3" t="s">
        <v>9</v>
      </c>
      <c r="C402" s="3" t="s">
        <v>756</v>
      </c>
      <c r="D402" s="3" t="s">
        <v>486</v>
      </c>
      <c r="E402" s="3" t="s">
        <v>12</v>
      </c>
      <c r="F402" s="4" t="s">
        <v>853</v>
      </c>
      <c r="G402" s="4" t="s">
        <v>854</v>
      </c>
      <c r="H402" s="3" t="n">
        <f aca="false">IF(COUNTIFS($D$2:D402,D402,$E$2:E402,E402,$A$2:A402,A402)=1,1,0)</f>
        <v>1</v>
      </c>
    </row>
    <row r="403" customFormat="false" ht="34.5" hidden="false" customHeight="true" outlineLevel="0" collapsed="false">
      <c r="A403" s="3" t="s">
        <v>171</v>
      </c>
      <c r="B403" s="3" t="s">
        <v>9</v>
      </c>
      <c r="C403" s="3" t="s">
        <v>756</v>
      </c>
      <c r="D403" s="3" t="s">
        <v>486</v>
      </c>
      <c r="E403" s="3" t="s">
        <v>12</v>
      </c>
      <c r="F403" s="4" t="s">
        <v>855</v>
      </c>
      <c r="G403" s="4" t="s">
        <v>856</v>
      </c>
      <c r="H403" s="3" t="n">
        <f aca="false">IF(COUNTIFS($D$2:D403,D403,$E$2:E403,E403,$A$2:A403,A403)=1,1,0)</f>
        <v>0</v>
      </c>
    </row>
    <row r="404" customFormat="false" ht="34.5" hidden="false" customHeight="true" outlineLevel="0" collapsed="false">
      <c r="A404" s="3" t="s">
        <v>171</v>
      </c>
      <c r="B404" s="3" t="s">
        <v>9</v>
      </c>
      <c r="C404" s="3" t="s">
        <v>756</v>
      </c>
      <c r="D404" s="3" t="s">
        <v>757</v>
      </c>
      <c r="E404" s="3" t="s">
        <v>12</v>
      </c>
      <c r="F404" s="4" t="s">
        <v>857</v>
      </c>
      <c r="G404" s="4" t="s">
        <v>858</v>
      </c>
      <c r="H404" s="3" t="n">
        <f aca="false">IF(COUNTIFS($D$2:D404,D404,$E$2:E404,E404,$A$2:A404,A404)=1,1,0)</f>
        <v>1</v>
      </c>
    </row>
    <row r="405" customFormat="false" ht="34.5" hidden="false" customHeight="true" outlineLevel="0" collapsed="false">
      <c r="A405" s="3" t="s">
        <v>171</v>
      </c>
      <c r="B405" s="3" t="s">
        <v>9</v>
      </c>
      <c r="C405" s="3" t="s">
        <v>756</v>
      </c>
      <c r="D405" s="3" t="s">
        <v>757</v>
      </c>
      <c r="E405" s="3" t="s">
        <v>222</v>
      </c>
      <c r="F405" s="4" t="s">
        <v>859</v>
      </c>
      <c r="G405" s="4" t="s">
        <v>860</v>
      </c>
      <c r="H405" s="3" t="n">
        <f aca="false">IF(COUNTIFS($D$2:D405,D405,$E$2:E405,E405,$A$2:A405,A405)=1,1,0)</f>
        <v>1</v>
      </c>
    </row>
    <row r="406" customFormat="false" ht="45.75" hidden="false" customHeight="true" outlineLevel="0" collapsed="false">
      <c r="A406" s="3" t="s">
        <v>171</v>
      </c>
      <c r="B406" s="3" t="s">
        <v>9</v>
      </c>
      <c r="C406" s="3" t="s">
        <v>756</v>
      </c>
      <c r="D406" s="3" t="s">
        <v>757</v>
      </c>
      <c r="E406" s="3" t="s">
        <v>24</v>
      </c>
      <c r="F406" s="4" t="s">
        <v>861</v>
      </c>
      <c r="G406" s="4" t="s">
        <v>862</v>
      </c>
      <c r="H406" s="3" t="n">
        <f aca="false">IF(COUNTIFS($D$2:D406,D406,$E$2:E406,E406,$A$2:A406,A406)=1,1,0)</f>
        <v>1</v>
      </c>
    </row>
    <row r="407" customFormat="false" ht="34.5" hidden="false" customHeight="true" outlineLevel="0" collapsed="false">
      <c r="A407" s="3" t="s">
        <v>171</v>
      </c>
      <c r="B407" s="3" t="s">
        <v>9</v>
      </c>
      <c r="C407" s="3" t="s">
        <v>756</v>
      </c>
      <c r="D407" s="3" t="s">
        <v>134</v>
      </c>
      <c r="E407" s="3" t="s">
        <v>12</v>
      </c>
      <c r="F407" s="4" t="s">
        <v>863</v>
      </c>
      <c r="G407" s="4" t="s">
        <v>864</v>
      </c>
      <c r="H407" s="3" t="n">
        <f aca="false">IF(COUNTIFS($D$2:D407,D407,$E$2:E407,E407,$A$2:A407,A407)=1,1,0)</f>
        <v>1</v>
      </c>
    </row>
    <row r="408" customFormat="false" ht="34.5" hidden="false" customHeight="true" outlineLevel="0" collapsed="false">
      <c r="A408" s="3" t="s">
        <v>171</v>
      </c>
      <c r="B408" s="3" t="s">
        <v>9</v>
      </c>
      <c r="C408" s="3" t="s">
        <v>756</v>
      </c>
      <c r="D408" s="3" t="s">
        <v>757</v>
      </c>
      <c r="E408" s="3" t="s">
        <v>96</v>
      </c>
      <c r="F408" s="4" t="s">
        <v>865</v>
      </c>
      <c r="G408" s="4" t="s">
        <v>866</v>
      </c>
      <c r="H408" s="3" t="n">
        <f aca="false">IF(COUNTIFS($D$2:D408,D408,$E$2:E408,E408,$A$2:A408,A408)=1,1,0)</f>
        <v>1</v>
      </c>
    </row>
    <row r="409" customFormat="false" ht="45.75" hidden="false" customHeight="true" outlineLevel="0" collapsed="false">
      <c r="A409" s="3" t="s">
        <v>186</v>
      </c>
      <c r="B409" s="3" t="s">
        <v>9</v>
      </c>
      <c r="C409" s="3" t="s">
        <v>756</v>
      </c>
      <c r="D409" s="3" t="s">
        <v>757</v>
      </c>
      <c r="E409" s="3" t="s">
        <v>12</v>
      </c>
      <c r="F409" s="4" t="s">
        <v>867</v>
      </c>
      <c r="G409" s="4" t="s">
        <v>868</v>
      </c>
      <c r="H409" s="3" t="n">
        <f aca="false">IF(COUNTIFS($D$2:D409,D409,$E$2:E409,E409,$A$2:A409,A409)=1,1,0)</f>
        <v>1</v>
      </c>
    </row>
    <row r="410" customFormat="false" ht="57" hidden="false" customHeight="true" outlineLevel="0" collapsed="false">
      <c r="A410" s="3" t="s">
        <v>186</v>
      </c>
      <c r="B410" s="3" t="s">
        <v>9</v>
      </c>
      <c r="C410" s="3" t="s">
        <v>756</v>
      </c>
      <c r="D410" s="3" t="s">
        <v>757</v>
      </c>
      <c r="E410" s="3" t="s">
        <v>96</v>
      </c>
      <c r="F410" s="4" t="s">
        <v>869</v>
      </c>
      <c r="G410" s="4" t="s">
        <v>870</v>
      </c>
      <c r="H410" s="3" t="n">
        <f aca="false">IF(COUNTIFS($D$2:D410,D410,$E$2:E410,E410,$A$2:A410,A410)=1,1,0)</f>
        <v>1</v>
      </c>
    </row>
    <row r="411" customFormat="false" ht="57" hidden="false" customHeight="true" outlineLevel="0" collapsed="false">
      <c r="A411" s="3" t="s">
        <v>186</v>
      </c>
      <c r="B411" s="3" t="s">
        <v>9</v>
      </c>
      <c r="C411" s="3" t="s">
        <v>756</v>
      </c>
      <c r="D411" s="3" t="s">
        <v>757</v>
      </c>
      <c r="E411" s="3" t="s">
        <v>96</v>
      </c>
      <c r="F411" s="4" t="s">
        <v>871</v>
      </c>
      <c r="G411" s="4" t="s">
        <v>872</v>
      </c>
      <c r="H411" s="3" t="n">
        <f aca="false">IF(COUNTIFS($D$2:D411,D411,$E$2:E411,E411,$A$2:A411,A411)=1,1,0)</f>
        <v>0</v>
      </c>
    </row>
    <row r="412" customFormat="false" ht="68.25" hidden="false" customHeight="true" outlineLevel="0" collapsed="false">
      <c r="A412" s="3" t="s">
        <v>186</v>
      </c>
      <c r="B412" s="3" t="s">
        <v>9</v>
      </c>
      <c r="C412" s="3" t="s">
        <v>756</v>
      </c>
      <c r="D412" s="3" t="s">
        <v>757</v>
      </c>
      <c r="E412" s="3" t="s">
        <v>222</v>
      </c>
      <c r="F412" s="4" t="s">
        <v>873</v>
      </c>
      <c r="G412" s="4" t="s">
        <v>874</v>
      </c>
      <c r="H412" s="3" t="n">
        <f aca="false">IF(COUNTIFS($D$2:D412,D412,$E$2:E412,E412,$A$2:A412,A412)=1,1,0)</f>
        <v>1</v>
      </c>
    </row>
    <row r="413" customFormat="false" ht="45.75" hidden="false" customHeight="true" outlineLevel="0" collapsed="false">
      <c r="A413" s="3" t="s">
        <v>186</v>
      </c>
      <c r="B413" s="3" t="s">
        <v>9</v>
      </c>
      <c r="C413" s="3" t="s">
        <v>756</v>
      </c>
      <c r="D413" s="3" t="s">
        <v>757</v>
      </c>
      <c r="E413" s="3" t="s">
        <v>59</v>
      </c>
      <c r="F413" s="4" t="s">
        <v>875</v>
      </c>
      <c r="G413" s="4" t="s">
        <v>876</v>
      </c>
      <c r="H413" s="3" t="n">
        <f aca="false">IF(COUNTIFS($D$2:D413,D413,$E$2:E413,E413,$A$2:A413,A413)=1,1,0)</f>
        <v>1</v>
      </c>
    </row>
    <row r="414" customFormat="false" ht="34.5" hidden="false" customHeight="true" outlineLevel="0" collapsed="false">
      <c r="A414" s="3" t="s">
        <v>207</v>
      </c>
      <c r="B414" s="3" t="s">
        <v>9</v>
      </c>
      <c r="C414" s="3" t="s">
        <v>756</v>
      </c>
      <c r="D414" s="3" t="s">
        <v>757</v>
      </c>
      <c r="E414" s="3" t="s">
        <v>12</v>
      </c>
      <c r="F414" s="4" t="s">
        <v>877</v>
      </c>
      <c r="G414" s="4" t="s">
        <v>878</v>
      </c>
      <c r="H414" s="3" t="n">
        <f aca="false">IF(COUNTIFS($D$2:D414,D414,$E$2:E414,E414,$A$2:A414,A414)=1,1,0)</f>
        <v>1</v>
      </c>
    </row>
    <row r="415" customFormat="false" ht="68.25" hidden="false" customHeight="true" outlineLevel="0" collapsed="false">
      <c r="A415" s="3" t="s">
        <v>207</v>
      </c>
      <c r="B415" s="3" t="s">
        <v>9</v>
      </c>
      <c r="C415" s="3" t="s">
        <v>756</v>
      </c>
      <c r="D415" s="3" t="s">
        <v>757</v>
      </c>
      <c r="E415" s="3" t="s">
        <v>24</v>
      </c>
      <c r="F415" s="4" t="s">
        <v>879</v>
      </c>
      <c r="G415" s="4" t="s">
        <v>880</v>
      </c>
      <c r="H415" s="3" t="n">
        <f aca="false">IF(COUNTIFS($D$2:D415,D415,$E$2:E415,E415,$A$2:A415,A415)=1,1,0)</f>
        <v>1</v>
      </c>
    </row>
    <row r="416" customFormat="false" ht="68.25" hidden="false" customHeight="true" outlineLevel="0" collapsed="false">
      <c r="A416" s="3" t="s">
        <v>207</v>
      </c>
      <c r="B416" s="3" t="s">
        <v>9</v>
      </c>
      <c r="C416" s="3" t="s">
        <v>756</v>
      </c>
      <c r="D416" s="3" t="s">
        <v>757</v>
      </c>
      <c r="E416" s="3" t="s">
        <v>12</v>
      </c>
      <c r="F416" s="4" t="s">
        <v>881</v>
      </c>
      <c r="G416" s="4" t="s">
        <v>882</v>
      </c>
      <c r="H416" s="3" t="n">
        <f aca="false">IF(COUNTIFS($D$2:D416,D416,$E$2:E416,E416,$A$2:A416,A416)=1,1,0)</f>
        <v>0</v>
      </c>
    </row>
    <row r="417" customFormat="false" ht="57" hidden="false" customHeight="true" outlineLevel="0" collapsed="false">
      <c r="A417" s="3" t="s">
        <v>207</v>
      </c>
      <c r="B417" s="3" t="s">
        <v>9</v>
      </c>
      <c r="C417" s="3" t="s">
        <v>756</v>
      </c>
      <c r="D417" s="3" t="s">
        <v>757</v>
      </c>
      <c r="E417" s="3" t="s">
        <v>12</v>
      </c>
      <c r="F417" s="4" t="s">
        <v>883</v>
      </c>
      <c r="G417" s="4" t="s">
        <v>884</v>
      </c>
      <c r="H417" s="3" t="n">
        <f aca="false">IF(COUNTIFS($D$2:D417,D417,$E$2:E417,E417,$A$2:A417,A417)=1,1,0)</f>
        <v>0</v>
      </c>
    </row>
    <row r="418" customFormat="false" ht="57" hidden="false" customHeight="true" outlineLevel="0" collapsed="false">
      <c r="A418" s="3" t="s">
        <v>207</v>
      </c>
      <c r="B418" s="3" t="s">
        <v>9</v>
      </c>
      <c r="C418" s="3" t="s">
        <v>756</v>
      </c>
      <c r="D418" s="3" t="s">
        <v>757</v>
      </c>
      <c r="E418" s="3" t="s">
        <v>12</v>
      </c>
      <c r="F418" s="4" t="s">
        <v>885</v>
      </c>
      <c r="G418" s="4" t="s">
        <v>886</v>
      </c>
      <c r="H418" s="3" t="n">
        <f aca="false">IF(COUNTIFS($D$2:D418,D418,$E$2:E418,E418,$A$2:A418,A418)=1,1,0)</f>
        <v>0</v>
      </c>
    </row>
    <row r="419" customFormat="false" ht="23.25" hidden="false" customHeight="true" outlineLevel="0" collapsed="false">
      <c r="A419" s="3" t="s">
        <v>227</v>
      </c>
      <c r="B419" s="3" t="s">
        <v>9</v>
      </c>
      <c r="C419" s="3" t="s">
        <v>756</v>
      </c>
      <c r="D419" s="3" t="s">
        <v>431</v>
      </c>
      <c r="E419" s="3" t="s">
        <v>222</v>
      </c>
      <c r="F419" s="4" t="s">
        <v>887</v>
      </c>
      <c r="G419" s="4" t="s">
        <v>888</v>
      </c>
      <c r="H419" s="3" t="n">
        <f aca="false">IF(COUNTIFS($D$2:D419,D419,$E$2:E419,E419,$A$2:A419,A419)=1,1,0)</f>
        <v>0</v>
      </c>
    </row>
    <row r="420" customFormat="false" ht="34.5" hidden="false" customHeight="true" outlineLevel="0" collapsed="false">
      <c r="A420" s="3" t="s">
        <v>227</v>
      </c>
      <c r="B420" s="3" t="s">
        <v>9</v>
      </c>
      <c r="C420" s="3" t="s">
        <v>756</v>
      </c>
      <c r="D420" s="3" t="s">
        <v>757</v>
      </c>
      <c r="E420" s="3" t="s">
        <v>96</v>
      </c>
      <c r="F420" s="4" t="s">
        <v>889</v>
      </c>
      <c r="G420" s="4" t="s">
        <v>890</v>
      </c>
      <c r="H420" s="3" t="n">
        <f aca="false">IF(COUNTIFS($D$2:D420,D420,$E$2:E420,E420,$A$2:A420,A420)=1,1,0)</f>
        <v>1</v>
      </c>
    </row>
    <row r="421" customFormat="false" ht="45.75" hidden="false" customHeight="true" outlineLevel="0" collapsed="false">
      <c r="A421" s="3" t="s">
        <v>227</v>
      </c>
      <c r="B421" s="3" t="s">
        <v>9</v>
      </c>
      <c r="C421" s="3" t="s">
        <v>756</v>
      </c>
      <c r="D421" s="3" t="s">
        <v>757</v>
      </c>
      <c r="E421" s="3" t="s">
        <v>12</v>
      </c>
      <c r="F421" s="4" t="s">
        <v>891</v>
      </c>
      <c r="G421" s="4" t="s">
        <v>892</v>
      </c>
      <c r="H421" s="3" t="n">
        <f aca="false">IF(COUNTIFS($D$2:D421,D421,$E$2:E421,E421,$A$2:A421,A421)=1,1,0)</f>
        <v>1</v>
      </c>
    </row>
    <row r="422" customFormat="false" ht="34.5" hidden="false" customHeight="true" outlineLevel="0" collapsed="false">
      <c r="A422" s="3" t="s">
        <v>227</v>
      </c>
      <c r="B422" s="3" t="s">
        <v>9</v>
      </c>
      <c r="C422" s="3" t="s">
        <v>756</v>
      </c>
      <c r="D422" s="3" t="s">
        <v>757</v>
      </c>
      <c r="E422" s="3" t="s">
        <v>59</v>
      </c>
      <c r="F422" s="4" t="s">
        <v>893</v>
      </c>
      <c r="G422" s="4" t="s">
        <v>894</v>
      </c>
      <c r="H422" s="3" t="n">
        <f aca="false">IF(COUNTIFS($D$2:D422,D422,$E$2:E422,E422,$A$2:A422,A422)=1,1,0)</f>
        <v>1</v>
      </c>
    </row>
    <row r="423" customFormat="false" ht="57" hidden="false" customHeight="true" outlineLevel="0" collapsed="false">
      <c r="A423" s="3" t="s">
        <v>227</v>
      </c>
      <c r="B423" s="3" t="s">
        <v>9</v>
      </c>
      <c r="C423" s="3" t="s">
        <v>756</v>
      </c>
      <c r="D423" s="3" t="s">
        <v>556</v>
      </c>
      <c r="E423" s="3" t="s">
        <v>59</v>
      </c>
      <c r="F423" s="4" t="s">
        <v>895</v>
      </c>
      <c r="G423" s="4" t="s">
        <v>896</v>
      </c>
      <c r="H423" s="3" t="n">
        <f aca="false">IF(COUNTIFS($D$2:D423,D423,$E$2:E423,E423,$A$2:A423,A423)=1,1,0)</f>
        <v>1</v>
      </c>
    </row>
    <row r="424" customFormat="false" ht="45.75" hidden="false" customHeight="true" outlineLevel="0" collapsed="false">
      <c r="A424" s="3" t="s">
        <v>227</v>
      </c>
      <c r="B424" s="3" t="s">
        <v>9</v>
      </c>
      <c r="C424" s="3" t="s">
        <v>756</v>
      </c>
      <c r="D424" s="3" t="s">
        <v>556</v>
      </c>
      <c r="E424" s="3" t="s">
        <v>96</v>
      </c>
      <c r="F424" s="4" t="s">
        <v>897</v>
      </c>
      <c r="G424" s="4" t="s">
        <v>898</v>
      </c>
      <c r="H424" s="3" t="n">
        <f aca="false">IF(COUNTIFS($D$2:D424,D424,$E$2:E424,E424,$A$2:A424,A424)=1,1,0)</f>
        <v>1</v>
      </c>
    </row>
    <row r="425" customFormat="false" ht="57" hidden="false" customHeight="true" outlineLevel="0" collapsed="false">
      <c r="A425" s="3" t="s">
        <v>227</v>
      </c>
      <c r="B425" s="3" t="s">
        <v>9</v>
      </c>
      <c r="C425" s="3" t="s">
        <v>756</v>
      </c>
      <c r="D425" s="3" t="s">
        <v>757</v>
      </c>
      <c r="E425" s="3" t="s">
        <v>96</v>
      </c>
      <c r="F425" s="4" t="s">
        <v>899</v>
      </c>
      <c r="G425" s="4" t="s">
        <v>900</v>
      </c>
      <c r="H425" s="3" t="n">
        <f aca="false">IF(COUNTIFS($D$2:D425,D425,$E$2:E425,E425,$A$2:A425,A425)=1,1,0)</f>
        <v>0</v>
      </c>
    </row>
    <row r="426" customFormat="false" ht="45.75" hidden="false" customHeight="true" outlineLevel="0" collapsed="false">
      <c r="A426" s="3" t="s">
        <v>227</v>
      </c>
      <c r="B426" s="3" t="s">
        <v>9</v>
      </c>
      <c r="C426" s="3" t="s">
        <v>756</v>
      </c>
      <c r="D426" s="3" t="s">
        <v>757</v>
      </c>
      <c r="E426" s="3" t="s">
        <v>12</v>
      </c>
      <c r="F426" s="4" t="s">
        <v>901</v>
      </c>
      <c r="G426" s="4" t="s">
        <v>902</v>
      </c>
      <c r="H426" s="3" t="n">
        <f aca="false">IF(COUNTIFS($D$2:D426,D426,$E$2:E426,E426,$A$2:A426,A426)=1,1,0)</f>
        <v>0</v>
      </c>
    </row>
    <row r="427" customFormat="false" ht="34.5" hidden="false" customHeight="true" outlineLevel="0" collapsed="false">
      <c r="A427" s="3" t="s">
        <v>251</v>
      </c>
      <c r="B427" s="3" t="s">
        <v>9</v>
      </c>
      <c r="C427" s="3" t="s">
        <v>756</v>
      </c>
      <c r="D427" s="3" t="s">
        <v>757</v>
      </c>
      <c r="E427" s="3" t="s">
        <v>222</v>
      </c>
      <c r="F427" s="4" t="s">
        <v>903</v>
      </c>
      <c r="G427" s="4" t="s">
        <v>904</v>
      </c>
      <c r="H427" s="3" t="n">
        <f aca="false">IF(COUNTIFS($D$2:D427,D427,$E$2:E427,E427,$A$2:A427,A427)=1,1,0)</f>
        <v>1</v>
      </c>
    </row>
    <row r="428" customFormat="false" ht="57" hidden="false" customHeight="true" outlineLevel="0" collapsed="false">
      <c r="A428" s="3" t="s">
        <v>251</v>
      </c>
      <c r="B428" s="3" t="s">
        <v>9</v>
      </c>
      <c r="C428" s="3" t="s">
        <v>756</v>
      </c>
      <c r="D428" s="3" t="s">
        <v>757</v>
      </c>
      <c r="E428" s="3" t="s">
        <v>59</v>
      </c>
      <c r="F428" s="4" t="s">
        <v>905</v>
      </c>
      <c r="G428" s="4" t="s">
        <v>906</v>
      </c>
      <c r="H428" s="3" t="n">
        <f aca="false">IF(COUNTIFS($D$2:D428,D428,$E$2:E428,E428,$A$2:A428,A428)=1,1,0)</f>
        <v>1</v>
      </c>
    </row>
    <row r="429" customFormat="false" ht="79.5" hidden="false" customHeight="true" outlineLevel="0" collapsed="false">
      <c r="A429" s="3" t="s">
        <v>251</v>
      </c>
      <c r="B429" s="3" t="s">
        <v>9</v>
      </c>
      <c r="C429" s="3" t="s">
        <v>756</v>
      </c>
      <c r="D429" s="3" t="s">
        <v>757</v>
      </c>
      <c r="E429" s="3" t="s">
        <v>96</v>
      </c>
      <c r="F429" s="4" t="s">
        <v>907</v>
      </c>
      <c r="G429" s="4" t="s">
        <v>908</v>
      </c>
      <c r="H429" s="3" t="n">
        <f aca="false">IF(COUNTIFS($D$2:D429,D429,$E$2:E429,E429,$A$2:A429,A429)=1,1,0)</f>
        <v>1</v>
      </c>
    </row>
    <row r="430" customFormat="false" ht="45.75" hidden="false" customHeight="true" outlineLevel="0" collapsed="false">
      <c r="A430" s="3" t="s">
        <v>251</v>
      </c>
      <c r="B430" s="3" t="s">
        <v>9</v>
      </c>
      <c r="C430" s="3" t="s">
        <v>756</v>
      </c>
      <c r="D430" s="3" t="s">
        <v>757</v>
      </c>
      <c r="E430" s="3" t="s">
        <v>12</v>
      </c>
      <c r="F430" s="4" t="s">
        <v>909</v>
      </c>
      <c r="G430" s="4" t="s">
        <v>910</v>
      </c>
      <c r="H430" s="3" t="n">
        <f aca="false">IF(COUNTIFS($D$2:D430,D430,$E$2:E430,E430,$A$2:A430,A430)=1,1,0)</f>
        <v>1</v>
      </c>
    </row>
    <row r="431" customFormat="false" ht="68.25" hidden="false" customHeight="true" outlineLevel="0" collapsed="false">
      <c r="A431" s="3" t="s">
        <v>8</v>
      </c>
      <c r="B431" s="3" t="s">
        <v>9</v>
      </c>
      <c r="C431" s="3" t="s">
        <v>911</v>
      </c>
      <c r="D431" s="3" t="s">
        <v>619</v>
      </c>
      <c r="E431" s="3" t="s">
        <v>222</v>
      </c>
      <c r="F431" s="4" t="s">
        <v>912</v>
      </c>
      <c r="G431" s="4" t="s">
        <v>913</v>
      </c>
      <c r="H431" s="3" t="n">
        <f aca="false">IF(COUNTIFS($D$2:D431,D431,$E$2:E431,E431,$A$2:A431,A431)=1,1,0)</f>
        <v>1</v>
      </c>
    </row>
    <row r="432" customFormat="false" ht="68.25" hidden="false" customHeight="true" outlineLevel="0" collapsed="false">
      <c r="A432" s="3" t="s">
        <v>8</v>
      </c>
      <c r="B432" s="3" t="s">
        <v>9</v>
      </c>
      <c r="C432" s="3" t="s">
        <v>911</v>
      </c>
      <c r="D432" s="3" t="s">
        <v>619</v>
      </c>
      <c r="E432" s="3" t="s">
        <v>96</v>
      </c>
      <c r="F432" s="4" t="s">
        <v>914</v>
      </c>
      <c r="G432" s="4" t="s">
        <v>915</v>
      </c>
      <c r="H432" s="3" t="n">
        <f aca="false">IF(COUNTIFS($D$2:D432,D432,$E$2:E432,E432,$A$2:A432,A432)=1,1,0)</f>
        <v>1</v>
      </c>
    </row>
    <row r="433" customFormat="false" ht="34.5" hidden="false" customHeight="true" outlineLevel="0" collapsed="false">
      <c r="A433" s="3" t="s">
        <v>32</v>
      </c>
      <c r="B433" s="3" t="s">
        <v>9</v>
      </c>
      <c r="C433" s="3" t="s">
        <v>911</v>
      </c>
      <c r="D433" s="3" t="s">
        <v>619</v>
      </c>
      <c r="E433" s="3" t="s">
        <v>222</v>
      </c>
      <c r="F433" s="4" t="s">
        <v>916</v>
      </c>
      <c r="G433" s="4" t="s">
        <v>917</v>
      </c>
      <c r="H433" s="3" t="n">
        <f aca="false">IF(COUNTIFS($D$2:D433,D433,$E$2:E433,E433,$A$2:A433,A433)=1,1,0)</f>
        <v>1</v>
      </c>
    </row>
    <row r="434" customFormat="false" ht="45.75" hidden="false" customHeight="true" outlineLevel="0" collapsed="false">
      <c r="A434" s="3" t="s">
        <v>32</v>
      </c>
      <c r="B434" s="3" t="s">
        <v>9</v>
      </c>
      <c r="C434" s="3" t="s">
        <v>911</v>
      </c>
      <c r="D434" s="3" t="s">
        <v>619</v>
      </c>
      <c r="E434" s="3" t="s">
        <v>222</v>
      </c>
      <c r="F434" s="4" t="s">
        <v>918</v>
      </c>
      <c r="G434" s="4" t="s">
        <v>919</v>
      </c>
      <c r="H434" s="3" t="n">
        <f aca="false">IF(COUNTIFS($D$2:D434,D434,$E$2:E434,E434,$A$2:A434,A434)=1,1,0)</f>
        <v>0</v>
      </c>
    </row>
    <row r="435" customFormat="false" ht="34.5" hidden="false" customHeight="true" outlineLevel="0" collapsed="false">
      <c r="A435" s="3" t="s">
        <v>32</v>
      </c>
      <c r="B435" s="3" t="s">
        <v>9</v>
      </c>
      <c r="C435" s="3" t="s">
        <v>911</v>
      </c>
      <c r="D435" s="3" t="s">
        <v>619</v>
      </c>
      <c r="E435" s="3" t="s">
        <v>12</v>
      </c>
      <c r="F435" s="4" t="s">
        <v>920</v>
      </c>
      <c r="G435" s="4" t="s">
        <v>921</v>
      </c>
      <c r="H435" s="3" t="n">
        <f aca="false">IF(COUNTIFS($D$2:D435,D435,$E$2:E435,E435,$A$2:A435,A435)=1,1,0)</f>
        <v>1</v>
      </c>
    </row>
    <row r="436" customFormat="false" ht="57" hidden="false" customHeight="true" outlineLevel="0" collapsed="false">
      <c r="A436" s="3" t="s">
        <v>32</v>
      </c>
      <c r="B436" s="3" t="s">
        <v>9</v>
      </c>
      <c r="C436" s="3" t="s">
        <v>911</v>
      </c>
      <c r="D436" s="3" t="s">
        <v>444</v>
      </c>
      <c r="E436" s="3" t="s">
        <v>96</v>
      </c>
      <c r="F436" s="4" t="s">
        <v>922</v>
      </c>
      <c r="G436" s="4" t="s">
        <v>923</v>
      </c>
      <c r="H436" s="3" t="n">
        <f aca="false">IF(COUNTIFS($D$2:D436,D436,$E$2:E436,E436,$A$2:A436,A436)=1,1,0)</f>
        <v>1</v>
      </c>
    </row>
    <row r="437" customFormat="false" ht="34.5" hidden="false" customHeight="true" outlineLevel="0" collapsed="false">
      <c r="A437" s="3" t="s">
        <v>32</v>
      </c>
      <c r="B437" s="3" t="s">
        <v>9</v>
      </c>
      <c r="C437" s="3" t="s">
        <v>911</v>
      </c>
      <c r="D437" s="3" t="s">
        <v>444</v>
      </c>
      <c r="E437" s="3" t="s">
        <v>59</v>
      </c>
      <c r="F437" s="4" t="s">
        <v>924</v>
      </c>
      <c r="G437" s="4" t="s">
        <v>925</v>
      </c>
      <c r="H437" s="3" t="n">
        <f aca="false">IF(COUNTIFS($D$2:D437,D437,$E$2:E437,E437,$A$2:A437,A437)=1,1,0)</f>
        <v>1</v>
      </c>
    </row>
    <row r="438" customFormat="false" ht="34.5" hidden="false" customHeight="true" outlineLevel="0" collapsed="false">
      <c r="A438" s="3" t="s">
        <v>32</v>
      </c>
      <c r="B438" s="3" t="s">
        <v>9</v>
      </c>
      <c r="C438" s="3" t="s">
        <v>911</v>
      </c>
      <c r="D438" s="3" t="s">
        <v>619</v>
      </c>
      <c r="E438" s="3" t="s">
        <v>222</v>
      </c>
      <c r="F438" s="4" t="s">
        <v>926</v>
      </c>
      <c r="G438" s="4" t="s">
        <v>927</v>
      </c>
      <c r="H438" s="3" t="n">
        <f aca="false">IF(COUNTIFS($D$2:D438,D438,$E$2:E438,E438,$A$2:A438,A438)=1,1,0)</f>
        <v>0</v>
      </c>
    </row>
    <row r="439" customFormat="false" ht="34.5" hidden="false" customHeight="true" outlineLevel="0" collapsed="false">
      <c r="A439" s="3" t="s">
        <v>32</v>
      </c>
      <c r="B439" s="3" t="s">
        <v>9</v>
      </c>
      <c r="C439" s="3" t="s">
        <v>911</v>
      </c>
      <c r="D439" s="3" t="s">
        <v>619</v>
      </c>
      <c r="E439" s="3" t="s">
        <v>59</v>
      </c>
      <c r="F439" s="4" t="s">
        <v>928</v>
      </c>
      <c r="G439" s="4" t="s">
        <v>929</v>
      </c>
      <c r="H439" s="3" t="n">
        <f aca="false">IF(COUNTIFS($D$2:D439,D439,$E$2:E439,E439,$A$2:A439,A439)=1,1,0)</f>
        <v>1</v>
      </c>
    </row>
    <row r="440" customFormat="false" ht="57" hidden="false" customHeight="true" outlineLevel="0" collapsed="false">
      <c r="A440" s="3" t="s">
        <v>54</v>
      </c>
      <c r="B440" s="3" t="s">
        <v>9</v>
      </c>
      <c r="C440" s="3" t="s">
        <v>911</v>
      </c>
      <c r="D440" s="3" t="s">
        <v>619</v>
      </c>
      <c r="E440" s="3" t="s">
        <v>222</v>
      </c>
      <c r="F440" s="4" t="s">
        <v>930</v>
      </c>
      <c r="G440" s="4" t="s">
        <v>931</v>
      </c>
      <c r="H440" s="3" t="n">
        <f aca="false">IF(COUNTIFS($D$2:D440,D440,$E$2:E440,E440,$A$2:A440,A440)=1,1,0)</f>
        <v>1</v>
      </c>
    </row>
    <row r="441" customFormat="false" ht="34.5" hidden="false" customHeight="true" outlineLevel="0" collapsed="false">
      <c r="A441" s="3" t="s">
        <v>54</v>
      </c>
      <c r="B441" s="3" t="s">
        <v>9</v>
      </c>
      <c r="C441" s="3" t="s">
        <v>911</v>
      </c>
      <c r="D441" s="3" t="s">
        <v>619</v>
      </c>
      <c r="E441" s="3" t="s">
        <v>12</v>
      </c>
      <c r="F441" s="4" t="s">
        <v>932</v>
      </c>
      <c r="G441" s="4" t="s">
        <v>933</v>
      </c>
      <c r="H441" s="3" t="n">
        <f aca="false">IF(COUNTIFS($D$2:D441,D441,$E$2:E441,E441,$A$2:A441,A441)=1,1,0)</f>
        <v>1</v>
      </c>
    </row>
    <row r="442" customFormat="false" ht="57" hidden="false" customHeight="true" outlineLevel="0" collapsed="false">
      <c r="A442" s="3" t="s">
        <v>54</v>
      </c>
      <c r="B442" s="3" t="s">
        <v>9</v>
      </c>
      <c r="C442" s="3" t="s">
        <v>911</v>
      </c>
      <c r="D442" s="3" t="s">
        <v>619</v>
      </c>
      <c r="E442" s="3" t="s">
        <v>59</v>
      </c>
      <c r="F442" s="4" t="s">
        <v>934</v>
      </c>
      <c r="G442" s="4" t="s">
        <v>935</v>
      </c>
      <c r="H442" s="3" t="n">
        <f aca="false">IF(COUNTIFS($D$2:D442,D442,$E$2:E442,E442,$A$2:A442,A442)=1,1,0)</f>
        <v>1</v>
      </c>
    </row>
    <row r="443" customFormat="false" ht="79.5" hidden="false" customHeight="true" outlineLevel="0" collapsed="false">
      <c r="A443" s="3" t="s">
        <v>54</v>
      </c>
      <c r="B443" s="3" t="s">
        <v>9</v>
      </c>
      <c r="C443" s="3" t="s">
        <v>911</v>
      </c>
      <c r="D443" s="3" t="s">
        <v>816</v>
      </c>
      <c r="E443" s="3" t="s">
        <v>12</v>
      </c>
      <c r="F443" s="4" t="s">
        <v>936</v>
      </c>
      <c r="G443" s="4" t="s">
        <v>937</v>
      </c>
      <c r="H443" s="3" t="n">
        <f aca="false">IF(COUNTIFS($D$2:D443,D443,$E$2:E443,E443,$A$2:A443,A443)=1,1,0)</f>
        <v>1</v>
      </c>
    </row>
    <row r="444" customFormat="false" ht="45.75" hidden="false" customHeight="true" outlineLevel="0" collapsed="false">
      <c r="A444" s="3" t="s">
        <v>72</v>
      </c>
      <c r="B444" s="3" t="s">
        <v>9</v>
      </c>
      <c r="C444" s="3" t="s">
        <v>911</v>
      </c>
      <c r="D444" s="3" t="s">
        <v>619</v>
      </c>
      <c r="E444" s="3" t="s">
        <v>59</v>
      </c>
      <c r="F444" s="4" t="s">
        <v>938</v>
      </c>
      <c r="G444" s="4" t="s">
        <v>939</v>
      </c>
      <c r="H444" s="3" t="n">
        <f aca="false">IF(COUNTIFS($D$2:D444,D444,$E$2:E444,E444,$A$2:A444,A444)=1,1,0)</f>
        <v>1</v>
      </c>
    </row>
    <row r="445" customFormat="false" ht="45.75" hidden="false" customHeight="true" outlineLevel="0" collapsed="false">
      <c r="A445" s="3" t="s">
        <v>72</v>
      </c>
      <c r="B445" s="3" t="s">
        <v>9</v>
      </c>
      <c r="C445" s="3" t="s">
        <v>911</v>
      </c>
      <c r="D445" s="3" t="s">
        <v>619</v>
      </c>
      <c r="E445" s="3" t="s">
        <v>12</v>
      </c>
      <c r="F445" s="4" t="s">
        <v>940</v>
      </c>
      <c r="G445" s="4" t="s">
        <v>941</v>
      </c>
      <c r="H445" s="3" t="n">
        <f aca="false">IF(COUNTIFS($D$2:D445,D445,$E$2:E445,E445,$A$2:A445,A445)=1,1,0)</f>
        <v>1</v>
      </c>
    </row>
    <row r="446" customFormat="false" ht="45.75" hidden="false" customHeight="true" outlineLevel="0" collapsed="false">
      <c r="A446" s="3" t="s">
        <v>72</v>
      </c>
      <c r="B446" s="3" t="s">
        <v>9</v>
      </c>
      <c r="C446" s="3" t="s">
        <v>911</v>
      </c>
      <c r="D446" s="3" t="s">
        <v>619</v>
      </c>
      <c r="E446" s="3" t="s">
        <v>12</v>
      </c>
      <c r="F446" s="4" t="s">
        <v>942</v>
      </c>
      <c r="G446" s="4" t="s">
        <v>943</v>
      </c>
      <c r="H446" s="3" t="n">
        <f aca="false">IF(COUNTIFS($D$2:D446,D446,$E$2:E446,E446,$A$2:A446,A446)=1,1,0)</f>
        <v>0</v>
      </c>
    </row>
    <row r="447" customFormat="false" ht="34.5" hidden="false" customHeight="true" outlineLevel="0" collapsed="false">
      <c r="A447" s="3" t="s">
        <v>72</v>
      </c>
      <c r="B447" s="3" t="s">
        <v>9</v>
      </c>
      <c r="C447" s="3" t="s">
        <v>911</v>
      </c>
      <c r="D447" s="3" t="s">
        <v>619</v>
      </c>
      <c r="E447" s="3" t="s">
        <v>12</v>
      </c>
      <c r="F447" s="4" t="s">
        <v>944</v>
      </c>
      <c r="G447" s="4" t="s">
        <v>945</v>
      </c>
      <c r="H447" s="3" t="n">
        <f aca="false">IF(COUNTIFS($D$2:D447,D447,$E$2:E447,E447,$A$2:A447,A447)=1,1,0)</f>
        <v>0</v>
      </c>
    </row>
    <row r="448" customFormat="false" ht="34.5" hidden="false" customHeight="true" outlineLevel="0" collapsed="false">
      <c r="A448" s="3" t="s">
        <v>72</v>
      </c>
      <c r="B448" s="3" t="s">
        <v>9</v>
      </c>
      <c r="C448" s="3" t="s">
        <v>911</v>
      </c>
      <c r="D448" s="3" t="s">
        <v>619</v>
      </c>
      <c r="E448" s="3" t="s">
        <v>12</v>
      </c>
      <c r="F448" s="4" t="s">
        <v>946</v>
      </c>
      <c r="G448" s="4" t="s">
        <v>947</v>
      </c>
      <c r="H448" s="3" t="n">
        <f aca="false">IF(COUNTIFS($D$2:D448,D448,$E$2:E448,E448,$A$2:A448,A448)=1,1,0)</f>
        <v>0</v>
      </c>
    </row>
    <row r="449" customFormat="false" ht="45.75" hidden="false" customHeight="true" outlineLevel="0" collapsed="false">
      <c r="A449" s="3" t="s">
        <v>72</v>
      </c>
      <c r="B449" s="3" t="s">
        <v>9</v>
      </c>
      <c r="C449" s="3" t="s">
        <v>911</v>
      </c>
      <c r="D449" s="3" t="s">
        <v>444</v>
      </c>
      <c r="E449" s="3" t="s">
        <v>12</v>
      </c>
      <c r="F449" s="4" t="s">
        <v>948</v>
      </c>
      <c r="G449" s="4" t="s">
        <v>949</v>
      </c>
      <c r="H449" s="3" t="n">
        <f aca="false">IF(COUNTIFS($D$2:D449,D449,$E$2:E449,E449,$A$2:A449,A449)=1,1,0)</f>
        <v>0</v>
      </c>
    </row>
    <row r="450" customFormat="false" ht="45.75" hidden="false" customHeight="true" outlineLevel="0" collapsed="false">
      <c r="A450" s="3" t="s">
        <v>72</v>
      </c>
      <c r="B450" s="3" t="s">
        <v>9</v>
      </c>
      <c r="C450" s="3" t="s">
        <v>911</v>
      </c>
      <c r="D450" s="3" t="s">
        <v>619</v>
      </c>
      <c r="E450" s="3" t="s">
        <v>24</v>
      </c>
      <c r="F450" s="4" t="s">
        <v>950</v>
      </c>
      <c r="G450" s="4" t="s">
        <v>951</v>
      </c>
      <c r="H450" s="3" t="n">
        <f aca="false">IF(COUNTIFS($D$2:D450,D450,$E$2:E450,E450,$A$2:A450,A450)=1,1,0)</f>
        <v>1</v>
      </c>
    </row>
    <row r="451" customFormat="false" ht="34.5" hidden="false" customHeight="true" outlineLevel="0" collapsed="false">
      <c r="A451" s="3" t="s">
        <v>72</v>
      </c>
      <c r="B451" s="3" t="s">
        <v>9</v>
      </c>
      <c r="C451" s="3" t="s">
        <v>911</v>
      </c>
      <c r="D451" s="3" t="s">
        <v>952</v>
      </c>
      <c r="E451" s="3" t="s">
        <v>12</v>
      </c>
      <c r="F451" s="4" t="s">
        <v>953</v>
      </c>
      <c r="G451" s="4" t="s">
        <v>954</v>
      </c>
      <c r="H451" s="3" t="n">
        <f aca="false">IF(COUNTIFS($D$2:D451,D451,$E$2:E451,E451,$A$2:A451,A451)=1,1,0)</f>
        <v>1</v>
      </c>
    </row>
    <row r="452" customFormat="false" ht="57" hidden="false" customHeight="true" outlineLevel="0" collapsed="false">
      <c r="A452" s="3" t="s">
        <v>72</v>
      </c>
      <c r="B452" s="3" t="s">
        <v>9</v>
      </c>
      <c r="C452" s="3" t="s">
        <v>911</v>
      </c>
      <c r="D452" s="3" t="s">
        <v>952</v>
      </c>
      <c r="E452" s="3" t="s">
        <v>12</v>
      </c>
      <c r="F452" s="4" t="s">
        <v>955</v>
      </c>
      <c r="G452" s="4" t="s">
        <v>956</v>
      </c>
      <c r="H452" s="3" t="n">
        <f aca="false">IF(COUNTIFS($D$2:D452,D452,$E$2:E452,E452,$A$2:A452,A452)=1,1,0)</f>
        <v>0</v>
      </c>
    </row>
    <row r="453" customFormat="false" ht="45.75" hidden="false" customHeight="true" outlineLevel="0" collapsed="false">
      <c r="A453" s="3" t="s">
        <v>99</v>
      </c>
      <c r="B453" s="3" t="s">
        <v>9</v>
      </c>
      <c r="C453" s="3" t="s">
        <v>911</v>
      </c>
      <c r="D453" s="3" t="s">
        <v>619</v>
      </c>
      <c r="E453" s="3" t="s">
        <v>12</v>
      </c>
      <c r="F453" s="4" t="s">
        <v>957</v>
      </c>
      <c r="G453" s="4" t="s">
        <v>958</v>
      </c>
      <c r="H453" s="3" t="n">
        <f aca="false">IF(COUNTIFS($D$2:D453,D453,$E$2:E453,E453,$A$2:A453,A453)=1,1,0)</f>
        <v>0</v>
      </c>
    </row>
    <row r="454" customFormat="false" ht="34.5" hidden="false" customHeight="true" outlineLevel="0" collapsed="false">
      <c r="A454" s="3" t="s">
        <v>99</v>
      </c>
      <c r="B454" s="3" t="s">
        <v>9</v>
      </c>
      <c r="C454" s="3" t="s">
        <v>911</v>
      </c>
      <c r="D454" s="3" t="s">
        <v>619</v>
      </c>
      <c r="E454" s="3" t="s">
        <v>12</v>
      </c>
      <c r="F454" s="4" t="s">
        <v>959</v>
      </c>
      <c r="G454" s="4" t="s">
        <v>960</v>
      </c>
      <c r="H454" s="3" t="n">
        <f aca="false">IF(COUNTIFS($D$2:D454,D454,$E$2:E454,E454,$A$2:A454,A454)=1,1,0)</f>
        <v>0</v>
      </c>
    </row>
    <row r="455" customFormat="false" ht="23.25" hidden="false" customHeight="true" outlineLevel="0" collapsed="false">
      <c r="A455" s="3" t="s">
        <v>99</v>
      </c>
      <c r="B455" s="3" t="s">
        <v>9</v>
      </c>
      <c r="C455" s="3" t="s">
        <v>911</v>
      </c>
      <c r="D455" s="3" t="s">
        <v>619</v>
      </c>
      <c r="E455" s="3" t="s">
        <v>12</v>
      </c>
      <c r="F455" s="4" t="s">
        <v>961</v>
      </c>
      <c r="G455" s="4" t="s">
        <v>962</v>
      </c>
      <c r="H455" s="3" t="n">
        <f aca="false">IF(COUNTIFS($D$2:D455,D455,$E$2:E455,E455,$A$2:A455,A455)=1,1,0)</f>
        <v>0</v>
      </c>
    </row>
    <row r="456" customFormat="false" ht="45.75" hidden="false" customHeight="true" outlineLevel="0" collapsed="false">
      <c r="A456" s="3" t="s">
        <v>99</v>
      </c>
      <c r="B456" s="3" t="s">
        <v>9</v>
      </c>
      <c r="C456" s="3" t="s">
        <v>911</v>
      </c>
      <c r="D456" s="3" t="s">
        <v>619</v>
      </c>
      <c r="E456" s="3" t="s">
        <v>222</v>
      </c>
      <c r="F456" s="4" t="s">
        <v>963</v>
      </c>
      <c r="G456" s="4" t="s">
        <v>964</v>
      </c>
      <c r="H456" s="3" t="n">
        <f aca="false">IF(COUNTIFS($D$2:D456,D456,$E$2:E456,E456,$A$2:A456,A456)=1,1,0)</f>
        <v>1</v>
      </c>
    </row>
    <row r="457" customFormat="false" ht="34.5" hidden="false" customHeight="true" outlineLevel="0" collapsed="false">
      <c r="A457" s="3" t="s">
        <v>99</v>
      </c>
      <c r="B457" s="3" t="s">
        <v>9</v>
      </c>
      <c r="C457" s="3" t="s">
        <v>911</v>
      </c>
      <c r="D457" s="3" t="s">
        <v>619</v>
      </c>
      <c r="E457" s="3" t="s">
        <v>24</v>
      </c>
      <c r="F457" s="4" t="s">
        <v>965</v>
      </c>
      <c r="G457" s="4" t="s">
        <v>966</v>
      </c>
      <c r="H457" s="3" t="n">
        <f aca="false">IF(COUNTIFS($D$2:D457,D457,$E$2:E457,E457,$A$2:A457,A457)=1,1,0)</f>
        <v>1</v>
      </c>
    </row>
    <row r="458" customFormat="false" ht="79.5" hidden="false" customHeight="true" outlineLevel="0" collapsed="false">
      <c r="A458" s="3" t="s">
        <v>120</v>
      </c>
      <c r="B458" s="3" t="s">
        <v>9</v>
      </c>
      <c r="C458" s="3" t="s">
        <v>911</v>
      </c>
      <c r="D458" s="3" t="s">
        <v>619</v>
      </c>
      <c r="E458" s="3" t="s">
        <v>12</v>
      </c>
      <c r="F458" s="4" t="s">
        <v>967</v>
      </c>
      <c r="G458" s="4" t="s">
        <v>968</v>
      </c>
      <c r="H458" s="3" t="n">
        <f aca="false">IF(COUNTIFS($D$2:D458,D458,$E$2:E458,E458,$A$2:A458,A458)=1,1,0)</f>
        <v>1</v>
      </c>
    </row>
    <row r="459" customFormat="false" ht="45.75" hidden="false" customHeight="true" outlineLevel="0" collapsed="false">
      <c r="A459" s="3" t="s">
        <v>120</v>
      </c>
      <c r="B459" s="3" t="s">
        <v>9</v>
      </c>
      <c r="C459" s="3" t="s">
        <v>911</v>
      </c>
      <c r="D459" s="3" t="s">
        <v>619</v>
      </c>
      <c r="E459" s="3" t="s">
        <v>12</v>
      </c>
      <c r="F459" s="4" t="s">
        <v>969</v>
      </c>
      <c r="G459" s="4" t="s">
        <v>970</v>
      </c>
      <c r="H459" s="3" t="n">
        <f aca="false">IF(COUNTIFS($D$2:D459,D459,$E$2:E459,E459,$A$2:A459,A459)=1,1,0)</f>
        <v>0</v>
      </c>
    </row>
    <row r="460" customFormat="false" ht="15" hidden="false" customHeight="true" outlineLevel="0" collapsed="false">
      <c r="A460" s="3" t="s">
        <v>143</v>
      </c>
      <c r="B460" s="3" t="s">
        <v>9</v>
      </c>
      <c r="C460" s="3" t="s">
        <v>911</v>
      </c>
      <c r="D460" s="3" t="s">
        <v>619</v>
      </c>
      <c r="E460" s="3" t="s">
        <v>12</v>
      </c>
      <c r="F460" s="4" t="s">
        <v>971</v>
      </c>
      <c r="G460" s="4"/>
      <c r="H460" s="3" t="n">
        <f aca="false">IF(COUNTIFS($D$2:D460,D460,$E$2:E460,E460,$A$2:A460,A460)=1,1,0)</f>
        <v>0</v>
      </c>
    </row>
    <row r="461" customFormat="false" ht="15" hidden="false" customHeight="true" outlineLevel="0" collapsed="false">
      <c r="A461" s="3" t="s">
        <v>150</v>
      </c>
      <c r="B461" s="3" t="s">
        <v>9</v>
      </c>
      <c r="C461" s="3" t="s">
        <v>911</v>
      </c>
      <c r="D461" s="3" t="s">
        <v>619</v>
      </c>
      <c r="E461" s="3" t="s">
        <v>12</v>
      </c>
      <c r="F461" s="4" t="s">
        <v>971</v>
      </c>
      <c r="G461" s="4"/>
      <c r="H461" s="3" t="n">
        <f aca="false">IF(COUNTIFS($D$2:D461,D461,$E$2:E461,E461,$A$2:A461,A461)=1,1,0)</f>
        <v>0</v>
      </c>
    </row>
    <row r="462" customFormat="false" ht="90.75" hidden="false" customHeight="true" outlineLevel="0" collapsed="false">
      <c r="A462" s="3" t="s">
        <v>171</v>
      </c>
      <c r="B462" s="3" t="s">
        <v>9</v>
      </c>
      <c r="C462" s="3" t="s">
        <v>911</v>
      </c>
      <c r="D462" s="3" t="s">
        <v>619</v>
      </c>
      <c r="E462" s="3" t="s">
        <v>222</v>
      </c>
      <c r="F462" s="4" t="s">
        <v>972</v>
      </c>
      <c r="G462" s="4" t="s">
        <v>973</v>
      </c>
      <c r="H462" s="3" t="n">
        <f aca="false">IF(COUNTIFS($D$2:D462,D462,$E$2:E462,E462,$A$2:A462,A462)=1,1,0)</f>
        <v>1</v>
      </c>
    </row>
    <row r="463" customFormat="false" ht="23.25" hidden="false" customHeight="true" outlineLevel="0" collapsed="false">
      <c r="A463" s="3" t="s">
        <v>171</v>
      </c>
      <c r="B463" s="3" t="s">
        <v>9</v>
      </c>
      <c r="C463" s="3" t="s">
        <v>911</v>
      </c>
      <c r="D463" s="3" t="s">
        <v>619</v>
      </c>
      <c r="E463" s="3" t="s">
        <v>12</v>
      </c>
      <c r="F463" s="4" t="s">
        <v>974</v>
      </c>
      <c r="G463" s="4" t="s">
        <v>975</v>
      </c>
      <c r="H463" s="3" t="n">
        <f aca="false">IF(COUNTIFS($D$2:D463,D463,$E$2:E463,E463,$A$2:A463,A463)=1,1,0)</f>
        <v>0</v>
      </c>
    </row>
    <row r="464" customFormat="false" ht="34.5" hidden="false" customHeight="true" outlineLevel="0" collapsed="false">
      <c r="A464" s="3" t="s">
        <v>171</v>
      </c>
      <c r="B464" s="3" t="s">
        <v>9</v>
      </c>
      <c r="C464" s="3" t="s">
        <v>911</v>
      </c>
      <c r="D464" s="3" t="s">
        <v>619</v>
      </c>
      <c r="E464" s="3" t="s">
        <v>12</v>
      </c>
      <c r="F464" s="4" t="s">
        <v>976</v>
      </c>
      <c r="G464" s="4" t="s">
        <v>977</v>
      </c>
      <c r="H464" s="3" t="n">
        <f aca="false">IF(COUNTIFS($D$2:D464,D464,$E$2:E464,E464,$A$2:A464,A464)=1,1,0)</f>
        <v>0</v>
      </c>
    </row>
    <row r="465" customFormat="false" ht="45.75" hidden="false" customHeight="true" outlineLevel="0" collapsed="false">
      <c r="A465" s="3" t="s">
        <v>186</v>
      </c>
      <c r="B465" s="3" t="s">
        <v>9</v>
      </c>
      <c r="C465" s="3" t="s">
        <v>911</v>
      </c>
      <c r="D465" s="3" t="s">
        <v>37</v>
      </c>
      <c r="E465" s="3" t="s">
        <v>12</v>
      </c>
      <c r="F465" s="4" t="s">
        <v>978</v>
      </c>
      <c r="G465" s="4" t="s">
        <v>979</v>
      </c>
      <c r="H465" s="3" t="n">
        <f aca="false">IF(COUNTIFS($D$2:D465,D465,$E$2:E465,E465,$A$2:A465,A465)=1,1,0)</f>
        <v>0</v>
      </c>
    </row>
    <row r="466" customFormat="false" ht="45.75" hidden="false" customHeight="true" outlineLevel="0" collapsed="false">
      <c r="A466" s="3" t="s">
        <v>186</v>
      </c>
      <c r="B466" s="3" t="s">
        <v>9</v>
      </c>
      <c r="C466" s="3" t="s">
        <v>911</v>
      </c>
      <c r="D466" s="3" t="s">
        <v>37</v>
      </c>
      <c r="E466" s="3" t="s">
        <v>12</v>
      </c>
      <c r="F466" s="4" t="s">
        <v>980</v>
      </c>
      <c r="G466" s="4" t="s">
        <v>981</v>
      </c>
      <c r="H466" s="3" t="n">
        <f aca="false">IF(COUNTIFS($D$2:D466,D466,$E$2:E466,E466,$A$2:A466,A466)=1,1,0)</f>
        <v>0</v>
      </c>
    </row>
    <row r="467" customFormat="false" ht="90.75" hidden="false" customHeight="true" outlineLevel="0" collapsed="false">
      <c r="A467" s="3" t="s">
        <v>207</v>
      </c>
      <c r="B467" s="3" t="s">
        <v>9</v>
      </c>
      <c r="C467" s="3" t="s">
        <v>911</v>
      </c>
      <c r="D467" s="3" t="s">
        <v>619</v>
      </c>
      <c r="E467" s="3" t="s">
        <v>12</v>
      </c>
      <c r="F467" s="4" t="s">
        <v>982</v>
      </c>
      <c r="G467" s="4" t="s">
        <v>983</v>
      </c>
      <c r="H467" s="3" t="n">
        <f aca="false">IF(COUNTIFS($D$2:D467,D467,$E$2:E467,E467,$A$2:A467,A467)=1,1,0)</f>
        <v>0</v>
      </c>
    </row>
    <row r="468" customFormat="false" ht="45.75" hidden="false" customHeight="true" outlineLevel="0" collapsed="false">
      <c r="A468" s="3" t="s">
        <v>207</v>
      </c>
      <c r="B468" s="3" t="s">
        <v>9</v>
      </c>
      <c r="C468" s="3" t="s">
        <v>911</v>
      </c>
      <c r="D468" s="3" t="s">
        <v>619</v>
      </c>
      <c r="E468" s="3" t="s">
        <v>12</v>
      </c>
      <c r="F468" s="4" t="s">
        <v>984</v>
      </c>
      <c r="G468" s="4" t="s">
        <v>985</v>
      </c>
      <c r="H468" s="3" t="n">
        <f aca="false">IF(COUNTIFS($D$2:D468,D468,$E$2:E468,E468,$A$2:A468,A468)=1,1,0)</f>
        <v>0</v>
      </c>
    </row>
    <row r="469" customFormat="false" ht="45.75" hidden="false" customHeight="true" outlineLevel="0" collapsed="false">
      <c r="A469" s="3" t="s">
        <v>207</v>
      </c>
      <c r="B469" s="3" t="s">
        <v>9</v>
      </c>
      <c r="C469" s="3" t="s">
        <v>911</v>
      </c>
      <c r="D469" s="3" t="s">
        <v>619</v>
      </c>
      <c r="E469" s="3" t="s">
        <v>12</v>
      </c>
      <c r="F469" s="4" t="s">
        <v>986</v>
      </c>
      <c r="G469" s="4" t="s">
        <v>987</v>
      </c>
      <c r="H469" s="3" t="n">
        <f aca="false">IF(COUNTIFS($D$2:D469,D469,$E$2:E469,E469,$A$2:A469,A469)=1,1,0)</f>
        <v>0</v>
      </c>
    </row>
    <row r="470" customFormat="false" ht="45.75" hidden="false" customHeight="true" outlineLevel="0" collapsed="false">
      <c r="A470" s="3" t="s">
        <v>227</v>
      </c>
      <c r="B470" s="3" t="s">
        <v>9</v>
      </c>
      <c r="C470" s="3" t="s">
        <v>911</v>
      </c>
      <c r="D470" s="3" t="s">
        <v>619</v>
      </c>
      <c r="E470" s="3" t="s">
        <v>24</v>
      </c>
      <c r="F470" s="4" t="s">
        <v>988</v>
      </c>
      <c r="G470" s="4" t="s">
        <v>989</v>
      </c>
      <c r="H470" s="3" t="n">
        <f aca="false">IF(COUNTIFS($D$2:D470,D470,$E$2:E470,E470,$A$2:A470,A470)=1,1,0)</f>
        <v>1</v>
      </c>
    </row>
    <row r="471" customFormat="false" ht="57" hidden="false" customHeight="true" outlineLevel="0" collapsed="false">
      <c r="A471" s="3" t="s">
        <v>227</v>
      </c>
      <c r="B471" s="3" t="s">
        <v>9</v>
      </c>
      <c r="C471" s="3" t="s">
        <v>911</v>
      </c>
      <c r="D471" s="3" t="s">
        <v>444</v>
      </c>
      <c r="E471" s="3" t="s">
        <v>96</v>
      </c>
      <c r="F471" s="4" t="s">
        <v>990</v>
      </c>
      <c r="G471" s="4" t="s">
        <v>991</v>
      </c>
      <c r="H471" s="3" t="n">
        <f aca="false">IF(COUNTIFS($D$2:D471,D471,$E$2:E471,E471,$A$2:A471,A471)=1,1,0)</f>
        <v>1</v>
      </c>
    </row>
    <row r="472" customFormat="false" ht="45.75" hidden="false" customHeight="true" outlineLevel="0" collapsed="false">
      <c r="A472" s="3" t="s">
        <v>251</v>
      </c>
      <c r="B472" s="3" t="s">
        <v>9</v>
      </c>
      <c r="C472" s="3" t="s">
        <v>911</v>
      </c>
      <c r="D472" s="3" t="s">
        <v>619</v>
      </c>
      <c r="E472" s="3" t="s">
        <v>12</v>
      </c>
      <c r="F472" s="4" t="s">
        <v>992</v>
      </c>
      <c r="G472" s="4" t="s">
        <v>993</v>
      </c>
      <c r="H472" s="3" t="n">
        <f aca="false">IF(COUNTIFS($D$2:D472,D472,$E$2:E472,E472,$A$2:A472,A472)=1,1,0)</f>
        <v>1</v>
      </c>
    </row>
    <row r="473" customFormat="false" ht="34.5" hidden="false" customHeight="true" outlineLevel="0" collapsed="false">
      <c r="A473" s="3" t="s">
        <v>251</v>
      </c>
      <c r="B473" s="3" t="s">
        <v>9</v>
      </c>
      <c r="C473" s="3" t="s">
        <v>911</v>
      </c>
      <c r="D473" s="3" t="s">
        <v>619</v>
      </c>
      <c r="E473" s="3" t="s">
        <v>12</v>
      </c>
      <c r="F473" s="4" t="s">
        <v>994</v>
      </c>
      <c r="G473" s="4" t="s">
        <v>995</v>
      </c>
      <c r="H473" s="3" t="n">
        <f aca="false">IF(COUNTIFS($D$2:D473,D473,$E$2:E473,E473,$A$2:A473,A473)=1,1,0)</f>
        <v>0</v>
      </c>
    </row>
    <row r="474" customFormat="false" ht="57" hidden="false" customHeight="true" outlineLevel="0" collapsed="false">
      <c r="A474" s="3" t="s">
        <v>251</v>
      </c>
      <c r="B474" s="3" t="s">
        <v>9</v>
      </c>
      <c r="C474" s="3" t="s">
        <v>911</v>
      </c>
      <c r="D474" s="3" t="s">
        <v>473</v>
      </c>
      <c r="E474" s="3" t="s">
        <v>222</v>
      </c>
      <c r="F474" s="4" t="s">
        <v>996</v>
      </c>
      <c r="G474" s="4" t="s">
        <v>997</v>
      </c>
      <c r="H474" s="3" t="n">
        <f aca="false">IF(COUNTIFS($D$2:D474,D474,$E$2:E474,E474,$A$2:A474,A474)=1,1,0)</f>
        <v>0</v>
      </c>
    </row>
    <row r="475" customFormat="false" ht="34.5" hidden="false" customHeight="true" outlineLevel="0" collapsed="false">
      <c r="A475" s="3" t="s">
        <v>251</v>
      </c>
      <c r="B475" s="3" t="s">
        <v>9</v>
      </c>
      <c r="C475" s="3" t="s">
        <v>911</v>
      </c>
      <c r="D475" s="3" t="s">
        <v>413</v>
      </c>
      <c r="E475" s="3" t="s">
        <v>96</v>
      </c>
      <c r="F475" s="4" t="s">
        <v>998</v>
      </c>
      <c r="G475" s="4" t="s">
        <v>999</v>
      </c>
      <c r="H475" s="3" t="n">
        <f aca="false">IF(COUNTIFS($D$2:D475,D475,$E$2:E475,E475,$A$2:A475,A475)=1,1,0)</f>
        <v>1</v>
      </c>
    </row>
    <row r="476" customFormat="false" ht="57" hidden="false" customHeight="true" outlineLevel="0" collapsed="false">
      <c r="A476" s="3" t="s">
        <v>8</v>
      </c>
      <c r="B476" s="3" t="s">
        <v>9</v>
      </c>
      <c r="C476" s="3" t="s">
        <v>1000</v>
      </c>
      <c r="D476" s="3" t="s">
        <v>952</v>
      </c>
      <c r="E476" s="3" t="s">
        <v>12</v>
      </c>
      <c r="F476" s="4" t="s">
        <v>1001</v>
      </c>
      <c r="G476" s="4" t="s">
        <v>1002</v>
      </c>
      <c r="H476" s="3" t="n">
        <f aca="false">IF(COUNTIFS($D$2:D476,D476,$E$2:E476,E476,$A$2:A476,A476)=1,1,0)</f>
        <v>1</v>
      </c>
    </row>
    <row r="477" customFormat="false" ht="57" hidden="false" customHeight="true" outlineLevel="0" collapsed="false">
      <c r="A477" s="3" t="s">
        <v>8</v>
      </c>
      <c r="B477" s="3" t="s">
        <v>9</v>
      </c>
      <c r="C477" s="3" t="s">
        <v>1000</v>
      </c>
      <c r="D477" s="3" t="s">
        <v>1003</v>
      </c>
      <c r="E477" s="3" t="s">
        <v>24</v>
      </c>
      <c r="F477" s="4" t="s">
        <v>1004</v>
      </c>
      <c r="G477" s="4" t="s">
        <v>1005</v>
      </c>
      <c r="H477" s="3" t="n">
        <f aca="false">IF(COUNTIFS($D$2:D477,D477,$E$2:E477,E477,$A$2:A477,A477)=1,1,0)</f>
        <v>1</v>
      </c>
    </row>
    <row r="478" customFormat="false" ht="57" hidden="false" customHeight="true" outlineLevel="0" collapsed="false">
      <c r="A478" s="3" t="s">
        <v>8</v>
      </c>
      <c r="B478" s="3" t="s">
        <v>9</v>
      </c>
      <c r="C478" s="3" t="s">
        <v>1000</v>
      </c>
      <c r="D478" s="3" t="s">
        <v>413</v>
      </c>
      <c r="E478" s="3" t="s">
        <v>96</v>
      </c>
      <c r="F478" s="4" t="s">
        <v>1006</v>
      </c>
      <c r="G478" s="4" t="s">
        <v>1007</v>
      </c>
      <c r="H478" s="3" t="n">
        <f aca="false">IF(COUNTIFS($D$2:D478,D478,$E$2:E478,E478,$A$2:A478,A478)=1,1,0)</f>
        <v>1</v>
      </c>
    </row>
    <row r="479" customFormat="false" ht="34.5" hidden="false" customHeight="true" outlineLevel="0" collapsed="false">
      <c r="A479" s="3" t="s">
        <v>8</v>
      </c>
      <c r="B479" s="3" t="s">
        <v>9</v>
      </c>
      <c r="C479" s="3" t="s">
        <v>1000</v>
      </c>
      <c r="D479" s="3" t="s">
        <v>473</v>
      </c>
      <c r="E479" s="3" t="s">
        <v>24</v>
      </c>
      <c r="F479" s="4" t="s">
        <v>1008</v>
      </c>
      <c r="G479" s="4" t="s">
        <v>1009</v>
      </c>
      <c r="H479" s="3" t="n">
        <f aca="false">IF(COUNTIFS($D$2:D479,D479,$E$2:E479,E479,$A$2:A479,A479)=1,1,0)</f>
        <v>1</v>
      </c>
    </row>
    <row r="480" customFormat="false" ht="68.25" hidden="false" customHeight="true" outlineLevel="0" collapsed="false">
      <c r="A480" s="3" t="s">
        <v>8</v>
      </c>
      <c r="B480" s="3" t="s">
        <v>9</v>
      </c>
      <c r="C480" s="3" t="s">
        <v>1000</v>
      </c>
      <c r="D480" s="3" t="s">
        <v>87</v>
      </c>
      <c r="E480" s="3" t="s">
        <v>96</v>
      </c>
      <c r="F480" s="4" t="s">
        <v>1010</v>
      </c>
      <c r="G480" s="4" t="s">
        <v>1011</v>
      </c>
      <c r="H480" s="3" t="n">
        <f aca="false">IF(COUNTIFS($D$2:D480,D480,$E$2:E480,E480,$A$2:A480,A480)=1,1,0)</f>
        <v>1</v>
      </c>
    </row>
    <row r="481" customFormat="false" ht="45.75" hidden="false" customHeight="true" outlineLevel="0" collapsed="false">
      <c r="A481" s="3" t="s">
        <v>32</v>
      </c>
      <c r="B481" s="3" t="s">
        <v>9</v>
      </c>
      <c r="C481" s="3" t="s">
        <v>1000</v>
      </c>
      <c r="D481" s="3" t="s">
        <v>952</v>
      </c>
      <c r="E481" s="3" t="s">
        <v>12</v>
      </c>
      <c r="F481" s="4" t="s">
        <v>1012</v>
      </c>
      <c r="G481" s="4" t="s">
        <v>1013</v>
      </c>
      <c r="H481" s="3" t="n">
        <f aca="false">IF(COUNTIFS($D$2:D481,D481,$E$2:E481,E481,$A$2:A481,A481)=1,1,0)</f>
        <v>1</v>
      </c>
    </row>
    <row r="482" customFormat="false" ht="45.75" hidden="false" customHeight="true" outlineLevel="0" collapsed="false">
      <c r="A482" s="3" t="s">
        <v>32</v>
      </c>
      <c r="B482" s="3" t="s">
        <v>9</v>
      </c>
      <c r="C482" s="3" t="s">
        <v>1000</v>
      </c>
      <c r="D482" s="3" t="s">
        <v>1003</v>
      </c>
      <c r="E482" s="3" t="s">
        <v>24</v>
      </c>
      <c r="F482" s="4" t="s">
        <v>1014</v>
      </c>
      <c r="G482" s="4" t="s">
        <v>1015</v>
      </c>
      <c r="H482" s="3" t="n">
        <f aca="false">IF(COUNTIFS($D$2:D482,D482,$E$2:E482,E482,$A$2:A482,A482)=1,1,0)</f>
        <v>1</v>
      </c>
    </row>
    <row r="483" customFormat="false" ht="45.75" hidden="false" customHeight="true" outlineLevel="0" collapsed="false">
      <c r="A483" s="3" t="s">
        <v>32</v>
      </c>
      <c r="B483" s="3" t="s">
        <v>9</v>
      </c>
      <c r="C483" s="3" t="s">
        <v>1000</v>
      </c>
      <c r="D483" s="3" t="s">
        <v>413</v>
      </c>
      <c r="E483" s="3" t="s">
        <v>96</v>
      </c>
      <c r="F483" s="4" t="s">
        <v>1016</v>
      </c>
      <c r="G483" s="4" t="s">
        <v>1017</v>
      </c>
      <c r="H483" s="3" t="n">
        <f aca="false">IF(COUNTIFS($D$2:D483,D483,$E$2:E483,E483,$A$2:A483,A483)=1,1,0)</f>
        <v>0</v>
      </c>
    </row>
    <row r="484" customFormat="false" ht="45.75" hidden="false" customHeight="true" outlineLevel="0" collapsed="false">
      <c r="A484" s="3" t="s">
        <v>32</v>
      </c>
      <c r="B484" s="3" t="s">
        <v>9</v>
      </c>
      <c r="C484" s="3" t="s">
        <v>1000</v>
      </c>
      <c r="D484" s="3" t="s">
        <v>413</v>
      </c>
      <c r="E484" s="3" t="s">
        <v>96</v>
      </c>
      <c r="F484" s="4" t="s">
        <v>1018</v>
      </c>
      <c r="G484" s="4" t="s">
        <v>1019</v>
      </c>
      <c r="H484" s="3" t="n">
        <f aca="false">IF(COUNTIFS($D$2:D484,D484,$E$2:E484,E484,$A$2:A484,A484)=1,1,0)</f>
        <v>0</v>
      </c>
    </row>
    <row r="485" customFormat="false" ht="45.75" hidden="false" customHeight="true" outlineLevel="0" collapsed="false">
      <c r="A485" s="3" t="s">
        <v>32</v>
      </c>
      <c r="B485" s="3" t="s">
        <v>9</v>
      </c>
      <c r="C485" s="3" t="s">
        <v>1000</v>
      </c>
      <c r="D485" s="3" t="s">
        <v>1003</v>
      </c>
      <c r="E485" s="3" t="s">
        <v>59</v>
      </c>
      <c r="F485" s="4" t="s">
        <v>1020</v>
      </c>
      <c r="G485" s="4" t="s">
        <v>1021</v>
      </c>
      <c r="H485" s="3" t="n">
        <f aca="false">IF(COUNTIFS($D$2:D485,D485,$E$2:E485,E485,$A$2:A485,A485)=1,1,0)</f>
        <v>1</v>
      </c>
    </row>
    <row r="486" customFormat="false" ht="34.5" hidden="false" customHeight="true" outlineLevel="0" collapsed="false">
      <c r="A486" s="3" t="s">
        <v>54</v>
      </c>
      <c r="B486" s="3" t="s">
        <v>9</v>
      </c>
      <c r="C486" s="3" t="s">
        <v>1000</v>
      </c>
      <c r="D486" s="3" t="s">
        <v>1003</v>
      </c>
      <c r="E486" s="3" t="s">
        <v>12</v>
      </c>
      <c r="F486" s="4" t="s">
        <v>1022</v>
      </c>
      <c r="G486" s="4" t="s">
        <v>1023</v>
      </c>
      <c r="H486" s="3" t="n">
        <f aca="false">IF(COUNTIFS($D$2:D486,D486,$E$2:E486,E486,$A$2:A486,A486)=1,1,0)</f>
        <v>1</v>
      </c>
    </row>
    <row r="487" customFormat="false" ht="45.75" hidden="false" customHeight="true" outlineLevel="0" collapsed="false">
      <c r="A487" s="3" t="s">
        <v>54</v>
      </c>
      <c r="B487" s="3" t="s">
        <v>9</v>
      </c>
      <c r="C487" s="3" t="s">
        <v>1000</v>
      </c>
      <c r="D487" s="3" t="s">
        <v>1003</v>
      </c>
      <c r="E487" s="3" t="s">
        <v>12</v>
      </c>
      <c r="F487" s="4" t="s">
        <v>1024</v>
      </c>
      <c r="G487" s="4" t="s">
        <v>1025</v>
      </c>
      <c r="H487" s="3" t="n">
        <f aca="false">IF(COUNTIFS($D$2:D487,D487,$E$2:E487,E487,$A$2:A487,A487)=1,1,0)</f>
        <v>0</v>
      </c>
    </row>
    <row r="488" customFormat="false" ht="45.75" hidden="false" customHeight="true" outlineLevel="0" collapsed="false">
      <c r="A488" s="3" t="s">
        <v>54</v>
      </c>
      <c r="B488" s="3" t="s">
        <v>9</v>
      </c>
      <c r="C488" s="3" t="s">
        <v>1000</v>
      </c>
      <c r="D488" s="3" t="s">
        <v>413</v>
      </c>
      <c r="E488" s="3" t="s">
        <v>12</v>
      </c>
      <c r="F488" s="4" t="s">
        <v>1026</v>
      </c>
      <c r="G488" s="4" t="s">
        <v>1027</v>
      </c>
      <c r="H488" s="3" t="n">
        <f aca="false">IF(COUNTIFS($D$2:D488,D488,$E$2:E488,E488,$A$2:A488,A488)=1,1,0)</f>
        <v>1</v>
      </c>
    </row>
    <row r="489" customFormat="false" ht="45.75" hidden="false" customHeight="true" outlineLevel="0" collapsed="false">
      <c r="A489" s="3" t="s">
        <v>54</v>
      </c>
      <c r="B489" s="3" t="s">
        <v>9</v>
      </c>
      <c r="C489" s="3" t="s">
        <v>1000</v>
      </c>
      <c r="D489" s="3" t="s">
        <v>952</v>
      </c>
      <c r="E489" s="3" t="s">
        <v>12</v>
      </c>
      <c r="F489" s="4" t="s">
        <v>1028</v>
      </c>
      <c r="G489" s="4" t="s">
        <v>1029</v>
      </c>
      <c r="H489" s="3" t="n">
        <f aca="false">IF(COUNTIFS($D$2:D489,D489,$E$2:E489,E489,$A$2:A489,A489)=1,1,0)</f>
        <v>1</v>
      </c>
    </row>
    <row r="490" customFormat="false" ht="45.75" hidden="false" customHeight="true" outlineLevel="0" collapsed="false">
      <c r="A490" s="3" t="s">
        <v>54</v>
      </c>
      <c r="B490" s="3" t="s">
        <v>9</v>
      </c>
      <c r="C490" s="3" t="s">
        <v>1000</v>
      </c>
      <c r="D490" s="3" t="s">
        <v>952</v>
      </c>
      <c r="E490" s="3" t="s">
        <v>222</v>
      </c>
      <c r="F490" s="4" t="s">
        <v>1030</v>
      </c>
      <c r="G490" s="4" t="s">
        <v>1031</v>
      </c>
      <c r="H490" s="3" t="n">
        <f aca="false">IF(COUNTIFS($D$2:D490,D490,$E$2:E490,E490,$A$2:A490,A490)=1,1,0)</f>
        <v>1</v>
      </c>
    </row>
    <row r="491" customFormat="false" ht="57" hidden="false" customHeight="true" outlineLevel="0" collapsed="false">
      <c r="A491" s="3" t="s">
        <v>54</v>
      </c>
      <c r="B491" s="3" t="s">
        <v>9</v>
      </c>
      <c r="C491" s="3" t="s">
        <v>1000</v>
      </c>
      <c r="D491" s="3" t="s">
        <v>952</v>
      </c>
      <c r="E491" s="3" t="s">
        <v>222</v>
      </c>
      <c r="F491" s="4" t="s">
        <v>1032</v>
      </c>
      <c r="G491" s="4" t="s">
        <v>1033</v>
      </c>
      <c r="H491" s="3" t="n">
        <f aca="false">IF(COUNTIFS($D$2:D491,D491,$E$2:E491,E491,$A$2:A491,A491)=1,1,0)</f>
        <v>0</v>
      </c>
    </row>
    <row r="492" customFormat="false" ht="34.5" hidden="false" customHeight="true" outlineLevel="0" collapsed="false">
      <c r="A492" s="3" t="s">
        <v>54</v>
      </c>
      <c r="B492" s="3" t="s">
        <v>9</v>
      </c>
      <c r="C492" s="3" t="s">
        <v>1000</v>
      </c>
      <c r="D492" s="3" t="s">
        <v>952</v>
      </c>
      <c r="E492" s="3" t="s">
        <v>96</v>
      </c>
      <c r="F492" s="4" t="s">
        <v>1034</v>
      </c>
      <c r="G492" s="4" t="s">
        <v>1035</v>
      </c>
      <c r="H492" s="3" t="n">
        <f aca="false">IF(COUNTIFS($D$2:D492,D492,$E$2:E492,E492,$A$2:A492,A492)=1,1,0)</f>
        <v>1</v>
      </c>
    </row>
    <row r="493" customFormat="false" ht="45.75" hidden="false" customHeight="true" outlineLevel="0" collapsed="false">
      <c r="A493" s="3" t="s">
        <v>54</v>
      </c>
      <c r="B493" s="3" t="s">
        <v>9</v>
      </c>
      <c r="C493" s="3" t="s">
        <v>1000</v>
      </c>
      <c r="D493" s="3" t="s">
        <v>952</v>
      </c>
      <c r="E493" s="3" t="s">
        <v>12</v>
      </c>
      <c r="F493" s="4" t="s">
        <v>1036</v>
      </c>
      <c r="G493" s="4" t="s">
        <v>1037</v>
      </c>
      <c r="H493" s="3" t="n">
        <f aca="false">IF(COUNTIFS($D$2:D493,D493,$E$2:E493,E493,$A$2:A493,A493)=1,1,0)</f>
        <v>0</v>
      </c>
    </row>
    <row r="494" customFormat="false" ht="45.75" hidden="false" customHeight="true" outlineLevel="0" collapsed="false">
      <c r="A494" s="3" t="s">
        <v>72</v>
      </c>
      <c r="B494" s="3" t="s">
        <v>9</v>
      </c>
      <c r="C494" s="3" t="s">
        <v>1000</v>
      </c>
      <c r="D494" s="3" t="s">
        <v>952</v>
      </c>
      <c r="E494" s="3" t="s">
        <v>12</v>
      </c>
      <c r="F494" s="4" t="s">
        <v>1038</v>
      </c>
      <c r="G494" s="4" t="s">
        <v>1039</v>
      </c>
      <c r="H494" s="3" t="n">
        <f aca="false">IF(COUNTIFS($D$2:D494,D494,$E$2:E494,E494,$A$2:A494,A494)=1,1,0)</f>
        <v>0</v>
      </c>
    </row>
    <row r="495" customFormat="false" ht="45.75" hidden="false" customHeight="true" outlineLevel="0" collapsed="false">
      <c r="A495" s="3" t="s">
        <v>72</v>
      </c>
      <c r="B495" s="3" t="s">
        <v>9</v>
      </c>
      <c r="C495" s="3" t="s">
        <v>1000</v>
      </c>
      <c r="D495" s="3" t="s">
        <v>952</v>
      </c>
      <c r="E495" s="3" t="s">
        <v>12</v>
      </c>
      <c r="F495" s="4" t="s">
        <v>1040</v>
      </c>
      <c r="G495" s="4" t="s">
        <v>1041</v>
      </c>
      <c r="H495" s="3" t="n">
        <f aca="false">IF(COUNTIFS($D$2:D495,D495,$E$2:E495,E495,$A$2:A495,A495)=1,1,0)</f>
        <v>0</v>
      </c>
    </row>
    <row r="496" customFormat="false" ht="34.5" hidden="false" customHeight="true" outlineLevel="0" collapsed="false">
      <c r="A496" s="3" t="s">
        <v>72</v>
      </c>
      <c r="B496" s="3" t="s">
        <v>9</v>
      </c>
      <c r="C496" s="3" t="s">
        <v>1000</v>
      </c>
      <c r="D496" s="3" t="s">
        <v>1003</v>
      </c>
      <c r="E496" s="3" t="s">
        <v>12</v>
      </c>
      <c r="F496" s="4" t="s">
        <v>1042</v>
      </c>
      <c r="G496" s="4" t="s">
        <v>1043</v>
      </c>
      <c r="H496" s="3" t="n">
        <f aca="false">IF(COUNTIFS($D$2:D496,D496,$E$2:E496,E496,$A$2:A496,A496)=1,1,0)</f>
        <v>1</v>
      </c>
    </row>
    <row r="497" customFormat="false" ht="57" hidden="false" customHeight="true" outlineLevel="0" collapsed="false">
      <c r="A497" s="3" t="s">
        <v>72</v>
      </c>
      <c r="B497" s="3" t="s">
        <v>9</v>
      </c>
      <c r="C497" s="3" t="s">
        <v>1000</v>
      </c>
      <c r="D497" s="3" t="s">
        <v>1003</v>
      </c>
      <c r="E497" s="3" t="s">
        <v>24</v>
      </c>
      <c r="F497" s="4" t="s">
        <v>1044</v>
      </c>
      <c r="G497" s="4" t="s">
        <v>1045</v>
      </c>
      <c r="H497" s="3" t="n">
        <f aca="false">IF(COUNTIFS($D$2:D497,D497,$E$2:E497,E497,$A$2:A497,A497)=1,1,0)</f>
        <v>1</v>
      </c>
    </row>
    <row r="498" customFormat="false" ht="45.75" hidden="false" customHeight="true" outlineLevel="0" collapsed="false">
      <c r="A498" s="3" t="s">
        <v>72</v>
      </c>
      <c r="B498" s="3" t="s">
        <v>9</v>
      </c>
      <c r="C498" s="3" t="s">
        <v>1000</v>
      </c>
      <c r="D498" s="3" t="s">
        <v>1003</v>
      </c>
      <c r="E498" s="3" t="s">
        <v>12</v>
      </c>
      <c r="F498" s="4" t="s">
        <v>1046</v>
      </c>
      <c r="G498" s="4" t="s">
        <v>1047</v>
      </c>
      <c r="H498" s="3" t="n">
        <f aca="false">IF(COUNTIFS($D$2:D498,D498,$E$2:E498,E498,$A$2:A498,A498)=1,1,0)</f>
        <v>0</v>
      </c>
    </row>
    <row r="499" customFormat="false" ht="45.75" hidden="false" customHeight="true" outlineLevel="0" collapsed="false">
      <c r="A499" s="3" t="s">
        <v>72</v>
      </c>
      <c r="B499" s="3" t="s">
        <v>9</v>
      </c>
      <c r="C499" s="3" t="s">
        <v>1000</v>
      </c>
      <c r="D499" s="3" t="s">
        <v>1003</v>
      </c>
      <c r="E499" s="3" t="s">
        <v>96</v>
      </c>
      <c r="F499" s="4" t="s">
        <v>1048</v>
      </c>
      <c r="G499" s="4" t="s">
        <v>1049</v>
      </c>
      <c r="H499" s="3" t="n">
        <f aca="false">IF(COUNTIFS($D$2:D499,D499,$E$2:E499,E499,$A$2:A499,A499)=1,1,0)</f>
        <v>1</v>
      </c>
    </row>
    <row r="500" customFormat="false" ht="68.25" hidden="false" customHeight="true" outlineLevel="0" collapsed="false">
      <c r="A500" s="3" t="s">
        <v>72</v>
      </c>
      <c r="B500" s="3" t="s">
        <v>9</v>
      </c>
      <c r="C500" s="3" t="s">
        <v>1000</v>
      </c>
      <c r="D500" s="3" t="s">
        <v>1003</v>
      </c>
      <c r="E500" s="3" t="s">
        <v>222</v>
      </c>
      <c r="F500" s="4" t="s">
        <v>1050</v>
      </c>
      <c r="G500" s="4" t="s">
        <v>1051</v>
      </c>
      <c r="H500" s="3" t="n">
        <f aca="false">IF(COUNTIFS($D$2:D500,D500,$E$2:E500,E500,$A$2:A500,A500)=1,1,0)</f>
        <v>1</v>
      </c>
    </row>
    <row r="501" customFormat="false" ht="57" hidden="false" customHeight="true" outlineLevel="0" collapsed="false">
      <c r="A501" s="3" t="s">
        <v>72</v>
      </c>
      <c r="B501" s="3" t="s">
        <v>9</v>
      </c>
      <c r="C501" s="3" t="s">
        <v>1000</v>
      </c>
      <c r="D501" s="3" t="s">
        <v>1003</v>
      </c>
      <c r="E501" s="3" t="s">
        <v>12</v>
      </c>
      <c r="F501" s="4" t="s">
        <v>1052</v>
      </c>
      <c r="G501" s="4" t="s">
        <v>1053</v>
      </c>
      <c r="H501" s="3" t="n">
        <f aca="false">IF(COUNTIFS($D$2:D501,D501,$E$2:E501,E501,$A$2:A501,A501)=1,1,0)</f>
        <v>0</v>
      </c>
    </row>
    <row r="502" customFormat="false" ht="34.5" hidden="false" customHeight="true" outlineLevel="0" collapsed="false">
      <c r="A502" s="3" t="s">
        <v>99</v>
      </c>
      <c r="B502" s="3" t="s">
        <v>9</v>
      </c>
      <c r="C502" s="3" t="s">
        <v>1000</v>
      </c>
      <c r="D502" s="3" t="s">
        <v>1003</v>
      </c>
      <c r="E502" s="3" t="s">
        <v>12</v>
      </c>
      <c r="F502" s="4" t="s">
        <v>1054</v>
      </c>
      <c r="G502" s="4" t="s">
        <v>1055</v>
      </c>
      <c r="H502" s="3" t="n">
        <f aca="false">IF(COUNTIFS($D$2:D502,D502,$E$2:E502,E502,$A$2:A502,A502)=1,1,0)</f>
        <v>1</v>
      </c>
    </row>
    <row r="503" customFormat="false" ht="79.5" hidden="false" customHeight="true" outlineLevel="0" collapsed="false">
      <c r="A503" s="3" t="s">
        <v>99</v>
      </c>
      <c r="B503" s="3" t="s">
        <v>9</v>
      </c>
      <c r="C503" s="3" t="s">
        <v>1000</v>
      </c>
      <c r="D503" s="3" t="s">
        <v>473</v>
      </c>
      <c r="E503" s="3" t="s">
        <v>96</v>
      </c>
      <c r="F503" s="4" t="s">
        <v>1056</v>
      </c>
      <c r="G503" s="4" t="s">
        <v>1057</v>
      </c>
      <c r="H503" s="3" t="n">
        <f aca="false">IF(COUNTIFS($D$2:D503,D503,$E$2:E503,E503,$A$2:A503,A503)=1,1,0)</f>
        <v>1</v>
      </c>
    </row>
    <row r="504" customFormat="false" ht="45.75" hidden="false" customHeight="true" outlineLevel="0" collapsed="false">
      <c r="A504" s="3" t="s">
        <v>99</v>
      </c>
      <c r="B504" s="3" t="s">
        <v>9</v>
      </c>
      <c r="C504" s="3" t="s">
        <v>1000</v>
      </c>
      <c r="D504" s="3" t="s">
        <v>816</v>
      </c>
      <c r="E504" s="3" t="s">
        <v>96</v>
      </c>
      <c r="F504" s="4" t="s">
        <v>1058</v>
      </c>
      <c r="G504" s="4" t="s">
        <v>1059</v>
      </c>
      <c r="H504" s="3" t="n">
        <f aca="false">IF(COUNTIFS($D$2:D504,D504,$E$2:E504,E504,$A$2:A504,A504)=1,1,0)</f>
        <v>1</v>
      </c>
    </row>
    <row r="505" customFormat="false" ht="57" hidden="false" customHeight="true" outlineLevel="0" collapsed="false">
      <c r="A505" s="3" t="s">
        <v>99</v>
      </c>
      <c r="B505" s="3" t="s">
        <v>9</v>
      </c>
      <c r="C505" s="3" t="s">
        <v>1000</v>
      </c>
      <c r="D505" s="3" t="s">
        <v>816</v>
      </c>
      <c r="E505" s="3" t="s">
        <v>59</v>
      </c>
      <c r="F505" s="4" t="s">
        <v>1060</v>
      </c>
      <c r="G505" s="4" t="s">
        <v>1061</v>
      </c>
      <c r="H505" s="3" t="n">
        <f aca="false">IF(COUNTIFS($D$2:D505,D505,$E$2:E505,E505,$A$2:A505,A505)=1,1,0)</f>
        <v>1</v>
      </c>
    </row>
    <row r="506" customFormat="false" ht="23.25" hidden="false" customHeight="true" outlineLevel="0" collapsed="false">
      <c r="A506" s="3" t="s">
        <v>99</v>
      </c>
      <c r="B506" s="3" t="s">
        <v>9</v>
      </c>
      <c r="C506" s="3" t="s">
        <v>1000</v>
      </c>
      <c r="D506" s="3" t="s">
        <v>473</v>
      </c>
      <c r="E506" s="3" t="s">
        <v>12</v>
      </c>
      <c r="F506" s="4" t="s">
        <v>1062</v>
      </c>
      <c r="G506" s="4" t="s">
        <v>1063</v>
      </c>
      <c r="H506" s="3" t="n">
        <f aca="false">IF(COUNTIFS($D$2:D506,D506,$E$2:E506,E506,$A$2:A506,A506)=1,1,0)</f>
        <v>1</v>
      </c>
    </row>
    <row r="507" customFormat="false" ht="34.5" hidden="false" customHeight="true" outlineLevel="0" collapsed="false">
      <c r="A507" s="3" t="s">
        <v>99</v>
      </c>
      <c r="B507" s="3" t="s">
        <v>9</v>
      </c>
      <c r="C507" s="3" t="s">
        <v>1000</v>
      </c>
      <c r="D507" s="3" t="s">
        <v>413</v>
      </c>
      <c r="E507" s="3" t="s">
        <v>24</v>
      </c>
      <c r="F507" s="4" t="s">
        <v>1064</v>
      </c>
      <c r="G507" s="4" t="s">
        <v>1065</v>
      </c>
      <c r="H507" s="3" t="n">
        <f aca="false">IF(COUNTIFS($D$2:D507,D507,$E$2:E507,E507,$A$2:A507,A507)=1,1,0)</f>
        <v>1</v>
      </c>
    </row>
    <row r="508" customFormat="false" ht="57" hidden="false" customHeight="true" outlineLevel="0" collapsed="false">
      <c r="A508" s="3" t="s">
        <v>120</v>
      </c>
      <c r="B508" s="3" t="s">
        <v>9</v>
      </c>
      <c r="C508" s="3" t="s">
        <v>1000</v>
      </c>
      <c r="D508" s="3" t="s">
        <v>952</v>
      </c>
      <c r="E508" s="3" t="s">
        <v>12</v>
      </c>
      <c r="F508" s="4" t="s">
        <v>1066</v>
      </c>
      <c r="G508" s="4" t="s">
        <v>1067</v>
      </c>
      <c r="H508" s="3" t="n">
        <f aca="false">IF(COUNTIFS($D$2:D508,D508,$E$2:E508,E508,$A$2:A508,A508)=1,1,0)</f>
        <v>1</v>
      </c>
    </row>
    <row r="509" customFormat="false" ht="45.75" hidden="false" customHeight="true" outlineLevel="0" collapsed="false">
      <c r="A509" s="3" t="s">
        <v>120</v>
      </c>
      <c r="B509" s="3" t="s">
        <v>9</v>
      </c>
      <c r="C509" s="3" t="s">
        <v>1000</v>
      </c>
      <c r="D509" s="3" t="s">
        <v>1003</v>
      </c>
      <c r="E509" s="3" t="s">
        <v>12</v>
      </c>
      <c r="F509" s="4" t="s">
        <v>1068</v>
      </c>
      <c r="G509" s="4" t="s">
        <v>1069</v>
      </c>
      <c r="H509" s="3" t="n">
        <f aca="false">IF(COUNTIFS($D$2:D509,D509,$E$2:E509,E509,$A$2:A509,A509)=1,1,0)</f>
        <v>1</v>
      </c>
    </row>
    <row r="510" customFormat="false" ht="45.75" hidden="false" customHeight="true" outlineLevel="0" collapsed="false">
      <c r="A510" s="3" t="s">
        <v>120</v>
      </c>
      <c r="B510" s="3" t="s">
        <v>9</v>
      </c>
      <c r="C510" s="3" t="s">
        <v>1000</v>
      </c>
      <c r="D510" s="3" t="s">
        <v>1003</v>
      </c>
      <c r="E510" s="3" t="s">
        <v>12</v>
      </c>
      <c r="F510" s="4" t="s">
        <v>1070</v>
      </c>
      <c r="G510" s="4" t="s">
        <v>1071</v>
      </c>
      <c r="H510" s="3" t="n">
        <f aca="false">IF(COUNTIFS($D$2:D510,D510,$E$2:E510,E510,$A$2:A510,A510)=1,1,0)</f>
        <v>0</v>
      </c>
    </row>
    <row r="511" customFormat="false" ht="34.5" hidden="false" customHeight="true" outlineLevel="0" collapsed="false">
      <c r="A511" s="3" t="s">
        <v>120</v>
      </c>
      <c r="B511" s="3" t="s">
        <v>9</v>
      </c>
      <c r="C511" s="3" t="s">
        <v>1000</v>
      </c>
      <c r="D511" s="3" t="s">
        <v>1003</v>
      </c>
      <c r="E511" s="3" t="s">
        <v>12</v>
      </c>
      <c r="F511" s="4" t="s">
        <v>1072</v>
      </c>
      <c r="G511" s="4" t="s">
        <v>1073</v>
      </c>
      <c r="H511" s="3" t="n">
        <f aca="false">IF(COUNTIFS($D$2:D511,D511,$E$2:E511,E511,$A$2:A511,A511)=1,1,0)</f>
        <v>0</v>
      </c>
    </row>
    <row r="512" customFormat="false" ht="23.25" hidden="false" customHeight="true" outlineLevel="0" collapsed="false">
      <c r="A512" s="3" t="s">
        <v>120</v>
      </c>
      <c r="B512" s="3" t="s">
        <v>9</v>
      </c>
      <c r="C512" s="3" t="s">
        <v>1000</v>
      </c>
      <c r="D512" s="3" t="s">
        <v>1003</v>
      </c>
      <c r="E512" s="3" t="s">
        <v>24</v>
      </c>
      <c r="F512" s="4" t="s">
        <v>1074</v>
      </c>
      <c r="G512" s="4" t="s">
        <v>1075</v>
      </c>
      <c r="H512" s="3" t="n">
        <f aca="false">IF(COUNTIFS($D$2:D512,D512,$E$2:E512,E512,$A$2:A512,A512)=1,1,0)</f>
        <v>1</v>
      </c>
    </row>
    <row r="513" customFormat="false" ht="23.25" hidden="false" customHeight="true" outlineLevel="0" collapsed="false">
      <c r="A513" s="3" t="s">
        <v>120</v>
      </c>
      <c r="B513" s="3" t="s">
        <v>9</v>
      </c>
      <c r="C513" s="3" t="s">
        <v>1000</v>
      </c>
      <c r="D513" s="3" t="s">
        <v>1003</v>
      </c>
      <c r="E513" s="3" t="s">
        <v>12</v>
      </c>
      <c r="F513" s="4" t="s">
        <v>1076</v>
      </c>
      <c r="G513" s="4" t="s">
        <v>1077</v>
      </c>
      <c r="H513" s="3" t="n">
        <f aca="false">IF(COUNTIFS($D$2:D513,D513,$E$2:E513,E513,$A$2:A513,A513)=1,1,0)</f>
        <v>0</v>
      </c>
    </row>
    <row r="514" customFormat="false" ht="34.5" hidden="false" customHeight="true" outlineLevel="0" collapsed="false">
      <c r="A514" s="3" t="s">
        <v>120</v>
      </c>
      <c r="B514" s="3" t="s">
        <v>9</v>
      </c>
      <c r="C514" s="3" t="s">
        <v>1000</v>
      </c>
      <c r="D514" s="3" t="s">
        <v>1003</v>
      </c>
      <c r="E514" s="3" t="s">
        <v>96</v>
      </c>
      <c r="F514" s="4" t="s">
        <v>1078</v>
      </c>
      <c r="G514" s="4" t="s">
        <v>1079</v>
      </c>
      <c r="H514" s="3" t="n">
        <f aca="false">IF(COUNTIFS($D$2:D514,D514,$E$2:E514,E514,$A$2:A514,A514)=1,1,0)</f>
        <v>1</v>
      </c>
    </row>
    <row r="515" customFormat="false" ht="57" hidden="false" customHeight="true" outlineLevel="0" collapsed="false">
      <c r="A515" s="3" t="s">
        <v>143</v>
      </c>
      <c r="B515" s="3" t="s">
        <v>9</v>
      </c>
      <c r="C515" s="3" t="s">
        <v>1000</v>
      </c>
      <c r="D515" s="3" t="s">
        <v>1003</v>
      </c>
      <c r="E515" s="3" t="s">
        <v>12</v>
      </c>
      <c r="F515" s="4" t="s">
        <v>1080</v>
      </c>
      <c r="G515" s="4" t="s">
        <v>1081</v>
      </c>
      <c r="H515" s="3" t="n">
        <f aca="false">IF(COUNTIFS($D$2:D515,D515,$E$2:E515,E515,$A$2:A515,A515)=1,1,0)</f>
        <v>1</v>
      </c>
    </row>
    <row r="516" customFormat="false" ht="45.75" hidden="false" customHeight="true" outlineLevel="0" collapsed="false">
      <c r="A516" s="3" t="s">
        <v>143</v>
      </c>
      <c r="B516" s="3" t="s">
        <v>9</v>
      </c>
      <c r="C516" s="3" t="s">
        <v>1000</v>
      </c>
      <c r="D516" s="3" t="s">
        <v>1003</v>
      </c>
      <c r="E516" s="3" t="s">
        <v>12</v>
      </c>
      <c r="F516" s="4" t="s">
        <v>1082</v>
      </c>
      <c r="G516" s="4" t="s">
        <v>1083</v>
      </c>
      <c r="H516" s="3" t="n">
        <f aca="false">IF(COUNTIFS($D$2:D516,D516,$E$2:E516,E516,$A$2:A516,A516)=1,1,0)</f>
        <v>0</v>
      </c>
    </row>
    <row r="517" customFormat="false" ht="34.5" hidden="false" customHeight="true" outlineLevel="0" collapsed="false">
      <c r="A517" s="3" t="s">
        <v>150</v>
      </c>
      <c r="B517" s="3" t="s">
        <v>9</v>
      </c>
      <c r="C517" s="3" t="s">
        <v>1000</v>
      </c>
      <c r="D517" s="3" t="s">
        <v>952</v>
      </c>
      <c r="E517" s="3" t="s">
        <v>12</v>
      </c>
      <c r="F517" s="4" t="s">
        <v>1084</v>
      </c>
      <c r="G517" s="4" t="s">
        <v>1085</v>
      </c>
      <c r="H517" s="3" t="n">
        <f aca="false">IF(COUNTIFS($D$2:D517,D517,$E$2:E517,E517,$A$2:A517,A517)=1,1,0)</f>
        <v>1</v>
      </c>
    </row>
    <row r="518" customFormat="false" ht="23.25" hidden="false" customHeight="true" outlineLevel="0" collapsed="false">
      <c r="A518" s="3" t="s">
        <v>150</v>
      </c>
      <c r="B518" s="3" t="s">
        <v>9</v>
      </c>
      <c r="C518" s="3" t="s">
        <v>1000</v>
      </c>
      <c r="D518" s="3" t="s">
        <v>952</v>
      </c>
      <c r="E518" s="3" t="s">
        <v>12</v>
      </c>
      <c r="F518" s="4" t="s">
        <v>1086</v>
      </c>
      <c r="G518" s="4" t="s">
        <v>1087</v>
      </c>
      <c r="H518" s="3" t="n">
        <f aca="false">IF(COUNTIFS($D$2:D518,D518,$E$2:E518,E518,$A$2:A518,A518)=1,1,0)</f>
        <v>0</v>
      </c>
    </row>
    <row r="519" customFormat="false" ht="34.5" hidden="false" customHeight="true" outlineLevel="0" collapsed="false">
      <c r="A519" s="3" t="s">
        <v>150</v>
      </c>
      <c r="B519" s="3" t="s">
        <v>9</v>
      </c>
      <c r="C519" s="3" t="s">
        <v>1000</v>
      </c>
      <c r="D519" s="3" t="s">
        <v>952</v>
      </c>
      <c r="E519" s="3" t="s">
        <v>12</v>
      </c>
      <c r="F519" s="4" t="s">
        <v>1088</v>
      </c>
      <c r="G519" s="4" t="s">
        <v>1089</v>
      </c>
      <c r="H519" s="3" t="n">
        <f aca="false">IF(COUNTIFS($D$2:D519,D519,$E$2:E519,E519,$A$2:A519,A519)=1,1,0)</f>
        <v>0</v>
      </c>
    </row>
    <row r="520" customFormat="false" ht="45.75" hidden="false" customHeight="true" outlineLevel="0" collapsed="false">
      <c r="A520" s="3" t="s">
        <v>150</v>
      </c>
      <c r="B520" s="3" t="s">
        <v>9</v>
      </c>
      <c r="C520" s="3" t="s">
        <v>1000</v>
      </c>
      <c r="D520" s="3" t="s">
        <v>952</v>
      </c>
      <c r="E520" s="3" t="s">
        <v>12</v>
      </c>
      <c r="F520" s="4" t="s">
        <v>1090</v>
      </c>
      <c r="G520" s="4" t="s">
        <v>1091</v>
      </c>
      <c r="H520" s="3" t="n">
        <f aca="false">IF(COUNTIFS($D$2:D520,D520,$E$2:E520,E520,$A$2:A520,A520)=1,1,0)</f>
        <v>0</v>
      </c>
    </row>
    <row r="521" customFormat="false" ht="45.75" hidden="false" customHeight="true" outlineLevel="0" collapsed="false">
      <c r="A521" s="3" t="s">
        <v>150</v>
      </c>
      <c r="B521" s="3" t="s">
        <v>9</v>
      </c>
      <c r="C521" s="3" t="s">
        <v>1000</v>
      </c>
      <c r="D521" s="3" t="s">
        <v>19</v>
      </c>
      <c r="E521" s="3" t="s">
        <v>96</v>
      </c>
      <c r="F521" s="4" t="s">
        <v>1092</v>
      </c>
      <c r="G521" s="4" t="s">
        <v>1093</v>
      </c>
      <c r="H521" s="3" t="n">
        <f aca="false">IF(COUNTIFS($D$2:D521,D521,$E$2:E521,E521,$A$2:A521,A521)=1,1,0)</f>
        <v>1</v>
      </c>
    </row>
    <row r="522" customFormat="false" ht="34.5" hidden="false" customHeight="true" outlineLevel="0" collapsed="false">
      <c r="A522" s="3" t="s">
        <v>171</v>
      </c>
      <c r="B522" s="3" t="s">
        <v>9</v>
      </c>
      <c r="C522" s="3" t="s">
        <v>1000</v>
      </c>
      <c r="D522" s="3" t="s">
        <v>19</v>
      </c>
      <c r="E522" s="3" t="s">
        <v>12</v>
      </c>
      <c r="F522" s="4" t="s">
        <v>1094</v>
      </c>
      <c r="G522" s="4" t="s">
        <v>1095</v>
      </c>
      <c r="H522" s="3" t="n">
        <f aca="false">IF(COUNTIFS($D$2:D522,D522,$E$2:E522,E522,$A$2:A522,A522)=1,1,0)</f>
        <v>0</v>
      </c>
    </row>
    <row r="523" customFormat="false" ht="34.5" hidden="false" customHeight="true" outlineLevel="0" collapsed="false">
      <c r="A523" s="3" t="s">
        <v>171</v>
      </c>
      <c r="B523" s="3" t="s">
        <v>9</v>
      </c>
      <c r="C523" s="3" t="s">
        <v>1000</v>
      </c>
      <c r="D523" s="3" t="s">
        <v>1003</v>
      </c>
      <c r="E523" s="3" t="s">
        <v>12</v>
      </c>
      <c r="F523" s="4" t="s">
        <v>1096</v>
      </c>
      <c r="G523" s="4" t="s">
        <v>1097</v>
      </c>
      <c r="H523" s="3" t="n">
        <f aca="false">IF(COUNTIFS($D$2:D523,D523,$E$2:E523,E523,$A$2:A523,A523)=1,1,0)</f>
        <v>1</v>
      </c>
    </row>
    <row r="524" customFormat="false" ht="45.75" hidden="false" customHeight="true" outlineLevel="0" collapsed="false">
      <c r="A524" s="3" t="s">
        <v>171</v>
      </c>
      <c r="B524" s="3" t="s">
        <v>9</v>
      </c>
      <c r="C524" s="3" t="s">
        <v>1000</v>
      </c>
      <c r="D524" s="3" t="s">
        <v>1003</v>
      </c>
      <c r="E524" s="3" t="s">
        <v>59</v>
      </c>
      <c r="F524" s="4" t="s">
        <v>1098</v>
      </c>
      <c r="G524" s="4" t="s">
        <v>1099</v>
      </c>
      <c r="H524" s="3" t="n">
        <f aca="false">IF(COUNTIFS($D$2:D524,D524,$E$2:E524,E524,$A$2:A524,A524)=1,1,0)</f>
        <v>1</v>
      </c>
    </row>
    <row r="525" customFormat="false" ht="57" hidden="false" customHeight="true" outlineLevel="0" collapsed="false">
      <c r="A525" s="3" t="s">
        <v>171</v>
      </c>
      <c r="B525" s="3" t="s">
        <v>9</v>
      </c>
      <c r="C525" s="3" t="s">
        <v>1000</v>
      </c>
      <c r="D525" s="3" t="s">
        <v>473</v>
      </c>
      <c r="E525" s="3" t="s">
        <v>12</v>
      </c>
      <c r="F525" s="4" t="s">
        <v>1100</v>
      </c>
      <c r="G525" s="4" t="s">
        <v>1101</v>
      </c>
      <c r="H525" s="3" t="n">
        <f aca="false">IF(COUNTIFS($D$2:D525,D525,$E$2:E525,E525,$A$2:A525,A525)=1,1,0)</f>
        <v>1</v>
      </c>
    </row>
    <row r="526" customFormat="false" ht="34.5" hidden="false" customHeight="true" outlineLevel="0" collapsed="false">
      <c r="A526" s="3" t="s">
        <v>171</v>
      </c>
      <c r="B526" s="3" t="s">
        <v>9</v>
      </c>
      <c r="C526" s="3" t="s">
        <v>1000</v>
      </c>
      <c r="D526" s="3" t="s">
        <v>473</v>
      </c>
      <c r="E526" s="3" t="s">
        <v>12</v>
      </c>
      <c r="F526" s="4" t="s">
        <v>1102</v>
      </c>
      <c r="G526" s="4" t="s">
        <v>1103</v>
      </c>
      <c r="H526" s="3" t="n">
        <f aca="false">IF(COUNTIFS($D$2:D526,D526,$E$2:E526,E526,$A$2:A526,A526)=1,1,0)</f>
        <v>0</v>
      </c>
    </row>
    <row r="527" customFormat="false" ht="23.25" hidden="false" customHeight="true" outlineLevel="0" collapsed="false">
      <c r="A527" s="3" t="s">
        <v>186</v>
      </c>
      <c r="B527" s="3" t="s">
        <v>9</v>
      </c>
      <c r="C527" s="3" t="s">
        <v>1000</v>
      </c>
      <c r="D527" s="3" t="s">
        <v>129</v>
      </c>
      <c r="E527" s="3" t="s">
        <v>12</v>
      </c>
      <c r="F527" s="4" t="s">
        <v>1104</v>
      </c>
      <c r="G527" s="4" t="s">
        <v>1105</v>
      </c>
      <c r="H527" s="3" t="n">
        <f aca="false">IF(COUNTIFS($D$2:D527,D527,$E$2:E527,E527,$A$2:A527,A527)=1,1,0)</f>
        <v>1</v>
      </c>
    </row>
    <row r="528" customFormat="false" ht="45.75" hidden="false" customHeight="true" outlineLevel="0" collapsed="false">
      <c r="A528" s="3" t="s">
        <v>186</v>
      </c>
      <c r="B528" s="3" t="s">
        <v>9</v>
      </c>
      <c r="C528" s="3" t="s">
        <v>1000</v>
      </c>
      <c r="D528" s="3" t="s">
        <v>129</v>
      </c>
      <c r="E528" s="3" t="s">
        <v>12</v>
      </c>
      <c r="F528" s="4" t="s">
        <v>1106</v>
      </c>
      <c r="G528" s="4" t="s">
        <v>1107</v>
      </c>
      <c r="H528" s="3" t="n">
        <f aca="false">IF(COUNTIFS($D$2:D528,D528,$E$2:E528,E528,$A$2:A528,A528)=1,1,0)</f>
        <v>0</v>
      </c>
    </row>
    <row r="529" customFormat="false" ht="45.75" hidden="false" customHeight="true" outlineLevel="0" collapsed="false">
      <c r="A529" s="3" t="s">
        <v>186</v>
      </c>
      <c r="B529" s="3" t="s">
        <v>9</v>
      </c>
      <c r="C529" s="3" t="s">
        <v>1000</v>
      </c>
      <c r="D529" s="3" t="s">
        <v>37</v>
      </c>
      <c r="E529" s="3" t="s">
        <v>12</v>
      </c>
      <c r="F529" s="4" t="s">
        <v>1108</v>
      </c>
      <c r="G529" s="4" t="s">
        <v>1109</v>
      </c>
      <c r="H529" s="3" t="n">
        <f aca="false">IF(COUNTIFS($D$2:D529,D529,$E$2:E529,E529,$A$2:A529,A529)=1,1,0)</f>
        <v>0</v>
      </c>
    </row>
    <row r="530" customFormat="false" ht="68.25" hidden="false" customHeight="true" outlineLevel="0" collapsed="false">
      <c r="A530" s="3" t="s">
        <v>186</v>
      </c>
      <c r="B530" s="3" t="s">
        <v>9</v>
      </c>
      <c r="C530" s="3" t="s">
        <v>1000</v>
      </c>
      <c r="D530" s="3" t="s">
        <v>473</v>
      </c>
      <c r="E530" s="3" t="s">
        <v>12</v>
      </c>
      <c r="F530" s="4" t="s">
        <v>1110</v>
      </c>
      <c r="G530" s="4" t="s">
        <v>1111</v>
      </c>
      <c r="H530" s="3" t="n">
        <f aca="false">IF(COUNTIFS($D$2:D530,D530,$E$2:E530,E530,$A$2:A530,A530)=1,1,0)</f>
        <v>0</v>
      </c>
    </row>
    <row r="531" customFormat="false" ht="34.5" hidden="false" customHeight="true" outlineLevel="0" collapsed="false">
      <c r="A531" s="3" t="s">
        <v>186</v>
      </c>
      <c r="B531" s="3" t="s">
        <v>9</v>
      </c>
      <c r="C531" s="3" t="s">
        <v>1000</v>
      </c>
      <c r="D531" s="3" t="s">
        <v>952</v>
      </c>
      <c r="E531" s="3" t="s">
        <v>12</v>
      </c>
      <c r="F531" s="4" t="s">
        <v>1112</v>
      </c>
      <c r="G531" s="4" t="s">
        <v>1113</v>
      </c>
      <c r="H531" s="3" t="n">
        <f aca="false">IF(COUNTIFS($D$2:D531,D531,$E$2:E531,E531,$A$2:A531,A531)=1,1,0)</f>
        <v>1</v>
      </c>
    </row>
    <row r="532" customFormat="false" ht="45.75" hidden="false" customHeight="true" outlineLevel="0" collapsed="false">
      <c r="A532" s="3" t="s">
        <v>207</v>
      </c>
      <c r="B532" s="3" t="s">
        <v>9</v>
      </c>
      <c r="C532" s="3" t="s">
        <v>1000</v>
      </c>
      <c r="D532" s="3" t="s">
        <v>11</v>
      </c>
      <c r="E532" s="3" t="s">
        <v>12</v>
      </c>
      <c r="F532" s="4" t="s">
        <v>1114</v>
      </c>
      <c r="G532" s="4" t="s">
        <v>1115</v>
      </c>
      <c r="H532" s="3" t="n">
        <f aca="false">IF(COUNTIFS($D$2:D532,D532,$E$2:E532,E532,$A$2:A532,A532)=1,1,0)</f>
        <v>0</v>
      </c>
    </row>
    <row r="533" customFormat="false" ht="34.5" hidden="false" customHeight="true" outlineLevel="0" collapsed="false">
      <c r="A533" s="3" t="s">
        <v>207</v>
      </c>
      <c r="B533" s="3" t="s">
        <v>9</v>
      </c>
      <c r="C533" s="3" t="s">
        <v>1000</v>
      </c>
      <c r="D533" s="3" t="s">
        <v>952</v>
      </c>
      <c r="E533" s="3" t="s">
        <v>222</v>
      </c>
      <c r="F533" s="4" t="s">
        <v>1116</v>
      </c>
      <c r="G533" s="4"/>
      <c r="H533" s="3" t="n">
        <f aca="false">IF(COUNTIFS($D$2:D533,D533,$E$2:E533,E533,$A$2:A533,A533)=1,1,0)</f>
        <v>1</v>
      </c>
    </row>
    <row r="534" customFormat="false" ht="57" hidden="false" customHeight="true" outlineLevel="0" collapsed="false">
      <c r="A534" s="3" t="s">
        <v>207</v>
      </c>
      <c r="B534" s="3" t="s">
        <v>9</v>
      </c>
      <c r="C534" s="3" t="s">
        <v>1000</v>
      </c>
      <c r="D534" s="3" t="s">
        <v>69</v>
      </c>
      <c r="E534" s="3" t="s">
        <v>96</v>
      </c>
      <c r="F534" s="4" t="s">
        <v>1117</v>
      </c>
      <c r="G534" s="4" t="s">
        <v>1118</v>
      </c>
      <c r="H534" s="3" t="n">
        <f aca="false">IF(COUNTIFS($D$2:D534,D534,$E$2:E534,E534,$A$2:A534,A534)=1,1,0)</f>
        <v>1</v>
      </c>
    </row>
    <row r="535" customFormat="false" ht="57" hidden="false" customHeight="true" outlineLevel="0" collapsed="false">
      <c r="A535" s="3" t="s">
        <v>207</v>
      </c>
      <c r="B535" s="3" t="s">
        <v>9</v>
      </c>
      <c r="C535" s="3" t="s">
        <v>1000</v>
      </c>
      <c r="D535" s="3" t="s">
        <v>816</v>
      </c>
      <c r="E535" s="3" t="s">
        <v>12</v>
      </c>
      <c r="F535" s="4" t="s">
        <v>1119</v>
      </c>
      <c r="G535" s="4" t="s">
        <v>1120</v>
      </c>
      <c r="H535" s="3" t="n">
        <f aca="false">IF(COUNTIFS($D$2:D535,D535,$E$2:E535,E535,$A$2:A535,A535)=1,1,0)</f>
        <v>1</v>
      </c>
    </row>
    <row r="536" customFormat="false" ht="45.75" hidden="false" customHeight="true" outlineLevel="0" collapsed="false">
      <c r="A536" s="3" t="s">
        <v>207</v>
      </c>
      <c r="B536" s="3" t="s">
        <v>9</v>
      </c>
      <c r="C536" s="3" t="s">
        <v>1000</v>
      </c>
      <c r="D536" s="3" t="s">
        <v>69</v>
      </c>
      <c r="E536" s="3" t="s">
        <v>12</v>
      </c>
      <c r="F536" s="4" t="s">
        <v>1121</v>
      </c>
      <c r="G536" s="4" t="s">
        <v>1122</v>
      </c>
      <c r="H536" s="3" t="n">
        <f aca="false">IF(COUNTIFS($D$2:D536,D536,$E$2:E536,E536,$A$2:A536,A536)=1,1,0)</f>
        <v>0</v>
      </c>
    </row>
    <row r="537" customFormat="false" ht="79.5" hidden="false" customHeight="true" outlineLevel="0" collapsed="false">
      <c r="A537" s="3" t="s">
        <v>207</v>
      </c>
      <c r="B537" s="3" t="s">
        <v>9</v>
      </c>
      <c r="C537" s="3" t="s">
        <v>1000</v>
      </c>
      <c r="D537" s="3" t="s">
        <v>816</v>
      </c>
      <c r="E537" s="3" t="s">
        <v>24</v>
      </c>
      <c r="F537" s="4" t="s">
        <v>1123</v>
      </c>
      <c r="G537" s="4" t="s">
        <v>1124</v>
      </c>
      <c r="H537" s="3" t="n">
        <f aca="false">IF(COUNTIFS($D$2:D537,D537,$E$2:E537,E537,$A$2:A537,A537)=1,1,0)</f>
        <v>1</v>
      </c>
    </row>
    <row r="538" customFormat="false" ht="57" hidden="false" customHeight="true" outlineLevel="0" collapsed="false">
      <c r="A538" s="3" t="s">
        <v>207</v>
      </c>
      <c r="B538" s="3" t="s">
        <v>9</v>
      </c>
      <c r="C538" s="3" t="s">
        <v>1000</v>
      </c>
      <c r="D538" s="3" t="s">
        <v>816</v>
      </c>
      <c r="E538" s="3" t="s">
        <v>12</v>
      </c>
      <c r="F538" s="4" t="s">
        <v>1125</v>
      </c>
      <c r="G538" s="4" t="s">
        <v>1126</v>
      </c>
      <c r="H538" s="3" t="n">
        <f aca="false">IF(COUNTIFS($D$2:D538,D538,$E$2:E538,E538,$A$2:A538,A538)=1,1,0)</f>
        <v>0</v>
      </c>
    </row>
    <row r="539" customFormat="false" ht="45.75" hidden="false" customHeight="true" outlineLevel="0" collapsed="false">
      <c r="A539" s="3" t="s">
        <v>207</v>
      </c>
      <c r="B539" s="3" t="s">
        <v>9</v>
      </c>
      <c r="C539" s="3" t="s">
        <v>1000</v>
      </c>
      <c r="D539" s="3" t="s">
        <v>816</v>
      </c>
      <c r="E539" s="3" t="s">
        <v>24</v>
      </c>
      <c r="F539" s="4" t="s">
        <v>1127</v>
      </c>
      <c r="G539" s="4" t="s">
        <v>1128</v>
      </c>
      <c r="H539" s="3" t="n">
        <f aca="false">IF(COUNTIFS($D$2:D539,D539,$E$2:E539,E539,$A$2:A539,A539)=1,1,0)</f>
        <v>0</v>
      </c>
    </row>
    <row r="540" customFormat="false" ht="45.75" hidden="false" customHeight="true" outlineLevel="0" collapsed="false">
      <c r="A540" s="3" t="s">
        <v>227</v>
      </c>
      <c r="B540" s="3" t="s">
        <v>9</v>
      </c>
      <c r="C540" s="3" t="s">
        <v>1000</v>
      </c>
      <c r="D540" s="3" t="s">
        <v>1003</v>
      </c>
      <c r="E540" s="3" t="s">
        <v>12</v>
      </c>
      <c r="F540" s="4" t="s">
        <v>1129</v>
      </c>
      <c r="G540" s="4" t="s">
        <v>1130</v>
      </c>
      <c r="H540" s="3" t="n">
        <f aca="false">IF(COUNTIFS($D$2:D540,D540,$E$2:E540,E540,$A$2:A540,A540)=1,1,0)</f>
        <v>1</v>
      </c>
    </row>
    <row r="541" customFormat="false" ht="45.75" hidden="false" customHeight="true" outlineLevel="0" collapsed="false">
      <c r="A541" s="3" t="s">
        <v>227</v>
      </c>
      <c r="B541" s="3" t="s">
        <v>9</v>
      </c>
      <c r="C541" s="3" t="s">
        <v>1000</v>
      </c>
      <c r="D541" s="3" t="s">
        <v>1003</v>
      </c>
      <c r="E541" s="3" t="s">
        <v>12</v>
      </c>
      <c r="F541" s="4" t="s">
        <v>1131</v>
      </c>
      <c r="G541" s="4" t="s">
        <v>1132</v>
      </c>
      <c r="H541" s="3" t="n">
        <f aca="false">IF(COUNTIFS($D$2:D541,D541,$E$2:E541,E541,$A$2:A541,A541)=1,1,0)</f>
        <v>0</v>
      </c>
    </row>
    <row r="542" customFormat="false" ht="15" hidden="false" customHeight="true" outlineLevel="0" collapsed="false">
      <c r="A542" s="3" t="s">
        <v>227</v>
      </c>
      <c r="B542" s="3" t="s">
        <v>9</v>
      </c>
      <c r="C542" s="3" t="s">
        <v>1000</v>
      </c>
      <c r="D542" s="3" t="s">
        <v>416</v>
      </c>
      <c r="E542" s="3" t="s">
        <v>12</v>
      </c>
      <c r="F542" s="4" t="s">
        <v>1133</v>
      </c>
      <c r="G542" s="4"/>
      <c r="H542" s="3" t="n">
        <f aca="false">IF(COUNTIFS($D$2:D542,D542,$E$2:E542,E542,$A$2:A542,A542)=1,1,0)</f>
        <v>1</v>
      </c>
    </row>
    <row r="543" customFormat="false" ht="57" hidden="false" customHeight="true" outlineLevel="0" collapsed="false">
      <c r="A543" s="3" t="s">
        <v>227</v>
      </c>
      <c r="B543" s="3" t="s">
        <v>9</v>
      </c>
      <c r="C543" s="3" t="s">
        <v>1000</v>
      </c>
      <c r="D543" s="3" t="s">
        <v>1003</v>
      </c>
      <c r="E543" s="3" t="s">
        <v>12</v>
      </c>
      <c r="F543" s="4" t="s">
        <v>1134</v>
      </c>
      <c r="G543" s="4" t="s">
        <v>1135</v>
      </c>
      <c r="H543" s="3" t="n">
        <f aca="false">IF(COUNTIFS($D$2:D543,D543,$E$2:E543,E543,$A$2:A543,A543)=1,1,0)</f>
        <v>0</v>
      </c>
    </row>
    <row r="544" customFormat="false" ht="113.25" hidden="false" customHeight="true" outlineLevel="0" collapsed="false">
      <c r="A544" s="3" t="s">
        <v>251</v>
      </c>
      <c r="B544" s="3" t="s">
        <v>9</v>
      </c>
      <c r="C544" s="3" t="s">
        <v>1000</v>
      </c>
      <c r="D544" s="3" t="s">
        <v>473</v>
      </c>
      <c r="E544" s="3" t="s">
        <v>96</v>
      </c>
      <c r="F544" s="4" t="s">
        <v>1136</v>
      </c>
      <c r="G544" s="4" t="s">
        <v>1137</v>
      </c>
      <c r="H544" s="3" t="n">
        <f aca="false">IF(COUNTIFS($D$2:D544,D544,$E$2:E544,E544,$A$2:A544,A544)=1,1,0)</f>
        <v>1</v>
      </c>
    </row>
    <row r="545" customFormat="false" ht="34.5" hidden="false" customHeight="true" outlineLevel="0" collapsed="false">
      <c r="A545" s="3" t="s">
        <v>251</v>
      </c>
      <c r="B545" s="3" t="s">
        <v>9</v>
      </c>
      <c r="C545" s="3" t="s">
        <v>1000</v>
      </c>
      <c r="D545" s="3" t="s">
        <v>87</v>
      </c>
      <c r="E545" s="3" t="s">
        <v>24</v>
      </c>
      <c r="F545" s="4" t="s">
        <v>1138</v>
      </c>
      <c r="G545" s="4"/>
      <c r="H545" s="3" t="n">
        <f aca="false">IF(COUNTIFS($D$2:D545,D545,$E$2:E545,E545,$A$2:A545,A545)=1,1,0)</f>
        <v>0</v>
      </c>
    </row>
    <row r="546" customFormat="false" ht="23.25" hidden="false" customHeight="true" outlineLevel="0" collapsed="false">
      <c r="A546" s="3" t="s">
        <v>251</v>
      </c>
      <c r="B546" s="3" t="s">
        <v>9</v>
      </c>
      <c r="C546" s="3" t="s">
        <v>1000</v>
      </c>
      <c r="D546" s="3" t="s">
        <v>11</v>
      </c>
      <c r="E546" s="3" t="s">
        <v>12</v>
      </c>
      <c r="F546" s="4" t="s">
        <v>1139</v>
      </c>
      <c r="G546" s="4"/>
      <c r="H546" s="3" t="n">
        <f aca="false">IF(COUNTIFS($D$2:D546,D546,$E$2:E546,E546,$A$2:A546,A546)=1,1,0)</f>
        <v>0</v>
      </c>
    </row>
    <row r="547" customFormat="false" ht="45.75" hidden="false" customHeight="true" outlineLevel="0" collapsed="false">
      <c r="A547" s="3" t="s">
        <v>8</v>
      </c>
      <c r="B547" s="3" t="s">
        <v>9</v>
      </c>
      <c r="C547" s="3" t="s">
        <v>1140</v>
      </c>
      <c r="D547" s="3" t="s">
        <v>416</v>
      </c>
      <c r="E547" s="3" t="s">
        <v>12</v>
      </c>
      <c r="F547" s="4" t="s">
        <v>1141</v>
      </c>
      <c r="G547" s="4" t="s">
        <v>1142</v>
      </c>
      <c r="H547" s="3" t="n">
        <f aca="false">IF(COUNTIFS($D$2:D547,D547,$E$2:E547,E547,$A$2:A547,A547)=1,1,0)</f>
        <v>0</v>
      </c>
    </row>
    <row r="548" customFormat="false" ht="45.75" hidden="false" customHeight="true" outlineLevel="0" collapsed="false">
      <c r="A548" s="3" t="s">
        <v>8</v>
      </c>
      <c r="B548" s="3" t="s">
        <v>9</v>
      </c>
      <c r="C548" s="3" t="s">
        <v>1140</v>
      </c>
      <c r="D548" s="3" t="s">
        <v>556</v>
      </c>
      <c r="E548" s="3" t="s">
        <v>12</v>
      </c>
      <c r="F548" s="4" t="s">
        <v>1143</v>
      </c>
      <c r="G548" s="4" t="s">
        <v>1144</v>
      </c>
      <c r="H548" s="3" t="n">
        <f aca="false">IF(COUNTIFS($D$2:D548,D548,$E$2:E548,E548,$A$2:A548,A548)=1,1,0)</f>
        <v>0</v>
      </c>
    </row>
    <row r="549" customFormat="false" ht="23.25" hidden="false" customHeight="true" outlineLevel="0" collapsed="false">
      <c r="A549" s="3" t="s">
        <v>32</v>
      </c>
      <c r="B549" s="3" t="s">
        <v>9</v>
      </c>
      <c r="C549" s="3" t="s">
        <v>1140</v>
      </c>
      <c r="D549" s="3" t="s">
        <v>416</v>
      </c>
      <c r="E549" s="3" t="s">
        <v>12</v>
      </c>
      <c r="F549" s="4" t="s">
        <v>1145</v>
      </c>
      <c r="G549" s="4" t="s">
        <v>1146</v>
      </c>
      <c r="H549" s="3" t="n">
        <f aca="false">IF(COUNTIFS($D$2:D549,D549,$E$2:E549,E549,$A$2:A549,A549)=1,1,0)</f>
        <v>1</v>
      </c>
    </row>
    <row r="550" customFormat="false" ht="34.5" hidden="false" customHeight="true" outlineLevel="0" collapsed="false">
      <c r="A550" s="3" t="s">
        <v>32</v>
      </c>
      <c r="B550" s="3" t="s">
        <v>9</v>
      </c>
      <c r="C550" s="3" t="s">
        <v>1140</v>
      </c>
      <c r="D550" s="3" t="s">
        <v>416</v>
      </c>
      <c r="E550" s="3" t="s">
        <v>24</v>
      </c>
      <c r="F550" s="4" t="s">
        <v>1147</v>
      </c>
      <c r="G550" s="4" t="s">
        <v>1148</v>
      </c>
      <c r="H550" s="3" t="n">
        <f aca="false">IF(COUNTIFS($D$2:D550,D550,$E$2:E550,E550,$A$2:A550,A550)=1,1,0)</f>
        <v>1</v>
      </c>
    </row>
    <row r="551" customFormat="false" ht="45.75" hidden="false" customHeight="true" outlineLevel="0" collapsed="false">
      <c r="A551" s="3" t="s">
        <v>32</v>
      </c>
      <c r="B551" s="3" t="s">
        <v>9</v>
      </c>
      <c r="C551" s="3" t="s">
        <v>1140</v>
      </c>
      <c r="D551" s="3" t="s">
        <v>69</v>
      </c>
      <c r="E551" s="3" t="s">
        <v>12</v>
      </c>
      <c r="F551" s="4" t="s">
        <v>1149</v>
      </c>
      <c r="G551" s="4" t="s">
        <v>1150</v>
      </c>
      <c r="H551" s="3" t="n">
        <f aca="false">IF(COUNTIFS($D$2:D551,D551,$E$2:E551,E551,$A$2:A551,A551)=1,1,0)</f>
        <v>1</v>
      </c>
    </row>
    <row r="552" customFormat="false" ht="57" hidden="false" customHeight="true" outlineLevel="0" collapsed="false">
      <c r="A552" s="3" t="s">
        <v>32</v>
      </c>
      <c r="B552" s="3" t="s">
        <v>9</v>
      </c>
      <c r="C552" s="3" t="s">
        <v>1140</v>
      </c>
      <c r="D552" s="3" t="s">
        <v>413</v>
      </c>
      <c r="E552" s="3" t="s">
        <v>96</v>
      </c>
      <c r="F552" s="4" t="s">
        <v>1151</v>
      </c>
      <c r="G552" s="4" t="s">
        <v>1152</v>
      </c>
      <c r="H552" s="3" t="n">
        <f aca="false">IF(COUNTIFS($D$2:D552,D552,$E$2:E552,E552,$A$2:A552,A552)=1,1,0)</f>
        <v>0</v>
      </c>
    </row>
    <row r="553" customFormat="false" ht="45.75" hidden="false" customHeight="true" outlineLevel="0" collapsed="false">
      <c r="A553" s="3" t="s">
        <v>54</v>
      </c>
      <c r="B553" s="3" t="s">
        <v>9</v>
      </c>
      <c r="C553" s="3" t="s">
        <v>1140</v>
      </c>
      <c r="D553" s="3" t="s">
        <v>413</v>
      </c>
      <c r="E553" s="3" t="s">
        <v>96</v>
      </c>
      <c r="F553" s="4" t="s">
        <v>1153</v>
      </c>
      <c r="G553" s="4" t="s">
        <v>1154</v>
      </c>
      <c r="H553" s="3" t="n">
        <f aca="false">IF(COUNTIFS($D$2:D553,D553,$E$2:E553,E553,$A$2:A553,A553)=1,1,0)</f>
        <v>1</v>
      </c>
    </row>
    <row r="554" customFormat="false" ht="45.75" hidden="false" customHeight="true" outlineLevel="0" collapsed="false">
      <c r="A554" s="3" t="s">
        <v>54</v>
      </c>
      <c r="B554" s="3" t="s">
        <v>9</v>
      </c>
      <c r="C554" s="3" t="s">
        <v>1140</v>
      </c>
      <c r="D554" s="3" t="s">
        <v>416</v>
      </c>
      <c r="E554" s="3" t="s">
        <v>222</v>
      </c>
      <c r="F554" s="4" t="s">
        <v>1155</v>
      </c>
      <c r="G554" s="4" t="s">
        <v>1156</v>
      </c>
      <c r="H554" s="3" t="n">
        <f aca="false">IF(COUNTIFS($D$2:D554,D554,$E$2:E554,E554,$A$2:A554,A554)=1,1,0)</f>
        <v>1</v>
      </c>
    </row>
    <row r="555" customFormat="false" ht="34.5" hidden="false" customHeight="true" outlineLevel="0" collapsed="false">
      <c r="A555" s="3" t="s">
        <v>54</v>
      </c>
      <c r="B555" s="3" t="s">
        <v>9</v>
      </c>
      <c r="C555" s="3" t="s">
        <v>1140</v>
      </c>
      <c r="D555" s="3" t="s">
        <v>416</v>
      </c>
      <c r="E555" s="3" t="s">
        <v>12</v>
      </c>
      <c r="F555" s="4" t="s">
        <v>1157</v>
      </c>
      <c r="G555" s="4" t="s">
        <v>1158</v>
      </c>
      <c r="H555" s="3" t="n">
        <f aca="false">IF(COUNTIFS($D$2:D555,D555,$E$2:E555,E555,$A$2:A555,A555)=1,1,0)</f>
        <v>1</v>
      </c>
    </row>
    <row r="556" customFormat="false" ht="57" hidden="false" customHeight="true" outlineLevel="0" collapsed="false">
      <c r="A556" s="3" t="s">
        <v>54</v>
      </c>
      <c r="B556" s="3" t="s">
        <v>9</v>
      </c>
      <c r="C556" s="3" t="s">
        <v>1140</v>
      </c>
      <c r="D556" s="3" t="s">
        <v>69</v>
      </c>
      <c r="E556" s="3" t="s">
        <v>24</v>
      </c>
      <c r="F556" s="4" t="s">
        <v>1159</v>
      </c>
      <c r="G556" s="4" t="s">
        <v>1160</v>
      </c>
      <c r="H556" s="3" t="n">
        <f aca="false">IF(COUNTIFS($D$2:D556,D556,$E$2:E556,E556,$A$2:A556,A556)=1,1,0)</f>
        <v>1</v>
      </c>
    </row>
    <row r="557" customFormat="false" ht="45.75" hidden="false" customHeight="true" outlineLevel="0" collapsed="false">
      <c r="A557" s="3" t="s">
        <v>54</v>
      </c>
      <c r="B557" s="3" t="s">
        <v>9</v>
      </c>
      <c r="C557" s="3" t="s">
        <v>1140</v>
      </c>
      <c r="D557" s="3" t="s">
        <v>473</v>
      </c>
      <c r="E557" s="3" t="s">
        <v>222</v>
      </c>
      <c r="F557" s="4" t="s">
        <v>1161</v>
      </c>
      <c r="G557" s="4" t="s">
        <v>1162</v>
      </c>
      <c r="H557" s="3" t="n">
        <f aca="false">IF(COUNTIFS($D$2:D557,D557,$E$2:E557,E557,$A$2:A557,A557)=1,1,0)</f>
        <v>1</v>
      </c>
    </row>
    <row r="558" customFormat="false" ht="57" hidden="false" customHeight="true" outlineLevel="0" collapsed="false">
      <c r="A558" s="3" t="s">
        <v>54</v>
      </c>
      <c r="B558" s="3" t="s">
        <v>9</v>
      </c>
      <c r="C558" s="3" t="s">
        <v>1140</v>
      </c>
      <c r="D558" s="3" t="s">
        <v>69</v>
      </c>
      <c r="E558" s="3" t="s">
        <v>24</v>
      </c>
      <c r="F558" s="4" t="s">
        <v>1163</v>
      </c>
      <c r="G558" s="4" t="s">
        <v>1164</v>
      </c>
      <c r="H558" s="3" t="n">
        <f aca="false">IF(COUNTIFS($D$2:D558,D558,$E$2:E558,E558,$A$2:A558,A558)=1,1,0)</f>
        <v>0</v>
      </c>
    </row>
    <row r="559" customFormat="false" ht="34.5" hidden="false" customHeight="true" outlineLevel="0" collapsed="false">
      <c r="A559" s="3" t="s">
        <v>72</v>
      </c>
      <c r="B559" s="3" t="s">
        <v>9</v>
      </c>
      <c r="C559" s="3" t="s">
        <v>1140</v>
      </c>
      <c r="D559" s="3" t="s">
        <v>413</v>
      </c>
      <c r="E559" s="3" t="s">
        <v>12</v>
      </c>
      <c r="F559" s="4" t="s">
        <v>1165</v>
      </c>
      <c r="G559" s="4" t="s">
        <v>1166</v>
      </c>
      <c r="H559" s="3" t="n">
        <f aca="false">IF(COUNTIFS($D$2:D559,D559,$E$2:E559,E559,$A$2:A559,A559)=1,1,0)</f>
        <v>1</v>
      </c>
    </row>
    <row r="560" customFormat="false" ht="45.75" hidden="false" customHeight="true" outlineLevel="0" collapsed="false">
      <c r="A560" s="3" t="s">
        <v>72</v>
      </c>
      <c r="B560" s="3" t="s">
        <v>9</v>
      </c>
      <c r="C560" s="3" t="s">
        <v>1140</v>
      </c>
      <c r="D560" s="3" t="s">
        <v>413</v>
      </c>
      <c r="E560" s="3" t="s">
        <v>222</v>
      </c>
      <c r="F560" s="4" t="s">
        <v>1167</v>
      </c>
      <c r="G560" s="4" t="s">
        <v>1168</v>
      </c>
      <c r="H560" s="3" t="n">
        <f aca="false">IF(COUNTIFS($D$2:D560,D560,$E$2:E560,E560,$A$2:A560,A560)=1,1,0)</f>
        <v>1</v>
      </c>
    </row>
    <row r="561" customFormat="false" ht="45.75" hidden="false" customHeight="true" outlineLevel="0" collapsed="false">
      <c r="A561" s="3" t="s">
        <v>72</v>
      </c>
      <c r="B561" s="3" t="s">
        <v>9</v>
      </c>
      <c r="C561" s="3" t="s">
        <v>1140</v>
      </c>
      <c r="D561" s="3" t="s">
        <v>413</v>
      </c>
      <c r="E561" s="3" t="s">
        <v>12</v>
      </c>
      <c r="F561" s="4" t="s">
        <v>1169</v>
      </c>
      <c r="G561" s="4" t="s">
        <v>1170</v>
      </c>
      <c r="H561" s="3" t="n">
        <f aca="false">IF(COUNTIFS($D$2:D561,D561,$E$2:E561,E561,$A$2:A561,A561)=1,1,0)</f>
        <v>0</v>
      </c>
    </row>
    <row r="562" customFormat="false" ht="34.5" hidden="false" customHeight="true" outlineLevel="0" collapsed="false">
      <c r="A562" s="3" t="s">
        <v>72</v>
      </c>
      <c r="B562" s="3" t="s">
        <v>9</v>
      </c>
      <c r="C562" s="3" t="s">
        <v>1140</v>
      </c>
      <c r="D562" s="3" t="s">
        <v>413</v>
      </c>
      <c r="E562" s="3" t="s">
        <v>12</v>
      </c>
      <c r="F562" s="4" t="s">
        <v>1171</v>
      </c>
      <c r="G562" s="4" t="s">
        <v>1172</v>
      </c>
      <c r="H562" s="3" t="n">
        <f aca="false">IF(COUNTIFS($D$2:D562,D562,$E$2:E562,E562,$A$2:A562,A562)=1,1,0)</f>
        <v>0</v>
      </c>
    </row>
    <row r="563" customFormat="false" ht="34.5" hidden="false" customHeight="true" outlineLevel="0" collapsed="false">
      <c r="A563" s="3" t="s">
        <v>72</v>
      </c>
      <c r="B563" s="3" t="s">
        <v>9</v>
      </c>
      <c r="C563" s="3" t="s">
        <v>1140</v>
      </c>
      <c r="D563" s="3" t="s">
        <v>413</v>
      </c>
      <c r="E563" s="3" t="s">
        <v>96</v>
      </c>
      <c r="F563" s="4" t="s">
        <v>1173</v>
      </c>
      <c r="G563" s="4" t="s">
        <v>1174</v>
      </c>
      <c r="H563" s="3" t="n">
        <f aca="false">IF(COUNTIFS($D$2:D563,D563,$E$2:E563,E563,$A$2:A563,A563)=1,1,0)</f>
        <v>1</v>
      </c>
    </row>
    <row r="564" customFormat="false" ht="34.5" hidden="false" customHeight="true" outlineLevel="0" collapsed="false">
      <c r="A564" s="3" t="s">
        <v>72</v>
      </c>
      <c r="B564" s="3" t="s">
        <v>9</v>
      </c>
      <c r="C564" s="3" t="s">
        <v>1140</v>
      </c>
      <c r="D564" s="3" t="s">
        <v>1003</v>
      </c>
      <c r="E564" s="3" t="s">
        <v>12</v>
      </c>
      <c r="F564" s="4" t="s">
        <v>1175</v>
      </c>
      <c r="G564" s="4" t="s">
        <v>1176</v>
      </c>
      <c r="H564" s="3" t="n">
        <f aca="false">IF(COUNTIFS($D$2:D564,D564,$E$2:E564,E564,$A$2:A564,A564)=1,1,0)</f>
        <v>0</v>
      </c>
    </row>
    <row r="565" customFormat="false" ht="23.25" hidden="false" customHeight="true" outlineLevel="0" collapsed="false">
      <c r="A565" s="3" t="s">
        <v>72</v>
      </c>
      <c r="B565" s="3" t="s">
        <v>9</v>
      </c>
      <c r="C565" s="3" t="s">
        <v>1140</v>
      </c>
      <c r="D565" s="3" t="s">
        <v>413</v>
      </c>
      <c r="E565" s="3" t="s">
        <v>222</v>
      </c>
      <c r="F565" s="4" t="s">
        <v>1177</v>
      </c>
      <c r="G565" s="4" t="s">
        <v>1178</v>
      </c>
      <c r="H565" s="3" t="n">
        <f aca="false">IF(COUNTIFS($D$2:D565,D565,$E$2:E565,E565,$A$2:A565,A565)=1,1,0)</f>
        <v>0</v>
      </c>
    </row>
    <row r="566" customFormat="false" ht="34.5" hidden="false" customHeight="true" outlineLevel="0" collapsed="false">
      <c r="A566" s="3" t="s">
        <v>72</v>
      </c>
      <c r="B566" s="3" t="s">
        <v>9</v>
      </c>
      <c r="C566" s="3" t="s">
        <v>1140</v>
      </c>
      <c r="D566" s="3" t="s">
        <v>1003</v>
      </c>
      <c r="E566" s="3" t="s">
        <v>12</v>
      </c>
      <c r="F566" s="4" t="s">
        <v>1179</v>
      </c>
      <c r="G566" s="4" t="s">
        <v>1180</v>
      </c>
      <c r="H566" s="3" t="n">
        <f aca="false">IF(COUNTIFS($D$2:D566,D566,$E$2:E566,E566,$A$2:A566,A566)=1,1,0)</f>
        <v>0</v>
      </c>
    </row>
    <row r="567" customFormat="false" ht="34.5" hidden="false" customHeight="true" outlineLevel="0" collapsed="false">
      <c r="A567" s="3" t="s">
        <v>72</v>
      </c>
      <c r="B567" s="3" t="s">
        <v>9</v>
      </c>
      <c r="C567" s="3" t="s">
        <v>1140</v>
      </c>
      <c r="D567" s="3" t="s">
        <v>1003</v>
      </c>
      <c r="E567" s="3" t="s">
        <v>12</v>
      </c>
      <c r="F567" s="4" t="s">
        <v>1181</v>
      </c>
      <c r="G567" s="4" t="s">
        <v>1182</v>
      </c>
      <c r="H567" s="3" t="n">
        <f aca="false">IF(COUNTIFS($D$2:D567,D567,$E$2:E567,E567,$A$2:A567,A567)=1,1,0)</f>
        <v>0</v>
      </c>
    </row>
    <row r="568" customFormat="false" ht="45.75" hidden="false" customHeight="true" outlineLevel="0" collapsed="false">
      <c r="A568" s="3" t="s">
        <v>72</v>
      </c>
      <c r="B568" s="3" t="s">
        <v>9</v>
      </c>
      <c r="C568" s="3" t="s">
        <v>1140</v>
      </c>
      <c r="D568" s="3" t="s">
        <v>1003</v>
      </c>
      <c r="E568" s="3" t="s">
        <v>12</v>
      </c>
      <c r="F568" s="4" t="s">
        <v>1183</v>
      </c>
      <c r="G568" s="4" t="s">
        <v>1184</v>
      </c>
      <c r="H568" s="3" t="n">
        <f aca="false">IF(COUNTIFS($D$2:D568,D568,$E$2:E568,E568,$A$2:A568,A568)=1,1,0)</f>
        <v>0</v>
      </c>
    </row>
    <row r="569" customFormat="false" ht="68.25" hidden="false" customHeight="true" outlineLevel="0" collapsed="false">
      <c r="A569" s="3" t="s">
        <v>99</v>
      </c>
      <c r="B569" s="3" t="s">
        <v>9</v>
      </c>
      <c r="C569" s="3" t="s">
        <v>1140</v>
      </c>
      <c r="D569" s="3" t="s">
        <v>69</v>
      </c>
      <c r="E569" s="3" t="s">
        <v>24</v>
      </c>
      <c r="F569" s="4" t="s">
        <v>1185</v>
      </c>
      <c r="G569" s="4" t="s">
        <v>1186</v>
      </c>
      <c r="H569" s="3" t="n">
        <f aca="false">IF(COUNTIFS($D$2:D569,D569,$E$2:E569,E569,$A$2:A569,A569)=1,1,0)</f>
        <v>1</v>
      </c>
    </row>
    <row r="570" customFormat="false" ht="34.5" hidden="false" customHeight="true" outlineLevel="0" collapsed="false">
      <c r="A570" s="3" t="s">
        <v>120</v>
      </c>
      <c r="B570" s="3" t="s">
        <v>9</v>
      </c>
      <c r="C570" s="3" t="s">
        <v>1140</v>
      </c>
      <c r="D570" s="3" t="s">
        <v>1003</v>
      </c>
      <c r="E570" s="3" t="s">
        <v>12</v>
      </c>
      <c r="F570" s="4" t="s">
        <v>1187</v>
      </c>
      <c r="G570" s="4" t="s">
        <v>1188</v>
      </c>
      <c r="H570" s="3" t="n">
        <f aca="false">IF(COUNTIFS($D$2:D570,D570,$E$2:E570,E570,$A$2:A570,A570)=1,1,0)</f>
        <v>0</v>
      </c>
    </row>
    <row r="571" customFormat="false" ht="23.25" hidden="false" customHeight="true" outlineLevel="0" collapsed="false">
      <c r="A571" s="3" t="s">
        <v>120</v>
      </c>
      <c r="B571" s="3" t="s">
        <v>9</v>
      </c>
      <c r="C571" s="3" t="s">
        <v>1140</v>
      </c>
      <c r="D571" s="3" t="s">
        <v>1003</v>
      </c>
      <c r="E571" s="3" t="s">
        <v>12</v>
      </c>
      <c r="F571" s="4" t="s">
        <v>1189</v>
      </c>
      <c r="G571" s="4" t="s">
        <v>1190</v>
      </c>
      <c r="H571" s="3" t="n">
        <f aca="false">IF(COUNTIFS($D$2:D571,D571,$E$2:E571,E571,$A$2:A571,A571)=1,1,0)</f>
        <v>0</v>
      </c>
    </row>
    <row r="572" customFormat="false" ht="45.75" hidden="false" customHeight="true" outlineLevel="0" collapsed="false">
      <c r="A572" s="3" t="s">
        <v>120</v>
      </c>
      <c r="B572" s="3" t="s">
        <v>9</v>
      </c>
      <c r="C572" s="3" t="s">
        <v>1140</v>
      </c>
      <c r="D572" s="3" t="s">
        <v>413</v>
      </c>
      <c r="E572" s="3" t="s">
        <v>96</v>
      </c>
      <c r="F572" s="4" t="s">
        <v>1191</v>
      </c>
      <c r="G572" s="4" t="s">
        <v>1192</v>
      </c>
      <c r="H572" s="3" t="n">
        <f aca="false">IF(COUNTIFS($D$2:D572,D572,$E$2:E572,E572,$A$2:A572,A572)=1,1,0)</f>
        <v>1</v>
      </c>
    </row>
    <row r="573" customFormat="false" ht="34.5" hidden="false" customHeight="true" outlineLevel="0" collapsed="false">
      <c r="A573" s="3" t="s">
        <v>120</v>
      </c>
      <c r="B573" s="3" t="s">
        <v>9</v>
      </c>
      <c r="C573" s="3" t="s">
        <v>1140</v>
      </c>
      <c r="D573" s="3" t="s">
        <v>413</v>
      </c>
      <c r="E573" s="3" t="s">
        <v>96</v>
      </c>
      <c r="F573" s="4" t="s">
        <v>1193</v>
      </c>
      <c r="G573" s="4" t="s">
        <v>1194</v>
      </c>
      <c r="H573" s="3" t="n">
        <f aca="false">IF(COUNTIFS($D$2:D573,D573,$E$2:E573,E573,$A$2:A573,A573)=1,1,0)</f>
        <v>0</v>
      </c>
    </row>
    <row r="574" customFormat="false" ht="34.5" hidden="false" customHeight="true" outlineLevel="0" collapsed="false">
      <c r="A574" s="3" t="s">
        <v>120</v>
      </c>
      <c r="B574" s="3" t="s">
        <v>9</v>
      </c>
      <c r="C574" s="3" t="s">
        <v>1140</v>
      </c>
      <c r="D574" s="3" t="s">
        <v>413</v>
      </c>
      <c r="E574" s="3" t="s">
        <v>96</v>
      </c>
      <c r="F574" s="4" t="s">
        <v>1195</v>
      </c>
      <c r="G574" s="4" t="s">
        <v>1196</v>
      </c>
      <c r="H574" s="3" t="n">
        <f aca="false">IF(COUNTIFS($D$2:D574,D574,$E$2:E574,E574,$A$2:A574,A574)=1,1,0)</f>
        <v>0</v>
      </c>
    </row>
    <row r="575" customFormat="false" ht="34.5" hidden="false" customHeight="true" outlineLevel="0" collapsed="false">
      <c r="A575" s="3" t="s">
        <v>120</v>
      </c>
      <c r="B575" s="3" t="s">
        <v>9</v>
      </c>
      <c r="C575" s="3" t="s">
        <v>1140</v>
      </c>
      <c r="D575" s="3" t="s">
        <v>413</v>
      </c>
      <c r="E575" s="3" t="s">
        <v>96</v>
      </c>
      <c r="F575" s="4" t="s">
        <v>1197</v>
      </c>
      <c r="G575" s="4" t="s">
        <v>1198</v>
      </c>
      <c r="H575" s="3" t="n">
        <f aca="false">IF(COUNTIFS($D$2:D575,D575,$E$2:E575,E575,$A$2:A575,A575)=1,1,0)</f>
        <v>0</v>
      </c>
    </row>
    <row r="576" customFormat="false" ht="45.75" hidden="false" customHeight="true" outlineLevel="0" collapsed="false">
      <c r="A576" s="3" t="s">
        <v>120</v>
      </c>
      <c r="B576" s="3" t="s">
        <v>9</v>
      </c>
      <c r="C576" s="3" t="s">
        <v>1140</v>
      </c>
      <c r="D576" s="3" t="s">
        <v>416</v>
      </c>
      <c r="E576" s="3" t="s">
        <v>222</v>
      </c>
      <c r="F576" s="4" t="s">
        <v>1199</v>
      </c>
      <c r="G576" s="4" t="s">
        <v>1200</v>
      </c>
      <c r="H576" s="3" t="n">
        <f aca="false">IF(COUNTIFS($D$2:D576,D576,$E$2:E576,E576,$A$2:A576,A576)=1,1,0)</f>
        <v>1</v>
      </c>
    </row>
    <row r="577" customFormat="false" ht="57" hidden="false" customHeight="true" outlineLevel="0" collapsed="false">
      <c r="A577" s="3" t="s">
        <v>120</v>
      </c>
      <c r="B577" s="3" t="s">
        <v>9</v>
      </c>
      <c r="C577" s="3" t="s">
        <v>1140</v>
      </c>
      <c r="D577" s="3" t="s">
        <v>416</v>
      </c>
      <c r="E577" s="3" t="s">
        <v>12</v>
      </c>
      <c r="F577" s="4" t="s">
        <v>1201</v>
      </c>
      <c r="G577" s="4" t="s">
        <v>1202</v>
      </c>
      <c r="H577" s="3" t="n">
        <f aca="false">IF(COUNTIFS($D$2:D577,D577,$E$2:E577,E577,$A$2:A577,A577)=1,1,0)</f>
        <v>1</v>
      </c>
    </row>
    <row r="578" customFormat="false" ht="45.75" hidden="false" customHeight="true" outlineLevel="0" collapsed="false">
      <c r="A578" s="3" t="s">
        <v>120</v>
      </c>
      <c r="B578" s="3" t="s">
        <v>9</v>
      </c>
      <c r="C578" s="3" t="s">
        <v>1140</v>
      </c>
      <c r="D578" s="3" t="s">
        <v>416</v>
      </c>
      <c r="E578" s="3" t="s">
        <v>12</v>
      </c>
      <c r="F578" s="4" t="s">
        <v>1203</v>
      </c>
      <c r="G578" s="4" t="s">
        <v>1204</v>
      </c>
      <c r="H578" s="3" t="n">
        <f aca="false">IF(COUNTIFS($D$2:D578,D578,$E$2:E578,E578,$A$2:A578,A578)=1,1,0)</f>
        <v>0</v>
      </c>
    </row>
    <row r="579" customFormat="false" ht="34.5" hidden="false" customHeight="true" outlineLevel="0" collapsed="false">
      <c r="A579" s="3" t="s">
        <v>120</v>
      </c>
      <c r="B579" s="3" t="s">
        <v>9</v>
      </c>
      <c r="C579" s="3" t="s">
        <v>1140</v>
      </c>
      <c r="D579" s="3" t="s">
        <v>556</v>
      </c>
      <c r="E579" s="3" t="s">
        <v>12</v>
      </c>
      <c r="F579" s="4" t="s">
        <v>1205</v>
      </c>
      <c r="G579" s="4" t="s">
        <v>1206</v>
      </c>
      <c r="H579" s="3" t="n">
        <f aca="false">IF(COUNTIFS($D$2:D579,D579,$E$2:E579,E579,$A$2:A579,A579)=1,1,0)</f>
        <v>0</v>
      </c>
    </row>
    <row r="580" customFormat="false" ht="57" hidden="false" customHeight="true" outlineLevel="0" collapsed="false">
      <c r="A580" s="3" t="s">
        <v>120</v>
      </c>
      <c r="B580" s="3" t="s">
        <v>9</v>
      </c>
      <c r="C580" s="3" t="s">
        <v>1140</v>
      </c>
      <c r="D580" s="3" t="s">
        <v>69</v>
      </c>
      <c r="E580" s="3" t="s">
        <v>12</v>
      </c>
      <c r="F580" s="4" t="s">
        <v>1207</v>
      </c>
      <c r="G580" s="4" t="s">
        <v>1208</v>
      </c>
      <c r="H580" s="3" t="n">
        <f aca="false">IF(COUNTIFS($D$2:D580,D580,$E$2:E580,E580,$A$2:A580,A580)=1,1,0)</f>
        <v>0</v>
      </c>
    </row>
    <row r="581" customFormat="false" ht="57" hidden="false" customHeight="true" outlineLevel="0" collapsed="false">
      <c r="A581" s="3" t="s">
        <v>143</v>
      </c>
      <c r="B581" s="3" t="s">
        <v>9</v>
      </c>
      <c r="C581" s="3" t="s">
        <v>1140</v>
      </c>
      <c r="D581" s="3" t="s">
        <v>416</v>
      </c>
      <c r="E581" s="3" t="s">
        <v>24</v>
      </c>
      <c r="F581" s="4" t="s">
        <v>1209</v>
      </c>
      <c r="G581" s="4" t="s">
        <v>1210</v>
      </c>
      <c r="H581" s="3" t="n">
        <f aca="false">IF(COUNTIFS($D$2:D581,D581,$E$2:E581,E581,$A$2:A581,A581)=1,1,0)</f>
        <v>1</v>
      </c>
    </row>
    <row r="582" customFormat="false" ht="45.75" hidden="false" customHeight="true" outlineLevel="0" collapsed="false">
      <c r="A582" s="3" t="s">
        <v>143</v>
      </c>
      <c r="B582" s="3" t="s">
        <v>9</v>
      </c>
      <c r="C582" s="3" t="s">
        <v>1140</v>
      </c>
      <c r="D582" s="3" t="s">
        <v>416</v>
      </c>
      <c r="E582" s="3" t="s">
        <v>12</v>
      </c>
      <c r="F582" s="4" t="s">
        <v>1211</v>
      </c>
      <c r="G582" s="4" t="s">
        <v>1212</v>
      </c>
      <c r="H582" s="3" t="n">
        <f aca="false">IF(COUNTIFS($D$2:D582,D582,$E$2:E582,E582,$A$2:A582,A582)=1,1,0)</f>
        <v>1</v>
      </c>
    </row>
    <row r="583" customFormat="false" ht="34.5" hidden="false" customHeight="true" outlineLevel="0" collapsed="false">
      <c r="A583" s="3" t="s">
        <v>143</v>
      </c>
      <c r="B583" s="3" t="s">
        <v>9</v>
      </c>
      <c r="C583" s="3" t="s">
        <v>1140</v>
      </c>
      <c r="D583" s="3" t="s">
        <v>413</v>
      </c>
      <c r="E583" s="3" t="s">
        <v>12</v>
      </c>
      <c r="F583" s="4" t="s">
        <v>1213</v>
      </c>
      <c r="G583" s="4" t="s">
        <v>1214</v>
      </c>
      <c r="H583" s="3" t="n">
        <f aca="false">IF(COUNTIFS($D$2:D583,D583,$E$2:E583,E583,$A$2:A583,A583)=1,1,0)</f>
        <v>1</v>
      </c>
    </row>
    <row r="584" customFormat="false" ht="45.75" hidden="false" customHeight="true" outlineLevel="0" collapsed="false">
      <c r="A584" s="3" t="s">
        <v>150</v>
      </c>
      <c r="B584" s="3" t="s">
        <v>9</v>
      </c>
      <c r="C584" s="3" t="s">
        <v>1140</v>
      </c>
      <c r="D584" s="3" t="s">
        <v>1003</v>
      </c>
      <c r="E584" s="3" t="s">
        <v>24</v>
      </c>
      <c r="F584" s="4" t="s">
        <v>1215</v>
      </c>
      <c r="G584" s="4" t="s">
        <v>1216</v>
      </c>
      <c r="H584" s="3" t="n">
        <f aca="false">IF(COUNTIFS($D$2:D584,D584,$E$2:E584,E584,$A$2:A584,A584)=1,1,0)</f>
        <v>1</v>
      </c>
    </row>
    <row r="585" customFormat="false" ht="34.5" hidden="false" customHeight="true" outlineLevel="0" collapsed="false">
      <c r="A585" s="3" t="s">
        <v>150</v>
      </c>
      <c r="B585" s="3" t="s">
        <v>9</v>
      </c>
      <c r="C585" s="3" t="s">
        <v>1140</v>
      </c>
      <c r="D585" s="3" t="s">
        <v>416</v>
      </c>
      <c r="E585" s="3" t="s">
        <v>12</v>
      </c>
      <c r="F585" s="4" t="s">
        <v>1217</v>
      </c>
      <c r="G585" s="4" t="s">
        <v>1218</v>
      </c>
      <c r="H585" s="3" t="n">
        <f aca="false">IF(COUNTIFS($D$2:D585,D585,$E$2:E585,E585,$A$2:A585,A585)=1,1,0)</f>
        <v>1</v>
      </c>
    </row>
    <row r="586" customFormat="false" ht="45.75" hidden="false" customHeight="true" outlineLevel="0" collapsed="false">
      <c r="A586" s="3" t="s">
        <v>150</v>
      </c>
      <c r="B586" s="3" t="s">
        <v>9</v>
      </c>
      <c r="C586" s="3" t="s">
        <v>1140</v>
      </c>
      <c r="D586" s="3" t="s">
        <v>416</v>
      </c>
      <c r="E586" s="3" t="s">
        <v>222</v>
      </c>
      <c r="F586" s="4" t="s">
        <v>1219</v>
      </c>
      <c r="G586" s="4" t="s">
        <v>1220</v>
      </c>
      <c r="H586" s="3" t="n">
        <f aca="false">IF(COUNTIFS($D$2:D586,D586,$E$2:E586,E586,$A$2:A586,A586)=1,1,0)</f>
        <v>1</v>
      </c>
    </row>
    <row r="587" customFormat="false" ht="45.75" hidden="false" customHeight="true" outlineLevel="0" collapsed="false">
      <c r="A587" s="3" t="s">
        <v>150</v>
      </c>
      <c r="B587" s="3" t="s">
        <v>9</v>
      </c>
      <c r="C587" s="3" t="s">
        <v>1140</v>
      </c>
      <c r="D587" s="3" t="s">
        <v>413</v>
      </c>
      <c r="E587" s="3" t="s">
        <v>12</v>
      </c>
      <c r="F587" s="4" t="s">
        <v>1221</v>
      </c>
      <c r="G587" s="4" t="s">
        <v>1222</v>
      </c>
      <c r="H587" s="3" t="n">
        <f aca="false">IF(COUNTIFS($D$2:D587,D587,$E$2:E587,E587,$A$2:A587,A587)=1,1,0)</f>
        <v>0</v>
      </c>
    </row>
    <row r="588" customFormat="false" ht="45.75" hidden="false" customHeight="true" outlineLevel="0" collapsed="false">
      <c r="A588" s="3" t="s">
        <v>150</v>
      </c>
      <c r="B588" s="3" t="s">
        <v>9</v>
      </c>
      <c r="C588" s="3" t="s">
        <v>1140</v>
      </c>
      <c r="D588" s="3" t="s">
        <v>87</v>
      </c>
      <c r="E588" s="3" t="s">
        <v>24</v>
      </c>
      <c r="F588" s="4" t="s">
        <v>1223</v>
      </c>
      <c r="G588" s="4" t="s">
        <v>1224</v>
      </c>
      <c r="H588" s="3" t="n">
        <f aca="false">IF(COUNTIFS($D$2:D588,D588,$E$2:E588,E588,$A$2:A588,A588)=1,1,0)</f>
        <v>0</v>
      </c>
    </row>
    <row r="589" customFormat="false" ht="45.75" hidden="false" customHeight="true" outlineLevel="0" collapsed="false">
      <c r="A589" s="3" t="s">
        <v>171</v>
      </c>
      <c r="B589" s="3" t="s">
        <v>9</v>
      </c>
      <c r="C589" s="3" t="s">
        <v>1140</v>
      </c>
      <c r="D589" s="3" t="s">
        <v>416</v>
      </c>
      <c r="E589" s="3" t="s">
        <v>12</v>
      </c>
      <c r="F589" s="4" t="s">
        <v>1225</v>
      </c>
      <c r="G589" s="4" t="s">
        <v>1226</v>
      </c>
      <c r="H589" s="3" t="n">
        <f aca="false">IF(COUNTIFS($D$2:D589,D589,$E$2:E589,E589,$A$2:A589,A589)=1,1,0)</f>
        <v>1</v>
      </c>
    </row>
    <row r="590" customFormat="false" ht="79.5" hidden="false" customHeight="true" outlineLevel="0" collapsed="false">
      <c r="A590" s="3" t="s">
        <v>171</v>
      </c>
      <c r="B590" s="3" t="s">
        <v>9</v>
      </c>
      <c r="C590" s="3" t="s">
        <v>1140</v>
      </c>
      <c r="D590" s="3" t="s">
        <v>1003</v>
      </c>
      <c r="E590" s="3" t="s">
        <v>24</v>
      </c>
      <c r="F590" s="4" t="s">
        <v>1227</v>
      </c>
      <c r="G590" s="4" t="s">
        <v>1228</v>
      </c>
      <c r="H590" s="3" t="n">
        <f aca="false">IF(COUNTIFS($D$2:D590,D590,$E$2:E590,E590,$A$2:A590,A590)=1,1,0)</f>
        <v>1</v>
      </c>
    </row>
    <row r="591" customFormat="false" ht="34.5" hidden="false" customHeight="true" outlineLevel="0" collapsed="false">
      <c r="A591" s="3" t="s">
        <v>171</v>
      </c>
      <c r="B591" s="3" t="s">
        <v>9</v>
      </c>
      <c r="C591" s="3" t="s">
        <v>1140</v>
      </c>
      <c r="D591" s="3" t="s">
        <v>1003</v>
      </c>
      <c r="E591" s="3" t="s">
        <v>12</v>
      </c>
      <c r="F591" s="4" t="s">
        <v>1229</v>
      </c>
      <c r="G591" s="4" t="s">
        <v>1230</v>
      </c>
      <c r="H591" s="3" t="n">
        <f aca="false">IF(COUNTIFS($D$2:D591,D591,$E$2:E591,E591,$A$2:A591,A591)=1,1,0)</f>
        <v>0</v>
      </c>
    </row>
    <row r="592" customFormat="false" ht="23.25" hidden="false" customHeight="true" outlineLevel="0" collapsed="false">
      <c r="A592" s="3" t="s">
        <v>171</v>
      </c>
      <c r="B592" s="3" t="s">
        <v>9</v>
      </c>
      <c r="C592" s="3" t="s">
        <v>1140</v>
      </c>
      <c r="D592" s="3" t="s">
        <v>1003</v>
      </c>
      <c r="E592" s="3" t="s">
        <v>12</v>
      </c>
      <c r="F592" s="4" t="s">
        <v>1231</v>
      </c>
      <c r="G592" s="4" t="s">
        <v>1232</v>
      </c>
      <c r="H592" s="3" t="n">
        <f aca="false">IF(COUNTIFS($D$2:D592,D592,$E$2:E592,E592,$A$2:A592,A592)=1,1,0)</f>
        <v>0</v>
      </c>
    </row>
    <row r="593" customFormat="false" ht="34.5" hidden="false" customHeight="true" outlineLevel="0" collapsed="false">
      <c r="A593" s="3" t="s">
        <v>186</v>
      </c>
      <c r="B593" s="3" t="s">
        <v>9</v>
      </c>
      <c r="C593" s="3" t="s">
        <v>1140</v>
      </c>
      <c r="D593" s="3" t="s">
        <v>1003</v>
      </c>
      <c r="E593" s="3" t="s">
        <v>24</v>
      </c>
      <c r="F593" s="4" t="s">
        <v>1233</v>
      </c>
      <c r="G593" s="4" t="s">
        <v>1234</v>
      </c>
      <c r="H593" s="3" t="n">
        <f aca="false">IF(COUNTIFS($D$2:D593,D593,$E$2:E593,E593,$A$2:A593,A593)=1,1,0)</f>
        <v>1</v>
      </c>
    </row>
    <row r="594" customFormat="false" ht="57" hidden="false" customHeight="true" outlineLevel="0" collapsed="false">
      <c r="A594" s="3" t="s">
        <v>186</v>
      </c>
      <c r="B594" s="3" t="s">
        <v>9</v>
      </c>
      <c r="C594" s="3" t="s">
        <v>1140</v>
      </c>
      <c r="D594" s="3" t="s">
        <v>1003</v>
      </c>
      <c r="E594" s="3" t="s">
        <v>12</v>
      </c>
      <c r="F594" s="4" t="s">
        <v>1235</v>
      </c>
      <c r="G594" s="4" t="s">
        <v>1236</v>
      </c>
      <c r="H594" s="3" t="n">
        <f aca="false">IF(COUNTIFS($D$2:D594,D594,$E$2:E594,E594,$A$2:A594,A594)=1,1,0)</f>
        <v>1</v>
      </c>
    </row>
    <row r="595" customFormat="false" ht="45.75" hidden="false" customHeight="true" outlineLevel="0" collapsed="false">
      <c r="A595" s="3" t="s">
        <v>186</v>
      </c>
      <c r="B595" s="3" t="s">
        <v>9</v>
      </c>
      <c r="C595" s="3" t="s">
        <v>1140</v>
      </c>
      <c r="D595" s="3" t="s">
        <v>1003</v>
      </c>
      <c r="E595" s="3" t="s">
        <v>12</v>
      </c>
      <c r="F595" s="4" t="s">
        <v>1237</v>
      </c>
      <c r="G595" s="4" t="s">
        <v>1238</v>
      </c>
      <c r="H595" s="3" t="n">
        <f aca="false">IF(COUNTIFS($D$2:D595,D595,$E$2:E595,E595,$A$2:A595,A595)=1,1,0)</f>
        <v>0</v>
      </c>
    </row>
    <row r="596" customFormat="false" ht="45.75" hidden="false" customHeight="true" outlineLevel="0" collapsed="false">
      <c r="A596" s="3" t="s">
        <v>186</v>
      </c>
      <c r="B596" s="3" t="s">
        <v>9</v>
      </c>
      <c r="C596" s="3" t="s">
        <v>1140</v>
      </c>
      <c r="D596" s="3" t="s">
        <v>413</v>
      </c>
      <c r="E596" s="3" t="s">
        <v>222</v>
      </c>
      <c r="F596" s="4" t="s">
        <v>1239</v>
      </c>
      <c r="G596" s="4" t="s">
        <v>1240</v>
      </c>
      <c r="H596" s="3" t="n">
        <f aca="false">IF(COUNTIFS($D$2:D596,D596,$E$2:E596,E596,$A$2:A596,A596)=1,1,0)</f>
        <v>1</v>
      </c>
    </row>
    <row r="597" customFormat="false" ht="57" hidden="false" customHeight="true" outlineLevel="0" collapsed="false">
      <c r="A597" s="3" t="s">
        <v>186</v>
      </c>
      <c r="B597" s="3" t="s">
        <v>9</v>
      </c>
      <c r="C597" s="3" t="s">
        <v>1140</v>
      </c>
      <c r="D597" s="3" t="s">
        <v>413</v>
      </c>
      <c r="E597" s="3" t="s">
        <v>96</v>
      </c>
      <c r="F597" s="4" t="s">
        <v>1241</v>
      </c>
      <c r="G597" s="4" t="s">
        <v>1242</v>
      </c>
      <c r="H597" s="3" t="n">
        <f aca="false">IF(COUNTIFS($D$2:D597,D597,$E$2:E597,E597,$A$2:A597,A597)=1,1,0)</f>
        <v>1</v>
      </c>
    </row>
    <row r="598" customFormat="false" ht="45.75" hidden="false" customHeight="true" outlineLevel="0" collapsed="false">
      <c r="A598" s="3" t="s">
        <v>207</v>
      </c>
      <c r="B598" s="3" t="s">
        <v>9</v>
      </c>
      <c r="C598" s="3" t="s">
        <v>1140</v>
      </c>
      <c r="D598" s="3" t="s">
        <v>416</v>
      </c>
      <c r="E598" s="3" t="s">
        <v>12</v>
      </c>
      <c r="F598" s="4" t="s">
        <v>1243</v>
      </c>
      <c r="G598" s="4" t="s">
        <v>1244</v>
      </c>
      <c r="H598" s="3" t="n">
        <f aca="false">IF(COUNTIFS($D$2:D598,D598,$E$2:E598,E598,$A$2:A598,A598)=1,1,0)</f>
        <v>1</v>
      </c>
    </row>
    <row r="599" customFormat="false" ht="45.75" hidden="false" customHeight="true" outlineLevel="0" collapsed="false">
      <c r="A599" s="3" t="s">
        <v>207</v>
      </c>
      <c r="B599" s="3" t="s">
        <v>9</v>
      </c>
      <c r="C599" s="3" t="s">
        <v>1140</v>
      </c>
      <c r="D599" s="3" t="s">
        <v>413</v>
      </c>
      <c r="E599" s="3" t="s">
        <v>222</v>
      </c>
      <c r="F599" s="4" t="s">
        <v>1245</v>
      </c>
      <c r="G599" s="4" t="s">
        <v>1246</v>
      </c>
      <c r="H599" s="3" t="n">
        <f aca="false">IF(COUNTIFS($D$2:D599,D599,$E$2:E599,E599,$A$2:A599,A599)=1,1,0)</f>
        <v>1</v>
      </c>
    </row>
    <row r="600" customFormat="false" ht="79.5" hidden="false" customHeight="true" outlineLevel="0" collapsed="false">
      <c r="A600" s="3" t="s">
        <v>207</v>
      </c>
      <c r="B600" s="3" t="s">
        <v>9</v>
      </c>
      <c r="C600" s="3" t="s">
        <v>1140</v>
      </c>
      <c r="D600" s="3" t="s">
        <v>416</v>
      </c>
      <c r="E600" s="3" t="s">
        <v>12</v>
      </c>
      <c r="F600" s="4" t="s">
        <v>1247</v>
      </c>
      <c r="G600" s="4" t="s">
        <v>1248</v>
      </c>
      <c r="H600" s="3" t="n">
        <f aca="false">IF(COUNTIFS($D$2:D600,D600,$E$2:E600,E600,$A$2:A600,A600)=1,1,0)</f>
        <v>0</v>
      </c>
    </row>
    <row r="601" customFormat="false" ht="90.75" hidden="false" customHeight="true" outlineLevel="0" collapsed="false">
      <c r="A601" s="3" t="s">
        <v>207</v>
      </c>
      <c r="B601" s="3" t="s">
        <v>9</v>
      </c>
      <c r="C601" s="3" t="s">
        <v>1140</v>
      </c>
      <c r="D601" s="3" t="s">
        <v>1003</v>
      </c>
      <c r="E601" s="3" t="s">
        <v>12</v>
      </c>
      <c r="F601" s="4" t="s">
        <v>1249</v>
      </c>
      <c r="G601" s="4" t="s">
        <v>1250</v>
      </c>
      <c r="H601" s="3" t="n">
        <f aca="false">IF(COUNTIFS($D$2:D601,D601,$E$2:E601,E601,$A$2:A601,A601)=1,1,0)</f>
        <v>1</v>
      </c>
    </row>
    <row r="602" customFormat="false" ht="45.75" hidden="false" customHeight="true" outlineLevel="0" collapsed="false">
      <c r="A602" s="3" t="s">
        <v>207</v>
      </c>
      <c r="B602" s="3" t="s">
        <v>9</v>
      </c>
      <c r="C602" s="3" t="s">
        <v>1140</v>
      </c>
      <c r="D602" s="3" t="s">
        <v>69</v>
      </c>
      <c r="E602" s="3" t="s">
        <v>12</v>
      </c>
      <c r="F602" s="4" t="s">
        <v>1251</v>
      </c>
      <c r="G602" s="4" t="s">
        <v>1252</v>
      </c>
      <c r="H602" s="3" t="n">
        <f aca="false">IF(COUNTIFS($D$2:D602,D602,$E$2:E602,E602,$A$2:A602,A602)=1,1,0)</f>
        <v>0</v>
      </c>
    </row>
    <row r="603" customFormat="false" ht="45.75" hidden="false" customHeight="true" outlineLevel="0" collapsed="false">
      <c r="A603" s="3" t="s">
        <v>227</v>
      </c>
      <c r="B603" s="3" t="s">
        <v>9</v>
      </c>
      <c r="C603" s="3" t="s">
        <v>1140</v>
      </c>
      <c r="D603" s="3" t="s">
        <v>69</v>
      </c>
      <c r="E603" s="3" t="s">
        <v>12</v>
      </c>
      <c r="F603" s="4" t="s">
        <v>1253</v>
      </c>
      <c r="G603" s="4" t="s">
        <v>542</v>
      </c>
      <c r="H603" s="3" t="n">
        <f aca="false">IF(COUNTIFS($D$2:D603,D603,$E$2:E603,E603,$A$2:A603,A603)=1,1,0)</f>
        <v>0</v>
      </c>
    </row>
    <row r="604" customFormat="false" ht="57" hidden="false" customHeight="true" outlineLevel="0" collapsed="false">
      <c r="A604" s="3" t="s">
        <v>227</v>
      </c>
      <c r="B604" s="3" t="s">
        <v>9</v>
      </c>
      <c r="C604" s="3" t="s">
        <v>1140</v>
      </c>
      <c r="D604" s="3" t="s">
        <v>416</v>
      </c>
      <c r="E604" s="3" t="s">
        <v>12</v>
      </c>
      <c r="F604" s="4" t="s">
        <v>1254</v>
      </c>
      <c r="G604" s="4" t="s">
        <v>1255</v>
      </c>
      <c r="H604" s="3" t="n">
        <f aca="false">IF(COUNTIFS($D$2:D604,D604,$E$2:E604,E604,$A$2:A604,A604)=1,1,0)</f>
        <v>0</v>
      </c>
    </row>
    <row r="605" customFormat="false" ht="68.25" hidden="false" customHeight="true" outlineLevel="0" collapsed="false">
      <c r="A605" s="3" t="s">
        <v>227</v>
      </c>
      <c r="B605" s="3" t="s">
        <v>9</v>
      </c>
      <c r="C605" s="3" t="s">
        <v>1140</v>
      </c>
      <c r="D605" s="3" t="s">
        <v>413</v>
      </c>
      <c r="E605" s="3" t="s">
        <v>59</v>
      </c>
      <c r="F605" s="4" t="s">
        <v>1256</v>
      </c>
      <c r="G605" s="4" t="s">
        <v>1257</v>
      </c>
      <c r="H605" s="3" t="n">
        <f aca="false">IF(COUNTIFS($D$2:D605,D605,$E$2:E605,E605,$A$2:A605,A605)=1,1,0)</f>
        <v>1</v>
      </c>
    </row>
    <row r="606" customFormat="false" ht="57" hidden="false" customHeight="true" outlineLevel="0" collapsed="false">
      <c r="A606" s="3" t="s">
        <v>251</v>
      </c>
      <c r="B606" s="3" t="s">
        <v>9</v>
      </c>
      <c r="C606" s="3" t="s">
        <v>1140</v>
      </c>
      <c r="D606" s="3" t="s">
        <v>416</v>
      </c>
      <c r="E606" s="3" t="s">
        <v>12</v>
      </c>
      <c r="F606" s="4" t="s">
        <v>1258</v>
      </c>
      <c r="G606" s="4" t="s">
        <v>1259</v>
      </c>
      <c r="H606" s="3" t="n">
        <f aca="false">IF(COUNTIFS($D$2:D606,D606,$E$2:E606,E606,$A$2:A606,A606)=1,1,0)</f>
        <v>1</v>
      </c>
    </row>
    <row r="607" customFormat="false" ht="68.25" hidden="false" customHeight="true" outlineLevel="0" collapsed="false">
      <c r="A607" s="3" t="s">
        <v>251</v>
      </c>
      <c r="B607" s="3" t="s">
        <v>9</v>
      </c>
      <c r="C607" s="3" t="s">
        <v>1140</v>
      </c>
      <c r="D607" s="3" t="s">
        <v>413</v>
      </c>
      <c r="E607" s="3" t="s">
        <v>96</v>
      </c>
      <c r="F607" s="4" t="s">
        <v>1260</v>
      </c>
      <c r="G607" s="4" t="s">
        <v>1261</v>
      </c>
      <c r="H607" s="3" t="n">
        <f aca="false">IF(COUNTIFS($D$2:D607,D607,$E$2:E607,E607,$A$2:A607,A607)=1,1,0)</f>
        <v>0</v>
      </c>
    </row>
    <row r="608" customFormat="false" ht="57" hidden="false" customHeight="true" outlineLevel="0" collapsed="false">
      <c r="A608" s="3" t="s">
        <v>251</v>
      </c>
      <c r="B608" s="3" t="s">
        <v>9</v>
      </c>
      <c r="C608" s="3" t="s">
        <v>1140</v>
      </c>
      <c r="D608" s="3" t="s">
        <v>413</v>
      </c>
      <c r="E608" s="3" t="s">
        <v>96</v>
      </c>
      <c r="F608" s="4" t="s">
        <v>1262</v>
      </c>
      <c r="G608" s="4" t="s">
        <v>1263</v>
      </c>
      <c r="H608" s="3" t="n">
        <f aca="false">IF(COUNTIFS($D$2:D608,D608,$E$2:E608,E608,$A$2:A608,A608)=1,1,0)</f>
        <v>0</v>
      </c>
    </row>
    <row r="609" customFormat="false" ht="57" hidden="false" customHeight="true" outlineLevel="0" collapsed="false">
      <c r="A609" s="3" t="s">
        <v>251</v>
      </c>
      <c r="B609" s="3" t="s">
        <v>9</v>
      </c>
      <c r="C609" s="3" t="s">
        <v>1140</v>
      </c>
      <c r="D609" s="3" t="s">
        <v>413</v>
      </c>
      <c r="E609" s="3" t="s">
        <v>59</v>
      </c>
      <c r="F609" s="4" t="s">
        <v>1264</v>
      </c>
      <c r="G609" s="4" t="s">
        <v>1265</v>
      </c>
      <c r="H609" s="3" t="n">
        <f aca="false">IF(COUNTIFS($D$2:D609,D609,$E$2:E609,E609,$A$2:A609,A609)=1,1,0)</f>
        <v>1</v>
      </c>
    </row>
    <row r="610" customFormat="false" ht="34.5" hidden="false" customHeight="true" outlineLevel="0" collapsed="false">
      <c r="A610" s="3" t="s">
        <v>251</v>
      </c>
      <c r="B610" s="3" t="s">
        <v>9</v>
      </c>
      <c r="C610" s="3" t="s">
        <v>1140</v>
      </c>
      <c r="D610" s="3" t="s">
        <v>413</v>
      </c>
      <c r="E610" s="3" t="s">
        <v>96</v>
      </c>
      <c r="F610" s="4" t="s">
        <v>1266</v>
      </c>
      <c r="G610" s="4" t="s">
        <v>1267</v>
      </c>
      <c r="H610" s="3" t="n">
        <f aca="false">IF(COUNTIFS($D$2:D610,D610,$E$2:E610,E610,$A$2:A610,A610)=1,1,0)</f>
        <v>0</v>
      </c>
    </row>
    <row r="611" customFormat="false" ht="45.75" hidden="false" customHeight="true" outlineLevel="0" collapsed="false">
      <c r="A611" s="3" t="s">
        <v>8</v>
      </c>
      <c r="B611" s="3" t="s">
        <v>9</v>
      </c>
      <c r="C611" s="3" t="s">
        <v>1268</v>
      </c>
      <c r="D611" s="3" t="s">
        <v>952</v>
      </c>
      <c r="E611" s="3" t="s">
        <v>24</v>
      </c>
      <c r="F611" s="4" t="s">
        <v>1269</v>
      </c>
      <c r="G611" s="4" t="s">
        <v>1270</v>
      </c>
      <c r="H611" s="3" t="n">
        <f aca="false">IF(COUNTIFS($D$2:D611,D611,$E$2:E611,E611,$A$2:A611,A611)=1,1,0)</f>
        <v>1</v>
      </c>
    </row>
    <row r="612" customFormat="false" ht="45.75" hidden="false" customHeight="true" outlineLevel="0" collapsed="false">
      <c r="A612" s="3" t="s">
        <v>8</v>
      </c>
      <c r="B612" s="3" t="s">
        <v>9</v>
      </c>
      <c r="C612" s="3" t="s">
        <v>1268</v>
      </c>
      <c r="D612" s="3" t="s">
        <v>1271</v>
      </c>
      <c r="E612" s="3" t="s">
        <v>12</v>
      </c>
      <c r="F612" s="4" t="s">
        <v>1272</v>
      </c>
      <c r="G612" s="4" t="s">
        <v>1273</v>
      </c>
      <c r="H612" s="3" t="n">
        <f aca="false">IF(COUNTIFS($D$2:D612,D612,$E$2:E612,E612,$A$2:A612,A612)=1,1,0)</f>
        <v>1</v>
      </c>
    </row>
    <row r="613" customFormat="false" ht="34.5" hidden="false" customHeight="true" outlineLevel="0" collapsed="false">
      <c r="A613" s="3" t="s">
        <v>8</v>
      </c>
      <c r="B613" s="3" t="s">
        <v>9</v>
      </c>
      <c r="C613" s="3" t="s">
        <v>1268</v>
      </c>
      <c r="D613" s="3" t="s">
        <v>1271</v>
      </c>
      <c r="E613" s="3" t="s">
        <v>24</v>
      </c>
      <c r="F613" s="4" t="s">
        <v>1274</v>
      </c>
      <c r="G613" s="4" t="s">
        <v>1275</v>
      </c>
      <c r="H613" s="3" t="n">
        <f aca="false">IF(COUNTIFS($D$2:D613,D613,$E$2:E613,E613,$A$2:A613,A613)=1,1,0)</f>
        <v>1</v>
      </c>
    </row>
    <row r="614" customFormat="false" ht="45.75" hidden="false" customHeight="true" outlineLevel="0" collapsed="false">
      <c r="A614" s="3" t="s">
        <v>8</v>
      </c>
      <c r="B614" s="3" t="s">
        <v>9</v>
      </c>
      <c r="C614" s="3" t="s">
        <v>1268</v>
      </c>
      <c r="D614" s="3" t="s">
        <v>69</v>
      </c>
      <c r="E614" s="3" t="s">
        <v>24</v>
      </c>
      <c r="F614" s="4" t="s">
        <v>1276</v>
      </c>
      <c r="G614" s="4" t="s">
        <v>1277</v>
      </c>
      <c r="H614" s="3" t="n">
        <f aca="false">IF(COUNTIFS($D$2:D614,D614,$E$2:E614,E614,$A$2:A614,A614)=1,1,0)</f>
        <v>1</v>
      </c>
    </row>
    <row r="615" customFormat="false" ht="57" hidden="false" customHeight="true" outlineLevel="0" collapsed="false">
      <c r="A615" s="3" t="s">
        <v>32</v>
      </c>
      <c r="B615" s="3" t="s">
        <v>9</v>
      </c>
      <c r="C615" s="3" t="s">
        <v>1268</v>
      </c>
      <c r="D615" s="3" t="s">
        <v>1271</v>
      </c>
      <c r="E615" s="3" t="s">
        <v>12</v>
      </c>
      <c r="F615" s="4" t="s">
        <v>1278</v>
      </c>
      <c r="G615" s="4" t="s">
        <v>1279</v>
      </c>
      <c r="H615" s="3" t="n">
        <f aca="false">IF(COUNTIFS($D$2:D615,D615,$E$2:E615,E615,$A$2:A615,A615)=1,1,0)</f>
        <v>1</v>
      </c>
    </row>
    <row r="616" customFormat="false" ht="34.5" hidden="false" customHeight="true" outlineLevel="0" collapsed="false">
      <c r="A616" s="3" t="s">
        <v>32</v>
      </c>
      <c r="B616" s="3" t="s">
        <v>9</v>
      </c>
      <c r="C616" s="3" t="s">
        <v>1268</v>
      </c>
      <c r="D616" s="3" t="s">
        <v>1271</v>
      </c>
      <c r="E616" s="3" t="s">
        <v>96</v>
      </c>
      <c r="F616" s="4" t="s">
        <v>1280</v>
      </c>
      <c r="G616" s="4" t="s">
        <v>1281</v>
      </c>
      <c r="H616" s="3" t="n">
        <f aca="false">IF(COUNTIFS($D$2:D616,D616,$E$2:E616,E616,$A$2:A616,A616)=1,1,0)</f>
        <v>1</v>
      </c>
    </row>
    <row r="617" customFormat="false" ht="45.75" hidden="false" customHeight="true" outlineLevel="0" collapsed="false">
      <c r="A617" s="3" t="s">
        <v>32</v>
      </c>
      <c r="B617" s="3" t="s">
        <v>9</v>
      </c>
      <c r="C617" s="3" t="s">
        <v>1268</v>
      </c>
      <c r="D617" s="3" t="s">
        <v>1271</v>
      </c>
      <c r="E617" s="3" t="s">
        <v>96</v>
      </c>
      <c r="F617" s="4" t="s">
        <v>1282</v>
      </c>
      <c r="G617" s="4" t="s">
        <v>1283</v>
      </c>
      <c r="H617" s="3" t="n">
        <f aca="false">IF(COUNTIFS($D$2:D617,D617,$E$2:E617,E617,$A$2:A617,A617)=1,1,0)</f>
        <v>0</v>
      </c>
    </row>
    <row r="618" customFormat="false" ht="79.5" hidden="false" customHeight="true" outlineLevel="0" collapsed="false">
      <c r="A618" s="3" t="s">
        <v>32</v>
      </c>
      <c r="B618" s="3" t="s">
        <v>9</v>
      </c>
      <c r="C618" s="3" t="s">
        <v>1268</v>
      </c>
      <c r="D618" s="3" t="s">
        <v>1271</v>
      </c>
      <c r="E618" s="3" t="s">
        <v>12</v>
      </c>
      <c r="F618" s="4" t="s">
        <v>1284</v>
      </c>
      <c r="G618" s="4" t="s">
        <v>1285</v>
      </c>
      <c r="H618" s="3" t="n">
        <f aca="false">IF(COUNTIFS($D$2:D618,D618,$E$2:E618,E618,$A$2:A618,A618)=1,1,0)</f>
        <v>0</v>
      </c>
    </row>
    <row r="619" customFormat="false" ht="45.75" hidden="false" customHeight="true" outlineLevel="0" collapsed="false">
      <c r="A619" s="3" t="s">
        <v>32</v>
      </c>
      <c r="B619" s="3" t="s">
        <v>9</v>
      </c>
      <c r="C619" s="3" t="s">
        <v>1268</v>
      </c>
      <c r="D619" s="3" t="s">
        <v>431</v>
      </c>
      <c r="E619" s="3" t="s">
        <v>12</v>
      </c>
      <c r="F619" s="4" t="s">
        <v>1286</v>
      </c>
      <c r="G619" s="4" t="s">
        <v>1287</v>
      </c>
      <c r="H619" s="3" t="n">
        <f aca="false">IF(COUNTIFS($D$2:D619,D619,$E$2:E619,E619,$A$2:A619,A619)=1,1,0)</f>
        <v>0</v>
      </c>
    </row>
    <row r="620" customFormat="false" ht="45.75" hidden="false" customHeight="true" outlineLevel="0" collapsed="false">
      <c r="A620" s="3" t="s">
        <v>32</v>
      </c>
      <c r="B620" s="3" t="s">
        <v>9</v>
      </c>
      <c r="C620" s="3" t="s">
        <v>1268</v>
      </c>
      <c r="D620" s="3" t="s">
        <v>1271</v>
      </c>
      <c r="E620" s="3" t="s">
        <v>12</v>
      </c>
      <c r="F620" s="4" t="s">
        <v>1288</v>
      </c>
      <c r="G620" s="4" t="s">
        <v>1289</v>
      </c>
      <c r="H620" s="3" t="n">
        <f aca="false">IF(COUNTIFS($D$2:D620,D620,$E$2:E620,E620,$A$2:A620,A620)=1,1,0)</f>
        <v>0</v>
      </c>
    </row>
    <row r="621" customFormat="false" ht="34.5" hidden="false" customHeight="true" outlineLevel="0" collapsed="false">
      <c r="A621" s="3" t="s">
        <v>32</v>
      </c>
      <c r="B621" s="3" t="s">
        <v>9</v>
      </c>
      <c r="C621" s="3" t="s">
        <v>1268</v>
      </c>
      <c r="D621" s="3" t="s">
        <v>1271</v>
      </c>
      <c r="E621" s="3" t="s">
        <v>12</v>
      </c>
      <c r="F621" s="4" t="s">
        <v>1290</v>
      </c>
      <c r="G621" s="4" t="s">
        <v>1291</v>
      </c>
      <c r="H621" s="3" t="n">
        <f aca="false">IF(COUNTIFS($D$2:D621,D621,$E$2:E621,E621,$A$2:A621,A621)=1,1,0)</f>
        <v>0</v>
      </c>
    </row>
    <row r="622" customFormat="false" ht="45.75" hidden="false" customHeight="true" outlineLevel="0" collapsed="false">
      <c r="A622" s="3" t="s">
        <v>32</v>
      </c>
      <c r="B622" s="3" t="s">
        <v>9</v>
      </c>
      <c r="C622" s="3" t="s">
        <v>1268</v>
      </c>
      <c r="D622" s="3" t="s">
        <v>1271</v>
      </c>
      <c r="E622" s="3" t="s">
        <v>12</v>
      </c>
      <c r="F622" s="4" t="s">
        <v>1292</v>
      </c>
      <c r="G622" s="4" t="s">
        <v>1293</v>
      </c>
      <c r="H622" s="3" t="n">
        <f aca="false">IF(COUNTIFS($D$2:D622,D622,$E$2:E622,E622,$A$2:A622,A622)=1,1,0)</f>
        <v>0</v>
      </c>
    </row>
    <row r="623" customFormat="false" ht="57" hidden="false" customHeight="true" outlineLevel="0" collapsed="false">
      <c r="A623" s="3" t="s">
        <v>32</v>
      </c>
      <c r="B623" s="3" t="s">
        <v>9</v>
      </c>
      <c r="C623" s="3" t="s">
        <v>1268</v>
      </c>
      <c r="D623" s="3" t="s">
        <v>1271</v>
      </c>
      <c r="E623" s="3" t="s">
        <v>12</v>
      </c>
      <c r="F623" s="4" t="s">
        <v>1294</v>
      </c>
      <c r="G623" s="4" t="s">
        <v>1295</v>
      </c>
      <c r="H623" s="3" t="n">
        <f aca="false">IF(COUNTIFS($D$2:D623,D623,$E$2:E623,E623,$A$2:A623,A623)=1,1,0)</f>
        <v>0</v>
      </c>
    </row>
    <row r="624" customFormat="false" ht="45.75" hidden="false" customHeight="true" outlineLevel="0" collapsed="false">
      <c r="A624" s="3" t="s">
        <v>54</v>
      </c>
      <c r="B624" s="3" t="s">
        <v>9</v>
      </c>
      <c r="C624" s="3" t="s">
        <v>1268</v>
      </c>
      <c r="D624" s="3" t="s">
        <v>1271</v>
      </c>
      <c r="E624" s="3" t="s">
        <v>12</v>
      </c>
      <c r="F624" s="4" t="s">
        <v>1296</v>
      </c>
      <c r="G624" s="4" t="s">
        <v>1297</v>
      </c>
      <c r="H624" s="3" t="n">
        <f aca="false">IF(COUNTIFS($D$2:D624,D624,$E$2:E624,E624,$A$2:A624,A624)=1,1,0)</f>
        <v>1</v>
      </c>
    </row>
    <row r="625" customFormat="false" ht="34.5" hidden="false" customHeight="true" outlineLevel="0" collapsed="false">
      <c r="A625" s="3" t="s">
        <v>54</v>
      </c>
      <c r="B625" s="3" t="s">
        <v>9</v>
      </c>
      <c r="C625" s="3" t="s">
        <v>1268</v>
      </c>
      <c r="D625" s="3" t="s">
        <v>1271</v>
      </c>
      <c r="E625" s="3" t="s">
        <v>12</v>
      </c>
      <c r="F625" s="4" t="s">
        <v>1298</v>
      </c>
      <c r="G625" s="4" t="s">
        <v>1299</v>
      </c>
      <c r="H625" s="3" t="n">
        <f aca="false">IF(COUNTIFS($D$2:D625,D625,$E$2:E625,E625,$A$2:A625,A625)=1,1,0)</f>
        <v>0</v>
      </c>
    </row>
    <row r="626" customFormat="false" ht="45.75" hidden="false" customHeight="true" outlineLevel="0" collapsed="false">
      <c r="A626" s="3" t="s">
        <v>54</v>
      </c>
      <c r="B626" s="3" t="s">
        <v>9</v>
      </c>
      <c r="C626" s="3" t="s">
        <v>1268</v>
      </c>
      <c r="D626" s="3" t="s">
        <v>1271</v>
      </c>
      <c r="E626" s="3" t="s">
        <v>24</v>
      </c>
      <c r="F626" s="4" t="s">
        <v>1300</v>
      </c>
      <c r="G626" s="4" t="s">
        <v>1301</v>
      </c>
      <c r="H626" s="3" t="n">
        <f aca="false">IF(COUNTIFS($D$2:D626,D626,$E$2:E626,E626,$A$2:A626,A626)=1,1,0)</f>
        <v>1</v>
      </c>
    </row>
    <row r="627" customFormat="false" ht="68.25" hidden="false" customHeight="true" outlineLevel="0" collapsed="false">
      <c r="A627" s="3" t="s">
        <v>54</v>
      </c>
      <c r="B627" s="3" t="s">
        <v>9</v>
      </c>
      <c r="C627" s="3" t="s">
        <v>1268</v>
      </c>
      <c r="D627" s="3" t="s">
        <v>69</v>
      </c>
      <c r="E627" s="3" t="s">
        <v>12</v>
      </c>
      <c r="F627" s="4" t="s">
        <v>1302</v>
      </c>
      <c r="G627" s="4" t="s">
        <v>1303</v>
      </c>
      <c r="H627" s="3" t="n">
        <f aca="false">IF(COUNTIFS($D$2:D627,D627,$E$2:E627,E627,$A$2:A627,A627)=1,1,0)</f>
        <v>0</v>
      </c>
    </row>
    <row r="628" customFormat="false" ht="45.75" hidden="false" customHeight="true" outlineLevel="0" collapsed="false">
      <c r="A628" s="3" t="s">
        <v>72</v>
      </c>
      <c r="B628" s="3" t="s">
        <v>9</v>
      </c>
      <c r="C628" s="3" t="s">
        <v>1268</v>
      </c>
      <c r="D628" s="3" t="s">
        <v>952</v>
      </c>
      <c r="E628" s="3" t="s">
        <v>12</v>
      </c>
      <c r="F628" s="4" t="s">
        <v>1304</v>
      </c>
      <c r="G628" s="4" t="s">
        <v>1305</v>
      </c>
      <c r="H628" s="3" t="n">
        <f aca="false">IF(COUNTIFS($D$2:D628,D628,$E$2:E628,E628,$A$2:A628,A628)=1,1,0)</f>
        <v>0</v>
      </c>
    </row>
    <row r="629" customFormat="false" ht="57" hidden="false" customHeight="true" outlineLevel="0" collapsed="false">
      <c r="A629" s="3" t="s">
        <v>72</v>
      </c>
      <c r="B629" s="3" t="s">
        <v>9</v>
      </c>
      <c r="C629" s="3" t="s">
        <v>1268</v>
      </c>
      <c r="D629" s="3" t="s">
        <v>1271</v>
      </c>
      <c r="E629" s="3" t="s">
        <v>12</v>
      </c>
      <c r="F629" s="4" t="s">
        <v>1306</v>
      </c>
      <c r="G629" s="4" t="s">
        <v>1307</v>
      </c>
      <c r="H629" s="3" t="n">
        <f aca="false">IF(COUNTIFS($D$2:D629,D629,$E$2:E629,E629,$A$2:A629,A629)=1,1,0)</f>
        <v>1</v>
      </c>
    </row>
    <row r="630" customFormat="false" ht="34.5" hidden="false" customHeight="true" outlineLevel="0" collapsed="false">
      <c r="A630" s="3" t="s">
        <v>72</v>
      </c>
      <c r="B630" s="3" t="s">
        <v>9</v>
      </c>
      <c r="C630" s="3" t="s">
        <v>1268</v>
      </c>
      <c r="D630" s="3" t="s">
        <v>1271</v>
      </c>
      <c r="E630" s="3" t="s">
        <v>12</v>
      </c>
      <c r="F630" s="4" t="s">
        <v>1308</v>
      </c>
      <c r="G630" s="4" t="s">
        <v>1309</v>
      </c>
      <c r="H630" s="3" t="n">
        <f aca="false">IF(COUNTIFS($D$2:D630,D630,$E$2:E630,E630,$A$2:A630,A630)=1,1,0)</f>
        <v>0</v>
      </c>
    </row>
    <row r="631" customFormat="false" ht="34.5" hidden="false" customHeight="true" outlineLevel="0" collapsed="false">
      <c r="A631" s="3" t="s">
        <v>72</v>
      </c>
      <c r="B631" s="3" t="s">
        <v>9</v>
      </c>
      <c r="C631" s="3" t="s">
        <v>1268</v>
      </c>
      <c r="D631" s="3" t="s">
        <v>1271</v>
      </c>
      <c r="E631" s="3" t="s">
        <v>12</v>
      </c>
      <c r="F631" s="4" t="s">
        <v>1310</v>
      </c>
      <c r="G631" s="4" t="s">
        <v>1311</v>
      </c>
      <c r="H631" s="3" t="n">
        <f aca="false">IF(COUNTIFS($D$2:D631,D631,$E$2:E631,E631,$A$2:A631,A631)=1,1,0)</f>
        <v>0</v>
      </c>
    </row>
    <row r="632" customFormat="false" ht="34.5" hidden="false" customHeight="true" outlineLevel="0" collapsed="false">
      <c r="A632" s="3" t="s">
        <v>72</v>
      </c>
      <c r="B632" s="3" t="s">
        <v>9</v>
      </c>
      <c r="C632" s="3" t="s">
        <v>1268</v>
      </c>
      <c r="D632" s="3" t="s">
        <v>1271</v>
      </c>
      <c r="E632" s="3" t="s">
        <v>12</v>
      </c>
      <c r="F632" s="4" t="s">
        <v>1312</v>
      </c>
      <c r="G632" s="4" t="s">
        <v>1313</v>
      </c>
      <c r="H632" s="3" t="n">
        <f aca="false">IF(COUNTIFS($D$2:D632,D632,$E$2:E632,E632,$A$2:A632,A632)=1,1,0)</f>
        <v>0</v>
      </c>
    </row>
    <row r="633" customFormat="false" ht="45.75" hidden="false" customHeight="true" outlineLevel="0" collapsed="false">
      <c r="A633" s="3" t="s">
        <v>99</v>
      </c>
      <c r="B633" s="3" t="s">
        <v>9</v>
      </c>
      <c r="C633" s="3" t="s">
        <v>1268</v>
      </c>
      <c r="D633" s="3" t="s">
        <v>952</v>
      </c>
      <c r="E633" s="3" t="s">
        <v>222</v>
      </c>
      <c r="F633" s="4" t="s">
        <v>1314</v>
      </c>
      <c r="G633" s="4" t="s">
        <v>1315</v>
      </c>
      <c r="H633" s="3" t="n">
        <f aca="false">IF(COUNTIFS($D$2:D633,D633,$E$2:E633,E633,$A$2:A633,A633)=1,1,0)</f>
        <v>1</v>
      </c>
    </row>
    <row r="634" customFormat="false" ht="57" hidden="false" customHeight="true" outlineLevel="0" collapsed="false">
      <c r="A634" s="3" t="s">
        <v>99</v>
      </c>
      <c r="B634" s="3" t="s">
        <v>9</v>
      </c>
      <c r="C634" s="3" t="s">
        <v>1268</v>
      </c>
      <c r="D634" s="3" t="s">
        <v>1271</v>
      </c>
      <c r="E634" s="3" t="s">
        <v>12</v>
      </c>
      <c r="F634" s="4" t="s">
        <v>1316</v>
      </c>
      <c r="G634" s="4" t="s">
        <v>1317</v>
      </c>
      <c r="H634" s="3" t="n">
        <f aca="false">IF(COUNTIFS($D$2:D634,D634,$E$2:E634,E634,$A$2:A634,A634)=1,1,0)</f>
        <v>1</v>
      </c>
    </row>
    <row r="635" customFormat="false" ht="34.5" hidden="false" customHeight="true" outlineLevel="0" collapsed="false">
      <c r="A635" s="3" t="s">
        <v>99</v>
      </c>
      <c r="B635" s="3" t="s">
        <v>9</v>
      </c>
      <c r="C635" s="3" t="s">
        <v>1268</v>
      </c>
      <c r="D635" s="3" t="s">
        <v>112</v>
      </c>
      <c r="E635" s="3" t="s">
        <v>12</v>
      </c>
      <c r="F635" s="4" t="s">
        <v>1318</v>
      </c>
      <c r="G635" s="4" t="s">
        <v>1319</v>
      </c>
      <c r="H635" s="3" t="n">
        <f aca="false">IF(COUNTIFS($D$2:D635,D635,$E$2:E635,E635,$A$2:A635,A635)=1,1,0)</f>
        <v>0</v>
      </c>
    </row>
    <row r="636" customFormat="false" ht="57" hidden="false" customHeight="true" outlineLevel="0" collapsed="false">
      <c r="A636" s="3" t="s">
        <v>99</v>
      </c>
      <c r="B636" s="3" t="s">
        <v>9</v>
      </c>
      <c r="C636" s="3" t="s">
        <v>1268</v>
      </c>
      <c r="D636" s="3" t="s">
        <v>413</v>
      </c>
      <c r="E636" s="3" t="s">
        <v>12</v>
      </c>
      <c r="F636" s="4" t="s">
        <v>1320</v>
      </c>
      <c r="G636" s="4" t="s">
        <v>1321</v>
      </c>
      <c r="H636" s="3" t="n">
        <f aca="false">IF(COUNTIFS($D$2:D636,D636,$E$2:E636,E636,$A$2:A636,A636)=1,1,0)</f>
        <v>1</v>
      </c>
    </row>
    <row r="637" customFormat="false" ht="68.25" hidden="false" customHeight="true" outlineLevel="0" collapsed="false">
      <c r="A637" s="3" t="s">
        <v>99</v>
      </c>
      <c r="B637" s="3" t="s">
        <v>9</v>
      </c>
      <c r="C637" s="3" t="s">
        <v>1268</v>
      </c>
      <c r="D637" s="3" t="s">
        <v>619</v>
      </c>
      <c r="E637" s="3" t="s">
        <v>222</v>
      </c>
      <c r="F637" s="4" t="s">
        <v>1322</v>
      </c>
      <c r="G637" s="4" t="s">
        <v>1323</v>
      </c>
      <c r="H637" s="3" t="n">
        <f aca="false">IF(COUNTIFS($D$2:D637,D637,$E$2:E637,E637,$A$2:A637,A637)=1,1,0)</f>
        <v>0</v>
      </c>
    </row>
    <row r="638" customFormat="false" ht="34.5" hidden="false" customHeight="true" outlineLevel="0" collapsed="false">
      <c r="A638" s="3" t="s">
        <v>120</v>
      </c>
      <c r="B638" s="3" t="s">
        <v>9</v>
      </c>
      <c r="C638" s="3" t="s">
        <v>1268</v>
      </c>
      <c r="D638" s="3" t="s">
        <v>1271</v>
      </c>
      <c r="E638" s="3" t="s">
        <v>12</v>
      </c>
      <c r="F638" s="4" t="s">
        <v>1324</v>
      </c>
      <c r="G638" s="4" t="s">
        <v>1325</v>
      </c>
      <c r="H638" s="3" t="n">
        <f aca="false">IF(COUNTIFS($D$2:D638,D638,$E$2:E638,E638,$A$2:A638,A638)=1,1,0)</f>
        <v>1</v>
      </c>
    </row>
    <row r="639" customFormat="false" ht="45.75" hidden="false" customHeight="true" outlineLevel="0" collapsed="false">
      <c r="A639" s="3" t="s">
        <v>120</v>
      </c>
      <c r="B639" s="3" t="s">
        <v>9</v>
      </c>
      <c r="C639" s="3" t="s">
        <v>1268</v>
      </c>
      <c r="D639" s="3" t="s">
        <v>1271</v>
      </c>
      <c r="E639" s="3" t="s">
        <v>12</v>
      </c>
      <c r="F639" s="4" t="s">
        <v>1326</v>
      </c>
      <c r="G639" s="4" t="s">
        <v>1327</v>
      </c>
      <c r="H639" s="3" t="n">
        <f aca="false">IF(COUNTIFS($D$2:D639,D639,$E$2:E639,E639,$A$2:A639,A639)=1,1,0)</f>
        <v>0</v>
      </c>
    </row>
    <row r="640" customFormat="false" ht="34.5" hidden="false" customHeight="true" outlineLevel="0" collapsed="false">
      <c r="A640" s="3" t="s">
        <v>120</v>
      </c>
      <c r="B640" s="3" t="s">
        <v>9</v>
      </c>
      <c r="C640" s="3" t="s">
        <v>1268</v>
      </c>
      <c r="D640" s="3" t="s">
        <v>69</v>
      </c>
      <c r="E640" s="3" t="s">
        <v>12</v>
      </c>
      <c r="F640" s="4" t="s">
        <v>1328</v>
      </c>
      <c r="G640" s="4" t="s">
        <v>1329</v>
      </c>
      <c r="H640" s="3" t="n">
        <f aca="false">IF(COUNTIFS($D$2:D640,D640,$E$2:E640,E640,$A$2:A640,A640)=1,1,0)</f>
        <v>0</v>
      </c>
    </row>
    <row r="641" customFormat="false" ht="34.5" hidden="false" customHeight="true" outlineLevel="0" collapsed="false">
      <c r="A641" s="3" t="s">
        <v>120</v>
      </c>
      <c r="B641" s="3" t="s">
        <v>9</v>
      </c>
      <c r="C641" s="3" t="s">
        <v>1268</v>
      </c>
      <c r="D641" s="3" t="s">
        <v>69</v>
      </c>
      <c r="E641" s="3" t="s">
        <v>12</v>
      </c>
      <c r="F641" s="4" t="s">
        <v>1330</v>
      </c>
      <c r="G641" s="4" t="s">
        <v>1331</v>
      </c>
      <c r="H641" s="3" t="n">
        <f aca="false">IF(COUNTIFS($D$2:D641,D641,$E$2:E641,E641,$A$2:A641,A641)=1,1,0)</f>
        <v>0</v>
      </c>
    </row>
    <row r="642" customFormat="false" ht="23.25" hidden="false" customHeight="true" outlineLevel="0" collapsed="false">
      <c r="A642" s="3" t="s">
        <v>120</v>
      </c>
      <c r="B642" s="3" t="s">
        <v>9</v>
      </c>
      <c r="C642" s="3" t="s">
        <v>1268</v>
      </c>
      <c r="D642" s="3" t="s">
        <v>117</v>
      </c>
      <c r="E642" s="3" t="s">
        <v>12</v>
      </c>
      <c r="F642" s="4" t="s">
        <v>1332</v>
      </c>
      <c r="G642" s="4" t="s">
        <v>1333</v>
      </c>
      <c r="H642" s="3" t="n">
        <f aca="false">IF(COUNTIFS($D$2:D642,D642,$E$2:E642,E642,$A$2:A642,A642)=1,1,0)</f>
        <v>1</v>
      </c>
    </row>
    <row r="643" customFormat="false" ht="45.75" hidden="false" customHeight="true" outlineLevel="0" collapsed="false">
      <c r="A643" s="3" t="s">
        <v>120</v>
      </c>
      <c r="B643" s="3" t="s">
        <v>9</v>
      </c>
      <c r="C643" s="3" t="s">
        <v>1268</v>
      </c>
      <c r="D643" s="3" t="s">
        <v>117</v>
      </c>
      <c r="E643" s="3" t="s">
        <v>12</v>
      </c>
      <c r="F643" s="4" t="s">
        <v>1334</v>
      </c>
      <c r="G643" s="4" t="s">
        <v>1335</v>
      </c>
      <c r="H643" s="3" t="n">
        <f aca="false">IF(COUNTIFS($D$2:D643,D643,$E$2:E643,E643,$A$2:A643,A643)=1,1,0)</f>
        <v>0</v>
      </c>
    </row>
    <row r="644" customFormat="false" ht="45.75" hidden="false" customHeight="true" outlineLevel="0" collapsed="false">
      <c r="A644" s="3" t="s">
        <v>120</v>
      </c>
      <c r="B644" s="3" t="s">
        <v>9</v>
      </c>
      <c r="C644" s="3" t="s">
        <v>1268</v>
      </c>
      <c r="D644" s="3" t="s">
        <v>117</v>
      </c>
      <c r="E644" s="3" t="s">
        <v>12</v>
      </c>
      <c r="F644" s="4" t="s">
        <v>1336</v>
      </c>
      <c r="G644" s="4" t="s">
        <v>1337</v>
      </c>
      <c r="H644" s="3" t="n">
        <f aca="false">IF(COUNTIFS($D$2:D644,D644,$E$2:E644,E644,$A$2:A644,A644)=1,1,0)</f>
        <v>0</v>
      </c>
    </row>
    <row r="645" customFormat="false" ht="45.75" hidden="false" customHeight="true" outlineLevel="0" collapsed="false">
      <c r="A645" s="3" t="s">
        <v>120</v>
      </c>
      <c r="B645" s="3" t="s">
        <v>9</v>
      </c>
      <c r="C645" s="3" t="s">
        <v>1268</v>
      </c>
      <c r="D645" s="3" t="s">
        <v>117</v>
      </c>
      <c r="E645" s="3" t="s">
        <v>12</v>
      </c>
      <c r="F645" s="4" t="s">
        <v>1338</v>
      </c>
      <c r="G645" s="4" t="s">
        <v>1339</v>
      </c>
      <c r="H645" s="3" t="n">
        <f aca="false">IF(COUNTIFS($D$2:D645,D645,$E$2:E645,E645,$A$2:A645,A645)=1,1,0)</f>
        <v>0</v>
      </c>
    </row>
    <row r="646" customFormat="false" ht="45.75" hidden="false" customHeight="true" outlineLevel="0" collapsed="false">
      <c r="A646" s="3" t="s">
        <v>143</v>
      </c>
      <c r="B646" s="3" t="s">
        <v>9</v>
      </c>
      <c r="C646" s="3" t="s">
        <v>1268</v>
      </c>
      <c r="D646" s="3" t="s">
        <v>1271</v>
      </c>
      <c r="E646" s="3" t="s">
        <v>12</v>
      </c>
      <c r="F646" s="4" t="s">
        <v>1340</v>
      </c>
      <c r="G646" s="4" t="s">
        <v>1341</v>
      </c>
      <c r="H646" s="3" t="n">
        <f aca="false">IF(COUNTIFS($D$2:D646,D646,$E$2:E646,E646,$A$2:A646,A646)=1,1,0)</f>
        <v>1</v>
      </c>
    </row>
    <row r="647" customFormat="false" ht="34.5" hidden="false" customHeight="true" outlineLevel="0" collapsed="false">
      <c r="A647" s="3" t="s">
        <v>143</v>
      </c>
      <c r="B647" s="3" t="s">
        <v>9</v>
      </c>
      <c r="C647" s="3" t="s">
        <v>1268</v>
      </c>
      <c r="D647" s="3" t="s">
        <v>69</v>
      </c>
      <c r="E647" s="3" t="s">
        <v>12</v>
      </c>
      <c r="F647" s="4" t="s">
        <v>1342</v>
      </c>
      <c r="G647" s="4" t="s">
        <v>1343</v>
      </c>
      <c r="H647" s="3" t="n">
        <f aca="false">IF(COUNTIFS($D$2:D647,D647,$E$2:E647,E647,$A$2:A647,A647)=1,1,0)</f>
        <v>1</v>
      </c>
    </row>
    <row r="648" customFormat="false" ht="45.75" hidden="false" customHeight="true" outlineLevel="0" collapsed="false">
      <c r="A648" s="3" t="s">
        <v>150</v>
      </c>
      <c r="B648" s="3" t="s">
        <v>9</v>
      </c>
      <c r="C648" s="3" t="s">
        <v>1268</v>
      </c>
      <c r="D648" s="3" t="s">
        <v>69</v>
      </c>
      <c r="E648" s="3" t="s">
        <v>24</v>
      </c>
      <c r="F648" s="4" t="s">
        <v>1344</v>
      </c>
      <c r="G648" s="4" t="s">
        <v>1345</v>
      </c>
      <c r="H648" s="3" t="n">
        <f aca="false">IF(COUNTIFS($D$2:D648,D648,$E$2:E648,E648,$A$2:A648,A648)=1,1,0)</f>
        <v>1</v>
      </c>
    </row>
    <row r="649" customFormat="false" ht="34.5" hidden="false" customHeight="true" outlineLevel="0" collapsed="false">
      <c r="A649" s="3" t="s">
        <v>150</v>
      </c>
      <c r="B649" s="3" t="s">
        <v>9</v>
      </c>
      <c r="C649" s="3" t="s">
        <v>1268</v>
      </c>
      <c r="D649" s="3" t="s">
        <v>1271</v>
      </c>
      <c r="E649" s="3" t="s">
        <v>12</v>
      </c>
      <c r="F649" s="4" t="s">
        <v>1346</v>
      </c>
      <c r="G649" s="4"/>
      <c r="H649" s="3" t="n">
        <f aca="false">IF(COUNTIFS($D$2:D649,D649,$E$2:E649,E649,$A$2:A649,A649)=1,1,0)</f>
        <v>1</v>
      </c>
    </row>
    <row r="650" customFormat="false" ht="34.5" hidden="false" customHeight="true" outlineLevel="0" collapsed="false">
      <c r="A650" s="3" t="s">
        <v>150</v>
      </c>
      <c r="B650" s="3" t="s">
        <v>9</v>
      </c>
      <c r="C650" s="3" t="s">
        <v>1268</v>
      </c>
      <c r="D650" s="3" t="s">
        <v>69</v>
      </c>
      <c r="E650" s="3" t="s">
        <v>12</v>
      </c>
      <c r="F650" s="4" t="s">
        <v>1347</v>
      </c>
      <c r="G650" s="4" t="s">
        <v>1348</v>
      </c>
      <c r="H650" s="3" t="n">
        <f aca="false">IF(COUNTIFS($D$2:D650,D650,$E$2:E650,E650,$A$2:A650,A650)=1,1,0)</f>
        <v>0</v>
      </c>
    </row>
    <row r="651" customFormat="false" ht="34.5" hidden="false" customHeight="true" outlineLevel="0" collapsed="false">
      <c r="A651" s="3" t="s">
        <v>150</v>
      </c>
      <c r="B651" s="3" t="s">
        <v>9</v>
      </c>
      <c r="C651" s="3" t="s">
        <v>1268</v>
      </c>
      <c r="D651" s="3" t="s">
        <v>69</v>
      </c>
      <c r="E651" s="3" t="s">
        <v>12</v>
      </c>
      <c r="F651" s="4" t="s">
        <v>1349</v>
      </c>
      <c r="G651" s="4" t="s">
        <v>1350</v>
      </c>
      <c r="H651" s="3" t="n">
        <f aca="false">IF(COUNTIFS($D$2:D651,D651,$E$2:E651,E651,$A$2:A651,A651)=1,1,0)</f>
        <v>0</v>
      </c>
    </row>
    <row r="652" customFormat="false" ht="34.5" hidden="false" customHeight="true" outlineLevel="0" collapsed="false">
      <c r="A652" s="3" t="s">
        <v>171</v>
      </c>
      <c r="B652" s="3" t="s">
        <v>9</v>
      </c>
      <c r="C652" s="3" t="s">
        <v>1268</v>
      </c>
      <c r="D652" s="3" t="s">
        <v>1271</v>
      </c>
      <c r="E652" s="3" t="s">
        <v>12</v>
      </c>
      <c r="F652" s="4" t="s">
        <v>1351</v>
      </c>
      <c r="G652" s="4" t="s">
        <v>1352</v>
      </c>
      <c r="H652" s="3" t="n">
        <f aca="false">IF(COUNTIFS($D$2:D652,D652,$E$2:E652,E652,$A$2:A652,A652)=1,1,0)</f>
        <v>1</v>
      </c>
    </row>
    <row r="653" customFormat="false" ht="34.5" hidden="false" customHeight="true" outlineLevel="0" collapsed="false">
      <c r="A653" s="3" t="s">
        <v>171</v>
      </c>
      <c r="B653" s="3" t="s">
        <v>9</v>
      </c>
      <c r="C653" s="3" t="s">
        <v>1268</v>
      </c>
      <c r="D653" s="3" t="s">
        <v>619</v>
      </c>
      <c r="E653" s="3" t="s">
        <v>12</v>
      </c>
      <c r="F653" s="4" t="s">
        <v>1353</v>
      </c>
      <c r="G653" s="4" t="s">
        <v>1354</v>
      </c>
      <c r="H653" s="3" t="n">
        <f aca="false">IF(COUNTIFS($D$2:D653,D653,$E$2:E653,E653,$A$2:A653,A653)=1,1,0)</f>
        <v>0</v>
      </c>
    </row>
    <row r="654" customFormat="false" ht="79.5" hidden="false" customHeight="true" outlineLevel="0" collapsed="false">
      <c r="A654" s="3" t="s">
        <v>171</v>
      </c>
      <c r="B654" s="3" t="s">
        <v>9</v>
      </c>
      <c r="C654" s="3" t="s">
        <v>1268</v>
      </c>
      <c r="D654" s="3" t="s">
        <v>69</v>
      </c>
      <c r="E654" s="3" t="s">
        <v>24</v>
      </c>
      <c r="F654" s="4" t="s">
        <v>1355</v>
      </c>
      <c r="G654" s="4" t="s">
        <v>1356</v>
      </c>
      <c r="H654" s="3" t="n">
        <f aca="false">IF(COUNTIFS($D$2:D654,D654,$E$2:E654,E654,$A$2:A654,A654)=1,1,0)</f>
        <v>1</v>
      </c>
    </row>
    <row r="655" customFormat="false" ht="23.25" hidden="false" customHeight="true" outlineLevel="0" collapsed="false">
      <c r="A655" s="3" t="s">
        <v>171</v>
      </c>
      <c r="B655" s="3" t="s">
        <v>9</v>
      </c>
      <c r="C655" s="3" t="s">
        <v>1268</v>
      </c>
      <c r="D655" s="3" t="s">
        <v>1271</v>
      </c>
      <c r="E655" s="3" t="s">
        <v>12</v>
      </c>
      <c r="F655" s="4" t="s">
        <v>1357</v>
      </c>
      <c r="G655" s="4" t="s">
        <v>1358</v>
      </c>
      <c r="H655" s="3" t="n">
        <f aca="false">IF(COUNTIFS($D$2:D655,D655,$E$2:E655,E655,$A$2:A655,A655)=1,1,0)</f>
        <v>0</v>
      </c>
    </row>
    <row r="656" customFormat="false" ht="45.75" hidden="false" customHeight="true" outlineLevel="0" collapsed="false">
      <c r="A656" s="3" t="s">
        <v>186</v>
      </c>
      <c r="B656" s="3" t="s">
        <v>9</v>
      </c>
      <c r="C656" s="3" t="s">
        <v>1268</v>
      </c>
      <c r="D656" s="3" t="s">
        <v>112</v>
      </c>
      <c r="E656" s="3" t="s">
        <v>12</v>
      </c>
      <c r="F656" s="4" t="s">
        <v>1359</v>
      </c>
      <c r="G656" s="4" t="s">
        <v>1360</v>
      </c>
      <c r="H656" s="3" t="n">
        <f aca="false">IF(COUNTIFS($D$2:D656,D656,$E$2:E656,E656,$A$2:A656,A656)=1,1,0)</f>
        <v>0</v>
      </c>
    </row>
    <row r="657" customFormat="false" ht="45.75" hidden="false" customHeight="true" outlineLevel="0" collapsed="false">
      <c r="A657" s="3" t="s">
        <v>186</v>
      </c>
      <c r="B657" s="3" t="s">
        <v>9</v>
      </c>
      <c r="C657" s="3" t="s">
        <v>1268</v>
      </c>
      <c r="D657" s="3" t="s">
        <v>117</v>
      </c>
      <c r="E657" s="3" t="s">
        <v>24</v>
      </c>
      <c r="F657" s="4" t="s">
        <v>1361</v>
      </c>
      <c r="G657" s="4" t="s">
        <v>1362</v>
      </c>
      <c r="H657" s="3" t="n">
        <f aca="false">IF(COUNTIFS($D$2:D657,D657,$E$2:E657,E657,$A$2:A657,A657)=1,1,0)</f>
        <v>1</v>
      </c>
    </row>
    <row r="658" customFormat="false" ht="45.75" hidden="false" customHeight="true" outlineLevel="0" collapsed="false">
      <c r="A658" s="3" t="s">
        <v>186</v>
      </c>
      <c r="B658" s="3" t="s">
        <v>9</v>
      </c>
      <c r="C658" s="3" t="s">
        <v>1268</v>
      </c>
      <c r="D658" s="3" t="s">
        <v>952</v>
      </c>
      <c r="E658" s="3" t="s">
        <v>12</v>
      </c>
      <c r="F658" s="4" t="s">
        <v>1363</v>
      </c>
      <c r="G658" s="4" t="s">
        <v>1364</v>
      </c>
      <c r="H658" s="3" t="n">
        <f aca="false">IF(COUNTIFS($D$2:D658,D658,$E$2:E658,E658,$A$2:A658,A658)=1,1,0)</f>
        <v>0</v>
      </c>
    </row>
    <row r="659" customFormat="false" ht="34.5" hidden="false" customHeight="true" outlineLevel="0" collapsed="false">
      <c r="A659" s="3" t="s">
        <v>207</v>
      </c>
      <c r="B659" s="3" t="s">
        <v>9</v>
      </c>
      <c r="C659" s="3" t="s">
        <v>1268</v>
      </c>
      <c r="D659" s="3" t="s">
        <v>1271</v>
      </c>
      <c r="E659" s="3" t="s">
        <v>12</v>
      </c>
      <c r="F659" s="4" t="s">
        <v>1365</v>
      </c>
      <c r="G659" s="4" t="s">
        <v>1366</v>
      </c>
      <c r="H659" s="3" t="n">
        <f aca="false">IF(COUNTIFS($D$2:D659,D659,$E$2:E659,E659,$A$2:A659,A659)=1,1,0)</f>
        <v>1</v>
      </c>
    </row>
    <row r="660" customFormat="false" ht="79.5" hidden="false" customHeight="true" outlineLevel="0" collapsed="false">
      <c r="A660" s="3" t="s">
        <v>207</v>
      </c>
      <c r="B660" s="3" t="s">
        <v>9</v>
      </c>
      <c r="C660" s="3" t="s">
        <v>1268</v>
      </c>
      <c r="D660" s="3" t="s">
        <v>952</v>
      </c>
      <c r="E660" s="3" t="s">
        <v>12</v>
      </c>
      <c r="F660" s="4" t="s">
        <v>1367</v>
      </c>
      <c r="G660" s="4" t="s">
        <v>1368</v>
      </c>
      <c r="H660" s="3" t="n">
        <f aca="false">IF(COUNTIFS($D$2:D660,D660,$E$2:E660,E660,$A$2:A660,A660)=1,1,0)</f>
        <v>1</v>
      </c>
    </row>
    <row r="661" customFormat="false" ht="57" hidden="false" customHeight="true" outlineLevel="0" collapsed="false">
      <c r="A661" s="3" t="s">
        <v>207</v>
      </c>
      <c r="B661" s="3" t="s">
        <v>9</v>
      </c>
      <c r="C661" s="3" t="s">
        <v>1268</v>
      </c>
      <c r="D661" s="3" t="s">
        <v>69</v>
      </c>
      <c r="E661" s="3" t="s">
        <v>12</v>
      </c>
      <c r="F661" s="4" t="s">
        <v>1369</v>
      </c>
      <c r="G661" s="4" t="s">
        <v>1370</v>
      </c>
      <c r="H661" s="3" t="n">
        <f aca="false">IF(COUNTIFS($D$2:D661,D661,$E$2:E661,E661,$A$2:A661,A661)=1,1,0)</f>
        <v>0</v>
      </c>
    </row>
    <row r="662" customFormat="false" ht="45.75" hidden="false" customHeight="true" outlineLevel="0" collapsed="false">
      <c r="A662" s="3" t="s">
        <v>207</v>
      </c>
      <c r="B662" s="3" t="s">
        <v>9</v>
      </c>
      <c r="C662" s="3" t="s">
        <v>1268</v>
      </c>
      <c r="D662" s="3" t="s">
        <v>416</v>
      </c>
      <c r="E662" s="3" t="s">
        <v>12</v>
      </c>
      <c r="F662" s="4" t="s">
        <v>1371</v>
      </c>
      <c r="G662" s="4" t="s">
        <v>1372</v>
      </c>
      <c r="H662" s="3" t="n">
        <f aca="false">IF(COUNTIFS($D$2:D662,D662,$E$2:E662,E662,$A$2:A662,A662)=1,1,0)</f>
        <v>0</v>
      </c>
    </row>
    <row r="663" customFormat="false" ht="34.5" hidden="false" customHeight="true" outlineLevel="0" collapsed="false">
      <c r="A663" s="3" t="s">
        <v>227</v>
      </c>
      <c r="B663" s="3" t="s">
        <v>9</v>
      </c>
      <c r="C663" s="3" t="s">
        <v>1268</v>
      </c>
      <c r="D663" s="3" t="s">
        <v>1271</v>
      </c>
      <c r="E663" s="3" t="s">
        <v>12</v>
      </c>
      <c r="F663" s="4" t="s">
        <v>1373</v>
      </c>
      <c r="G663" s="4" t="s">
        <v>1374</v>
      </c>
      <c r="H663" s="3" t="n">
        <f aca="false">IF(COUNTIFS($D$2:D663,D663,$E$2:E663,E663,$A$2:A663,A663)=1,1,0)</f>
        <v>1</v>
      </c>
    </row>
    <row r="664" customFormat="false" ht="45.75" hidden="false" customHeight="true" outlineLevel="0" collapsed="false">
      <c r="A664" s="3" t="s">
        <v>227</v>
      </c>
      <c r="B664" s="3" t="s">
        <v>9</v>
      </c>
      <c r="C664" s="3" t="s">
        <v>1268</v>
      </c>
      <c r="D664" s="3" t="s">
        <v>1271</v>
      </c>
      <c r="E664" s="3" t="s">
        <v>12</v>
      </c>
      <c r="F664" s="4" t="s">
        <v>1375</v>
      </c>
      <c r="G664" s="4" t="s">
        <v>1376</v>
      </c>
      <c r="H664" s="3" t="n">
        <f aca="false">IF(COUNTIFS($D$2:D664,D664,$E$2:E664,E664,$A$2:A664,A664)=1,1,0)</f>
        <v>0</v>
      </c>
    </row>
    <row r="665" customFormat="false" ht="23.25" hidden="false" customHeight="true" outlineLevel="0" collapsed="false">
      <c r="A665" s="3" t="s">
        <v>227</v>
      </c>
      <c r="B665" s="3" t="s">
        <v>9</v>
      </c>
      <c r="C665" s="3" t="s">
        <v>1268</v>
      </c>
      <c r="D665" s="3" t="s">
        <v>1271</v>
      </c>
      <c r="E665" s="3" t="s">
        <v>12</v>
      </c>
      <c r="F665" s="4" t="s">
        <v>1377</v>
      </c>
      <c r="G665" s="4" t="s">
        <v>1378</v>
      </c>
      <c r="H665" s="3" t="n">
        <f aca="false">IF(COUNTIFS($D$2:D665,D665,$E$2:E665,E665,$A$2:A665,A665)=1,1,0)</f>
        <v>0</v>
      </c>
    </row>
    <row r="666" customFormat="false" ht="45.75" hidden="false" customHeight="true" outlineLevel="0" collapsed="false">
      <c r="A666" s="3" t="s">
        <v>227</v>
      </c>
      <c r="B666" s="3" t="s">
        <v>9</v>
      </c>
      <c r="C666" s="3" t="s">
        <v>1268</v>
      </c>
      <c r="D666" s="3" t="s">
        <v>1271</v>
      </c>
      <c r="E666" s="3" t="s">
        <v>59</v>
      </c>
      <c r="F666" s="4" t="s">
        <v>1379</v>
      </c>
      <c r="G666" s="4" t="s">
        <v>1380</v>
      </c>
      <c r="H666" s="3" t="n">
        <f aca="false">IF(COUNTIFS($D$2:D666,D666,$E$2:E666,E666,$A$2:A666,A666)=1,1,0)</f>
        <v>1</v>
      </c>
    </row>
    <row r="667" customFormat="false" ht="45.75" hidden="false" customHeight="true" outlineLevel="0" collapsed="false">
      <c r="A667" s="3" t="s">
        <v>227</v>
      </c>
      <c r="B667" s="3" t="s">
        <v>9</v>
      </c>
      <c r="C667" s="3" t="s">
        <v>1268</v>
      </c>
      <c r="D667" s="3" t="s">
        <v>1271</v>
      </c>
      <c r="E667" s="3" t="s">
        <v>96</v>
      </c>
      <c r="F667" s="4" t="s">
        <v>1381</v>
      </c>
      <c r="G667" s="4" t="s">
        <v>1382</v>
      </c>
      <c r="H667" s="3" t="n">
        <f aca="false">IF(COUNTIFS($D$2:D667,D667,$E$2:E667,E667,$A$2:A667,A667)=1,1,0)</f>
        <v>1</v>
      </c>
    </row>
    <row r="668" customFormat="false" ht="45.75" hidden="false" customHeight="true" outlineLevel="0" collapsed="false">
      <c r="A668" s="3" t="s">
        <v>227</v>
      </c>
      <c r="B668" s="3" t="s">
        <v>9</v>
      </c>
      <c r="C668" s="3" t="s">
        <v>1268</v>
      </c>
      <c r="D668" s="3" t="s">
        <v>1271</v>
      </c>
      <c r="E668" s="3" t="s">
        <v>59</v>
      </c>
      <c r="F668" s="4" t="s">
        <v>1383</v>
      </c>
      <c r="G668" s="4" t="s">
        <v>1384</v>
      </c>
      <c r="H668" s="3" t="n">
        <f aca="false">IF(COUNTIFS($D$2:D668,D668,$E$2:E668,E668,$A$2:A668,A668)=1,1,0)</f>
        <v>0</v>
      </c>
    </row>
    <row r="669" customFormat="false" ht="57" hidden="false" customHeight="true" outlineLevel="0" collapsed="false">
      <c r="A669" s="3" t="s">
        <v>227</v>
      </c>
      <c r="B669" s="3" t="s">
        <v>9</v>
      </c>
      <c r="C669" s="3" t="s">
        <v>1268</v>
      </c>
      <c r="D669" s="3" t="s">
        <v>473</v>
      </c>
      <c r="E669" s="3" t="s">
        <v>12</v>
      </c>
      <c r="F669" s="4" t="s">
        <v>1385</v>
      </c>
      <c r="G669" s="4" t="s">
        <v>1386</v>
      </c>
      <c r="H669" s="3" t="n">
        <f aca="false">IF(COUNTIFS($D$2:D669,D669,$E$2:E669,E669,$A$2:A669,A669)=1,1,0)</f>
        <v>1</v>
      </c>
    </row>
    <row r="670" customFormat="false" ht="57" hidden="false" customHeight="true" outlineLevel="0" collapsed="false">
      <c r="A670" s="3" t="s">
        <v>227</v>
      </c>
      <c r="B670" s="3" t="s">
        <v>9</v>
      </c>
      <c r="C670" s="3" t="s">
        <v>1268</v>
      </c>
      <c r="D670" s="3" t="s">
        <v>1271</v>
      </c>
      <c r="E670" s="3" t="s">
        <v>59</v>
      </c>
      <c r="F670" s="4" t="s">
        <v>1387</v>
      </c>
      <c r="G670" s="4" t="s">
        <v>1388</v>
      </c>
      <c r="H670" s="3" t="n">
        <f aca="false">IF(COUNTIFS($D$2:D670,D670,$E$2:E670,E670,$A$2:A670,A670)=1,1,0)</f>
        <v>0</v>
      </c>
    </row>
    <row r="671" customFormat="false" ht="57" hidden="false" customHeight="true" outlineLevel="0" collapsed="false">
      <c r="A671" s="3" t="s">
        <v>227</v>
      </c>
      <c r="B671" s="3" t="s">
        <v>9</v>
      </c>
      <c r="C671" s="3" t="s">
        <v>1268</v>
      </c>
      <c r="D671" s="3" t="s">
        <v>1271</v>
      </c>
      <c r="E671" s="3" t="s">
        <v>96</v>
      </c>
      <c r="F671" s="4" t="s">
        <v>1389</v>
      </c>
      <c r="G671" s="4" t="s">
        <v>1390</v>
      </c>
      <c r="H671" s="3" t="n">
        <f aca="false">IF(COUNTIFS($D$2:D671,D671,$E$2:E671,E671,$A$2:A671,A671)=1,1,0)</f>
        <v>0</v>
      </c>
    </row>
    <row r="672" customFormat="false" ht="45.75" hidden="false" customHeight="true" outlineLevel="0" collapsed="false">
      <c r="A672" s="3" t="s">
        <v>227</v>
      </c>
      <c r="B672" s="3" t="s">
        <v>9</v>
      </c>
      <c r="C672" s="3" t="s">
        <v>1268</v>
      </c>
      <c r="D672" s="3" t="s">
        <v>1271</v>
      </c>
      <c r="E672" s="3" t="s">
        <v>12</v>
      </c>
      <c r="F672" s="4" t="s">
        <v>1391</v>
      </c>
      <c r="G672" s="4"/>
      <c r="H672" s="3" t="n">
        <f aca="false">IF(COUNTIFS($D$2:D672,D672,$E$2:E672,E672,$A$2:A672,A672)=1,1,0)</f>
        <v>0</v>
      </c>
    </row>
    <row r="673" customFormat="false" ht="57" hidden="false" customHeight="true" outlineLevel="0" collapsed="false">
      <c r="A673" s="3" t="s">
        <v>251</v>
      </c>
      <c r="B673" s="3" t="s">
        <v>9</v>
      </c>
      <c r="C673" s="3" t="s">
        <v>1268</v>
      </c>
      <c r="D673" s="3" t="s">
        <v>1271</v>
      </c>
      <c r="E673" s="3" t="s">
        <v>96</v>
      </c>
      <c r="F673" s="4" t="s">
        <v>1392</v>
      </c>
      <c r="G673" s="4" t="s">
        <v>1393</v>
      </c>
      <c r="H673" s="3" t="n">
        <f aca="false">IF(COUNTIFS($D$2:D673,D673,$E$2:E673,E673,$A$2:A673,A673)=1,1,0)</f>
        <v>1</v>
      </c>
    </row>
    <row r="674" customFormat="false" ht="45.75" hidden="false" customHeight="true" outlineLevel="0" collapsed="false">
      <c r="A674" s="3" t="s">
        <v>251</v>
      </c>
      <c r="B674" s="3" t="s">
        <v>9</v>
      </c>
      <c r="C674" s="3" t="s">
        <v>1268</v>
      </c>
      <c r="D674" s="3" t="s">
        <v>1271</v>
      </c>
      <c r="E674" s="3" t="s">
        <v>222</v>
      </c>
      <c r="F674" s="4" t="s">
        <v>1394</v>
      </c>
      <c r="G674" s="4" t="s">
        <v>1395</v>
      </c>
      <c r="H674" s="3" t="n">
        <f aca="false">IF(COUNTIFS($D$2:D674,D674,$E$2:E674,E674,$A$2:A674,A674)=1,1,0)</f>
        <v>1</v>
      </c>
    </row>
    <row r="675" customFormat="false" ht="23.25" hidden="false" customHeight="true" outlineLevel="0" collapsed="false">
      <c r="A675" s="3" t="s">
        <v>251</v>
      </c>
      <c r="B675" s="3" t="s">
        <v>9</v>
      </c>
      <c r="C675" s="3" t="s">
        <v>1268</v>
      </c>
      <c r="D675" s="3" t="s">
        <v>69</v>
      </c>
      <c r="E675" s="3" t="s">
        <v>12</v>
      </c>
      <c r="F675" s="4" t="s">
        <v>1396</v>
      </c>
      <c r="G675" s="4" t="s">
        <v>1397</v>
      </c>
      <c r="H675" s="3" t="n">
        <f aca="false">IF(COUNTIFS($D$2:D675,D675,$E$2:E675,E675,$A$2:A675,A675)=1,1,0)</f>
        <v>1</v>
      </c>
    </row>
    <row r="676" customFormat="false" ht="45.75" hidden="false" customHeight="true" outlineLevel="0" collapsed="false">
      <c r="A676" s="3" t="s">
        <v>251</v>
      </c>
      <c r="B676" s="3" t="s">
        <v>9</v>
      </c>
      <c r="C676" s="3" t="s">
        <v>1268</v>
      </c>
      <c r="D676" s="3" t="s">
        <v>69</v>
      </c>
      <c r="E676" s="3" t="s">
        <v>12</v>
      </c>
      <c r="F676" s="4" t="s">
        <v>1398</v>
      </c>
      <c r="G676" s="4" t="s">
        <v>1399</v>
      </c>
      <c r="H676" s="3" t="n">
        <f aca="false">IF(COUNTIFS($D$2:D676,D676,$E$2:E676,E676,$A$2:A676,A676)=1,1,0)</f>
        <v>0</v>
      </c>
    </row>
    <row r="677" customFormat="false" ht="34.5" hidden="false" customHeight="true" outlineLevel="0" collapsed="false">
      <c r="A677" s="3" t="s">
        <v>251</v>
      </c>
      <c r="B677" s="3" t="s">
        <v>9</v>
      </c>
      <c r="C677" s="3" t="s">
        <v>1268</v>
      </c>
      <c r="D677" s="3" t="s">
        <v>69</v>
      </c>
      <c r="E677" s="3" t="s">
        <v>12</v>
      </c>
      <c r="F677" s="4" t="s">
        <v>1400</v>
      </c>
      <c r="G677" s="4" t="s">
        <v>1401</v>
      </c>
      <c r="H677" s="3" t="n">
        <f aca="false">IF(COUNTIFS($D$2:D677,D677,$E$2:E677,E677,$A$2:A677,A677)=1,1,0)</f>
        <v>0</v>
      </c>
    </row>
    <row r="678" customFormat="false" ht="57" hidden="false" customHeight="true" outlineLevel="0" collapsed="false">
      <c r="A678" s="3" t="s">
        <v>8</v>
      </c>
      <c r="B678" s="3" t="s">
        <v>9</v>
      </c>
      <c r="C678" s="3" t="s">
        <v>1402</v>
      </c>
      <c r="D678" s="3" t="s">
        <v>486</v>
      </c>
      <c r="E678" s="3" t="s">
        <v>12</v>
      </c>
      <c r="F678" s="4" t="s">
        <v>1403</v>
      </c>
      <c r="G678" s="4" t="s">
        <v>1404</v>
      </c>
      <c r="H678" s="3" t="n">
        <f aca="false">IF(COUNTIFS($D$2:D678,D678,$E$2:E678,E678,$A$2:A678,A678)=1,1,0)</f>
        <v>0</v>
      </c>
    </row>
    <row r="679" customFormat="false" ht="23.25" hidden="false" customHeight="true" outlineLevel="0" collapsed="false">
      <c r="A679" s="3" t="s">
        <v>8</v>
      </c>
      <c r="B679" s="3" t="s">
        <v>9</v>
      </c>
      <c r="C679" s="3" t="s">
        <v>1402</v>
      </c>
      <c r="D679" s="3" t="s">
        <v>470</v>
      </c>
      <c r="E679" s="3" t="s">
        <v>12</v>
      </c>
      <c r="F679" s="4" t="s">
        <v>1405</v>
      </c>
      <c r="G679" s="4" t="s">
        <v>1406</v>
      </c>
      <c r="H679" s="3" t="n">
        <f aca="false">IF(COUNTIFS($D$2:D679,D679,$E$2:E679,E679,$A$2:A679,A679)=1,1,0)</f>
        <v>1</v>
      </c>
    </row>
    <row r="680" customFormat="false" ht="45.75" hidden="false" customHeight="true" outlineLevel="0" collapsed="false">
      <c r="A680" s="3" t="s">
        <v>8</v>
      </c>
      <c r="B680" s="3" t="s">
        <v>9</v>
      </c>
      <c r="C680" s="3" t="s">
        <v>1402</v>
      </c>
      <c r="D680" s="3" t="s">
        <v>470</v>
      </c>
      <c r="E680" s="3" t="s">
        <v>12</v>
      </c>
      <c r="F680" s="4" t="s">
        <v>1407</v>
      </c>
      <c r="G680" s="4" t="s">
        <v>1408</v>
      </c>
      <c r="H680" s="3" t="n">
        <f aca="false">IF(COUNTIFS($D$2:D680,D680,$E$2:E680,E680,$A$2:A680,A680)=1,1,0)</f>
        <v>0</v>
      </c>
    </row>
    <row r="681" customFormat="false" ht="45.75" hidden="false" customHeight="true" outlineLevel="0" collapsed="false">
      <c r="A681" s="3" t="s">
        <v>8</v>
      </c>
      <c r="B681" s="3" t="s">
        <v>9</v>
      </c>
      <c r="C681" s="3" t="s">
        <v>1402</v>
      </c>
      <c r="D681" s="3" t="s">
        <v>470</v>
      </c>
      <c r="E681" s="3" t="s">
        <v>12</v>
      </c>
      <c r="F681" s="4" t="s">
        <v>1409</v>
      </c>
      <c r="G681" s="4" t="s">
        <v>1410</v>
      </c>
      <c r="H681" s="3" t="n">
        <f aca="false">IF(COUNTIFS($D$2:D681,D681,$E$2:E681,E681,$A$2:A681,A681)=1,1,0)</f>
        <v>0</v>
      </c>
    </row>
    <row r="682" customFormat="false" ht="45.75" hidden="false" customHeight="true" outlineLevel="0" collapsed="false">
      <c r="A682" s="3" t="s">
        <v>8</v>
      </c>
      <c r="B682" s="3" t="s">
        <v>9</v>
      </c>
      <c r="C682" s="3" t="s">
        <v>1402</v>
      </c>
      <c r="D682" s="3" t="s">
        <v>1411</v>
      </c>
      <c r="E682" s="3" t="s">
        <v>24</v>
      </c>
      <c r="F682" s="4" t="s">
        <v>1412</v>
      </c>
      <c r="G682" s="4" t="s">
        <v>1413</v>
      </c>
      <c r="H682" s="3" t="n">
        <f aca="false">IF(COUNTIFS($D$2:D682,D682,$E$2:E682,E682,$A$2:A682,A682)=1,1,0)</f>
        <v>1</v>
      </c>
    </row>
    <row r="683" customFormat="false" ht="57" hidden="false" customHeight="true" outlineLevel="0" collapsed="false">
      <c r="A683" s="3" t="s">
        <v>8</v>
      </c>
      <c r="B683" s="3" t="s">
        <v>9</v>
      </c>
      <c r="C683" s="3" t="s">
        <v>1402</v>
      </c>
      <c r="D683" s="3" t="s">
        <v>1411</v>
      </c>
      <c r="E683" s="3" t="s">
        <v>24</v>
      </c>
      <c r="F683" s="4" t="s">
        <v>1414</v>
      </c>
      <c r="G683" s="4" t="s">
        <v>1415</v>
      </c>
      <c r="H683" s="3" t="n">
        <f aca="false">IF(COUNTIFS($D$2:D683,D683,$E$2:E683,E683,$A$2:A683,A683)=1,1,0)</f>
        <v>0</v>
      </c>
    </row>
    <row r="684" customFormat="false" ht="57" hidden="false" customHeight="true" outlineLevel="0" collapsed="false">
      <c r="A684" s="3" t="s">
        <v>8</v>
      </c>
      <c r="B684" s="3" t="s">
        <v>9</v>
      </c>
      <c r="C684" s="3" t="s">
        <v>1402</v>
      </c>
      <c r="D684" s="3" t="s">
        <v>1416</v>
      </c>
      <c r="E684" s="3" t="s">
        <v>12</v>
      </c>
      <c r="F684" s="4" t="s">
        <v>1417</v>
      </c>
      <c r="G684" s="4" t="s">
        <v>1418</v>
      </c>
      <c r="H684" s="3" t="n">
        <f aca="false">IF(COUNTIFS($D$2:D684,D684,$E$2:E684,E684,$A$2:A684,A684)=1,1,0)</f>
        <v>1</v>
      </c>
    </row>
    <row r="685" customFormat="false" ht="57" hidden="false" customHeight="true" outlineLevel="0" collapsed="false">
      <c r="A685" s="3" t="s">
        <v>32</v>
      </c>
      <c r="B685" s="3" t="s">
        <v>9</v>
      </c>
      <c r="C685" s="3" t="s">
        <v>1402</v>
      </c>
      <c r="D685" s="3" t="s">
        <v>1411</v>
      </c>
      <c r="E685" s="3" t="s">
        <v>24</v>
      </c>
      <c r="F685" s="4" t="s">
        <v>1419</v>
      </c>
      <c r="G685" s="4" t="s">
        <v>1420</v>
      </c>
      <c r="H685" s="3" t="n">
        <f aca="false">IF(COUNTIFS($D$2:D685,D685,$E$2:E685,E685,$A$2:A685,A685)=1,1,0)</f>
        <v>1</v>
      </c>
    </row>
    <row r="686" customFormat="false" ht="45.75" hidden="false" customHeight="true" outlineLevel="0" collapsed="false">
      <c r="A686" s="3" t="s">
        <v>32</v>
      </c>
      <c r="B686" s="3" t="s">
        <v>9</v>
      </c>
      <c r="C686" s="3" t="s">
        <v>1402</v>
      </c>
      <c r="D686" s="3" t="s">
        <v>470</v>
      </c>
      <c r="E686" s="3" t="s">
        <v>222</v>
      </c>
      <c r="F686" s="4" t="s">
        <v>1421</v>
      </c>
      <c r="G686" s="4" t="s">
        <v>1422</v>
      </c>
      <c r="H686" s="3" t="n">
        <f aca="false">IF(COUNTIFS($D$2:D686,D686,$E$2:E686,E686,$A$2:A686,A686)=1,1,0)</f>
        <v>1</v>
      </c>
    </row>
    <row r="687" customFormat="false" ht="45.75" hidden="false" customHeight="true" outlineLevel="0" collapsed="false">
      <c r="A687" s="3" t="s">
        <v>32</v>
      </c>
      <c r="B687" s="3" t="s">
        <v>9</v>
      </c>
      <c r="C687" s="3" t="s">
        <v>1402</v>
      </c>
      <c r="D687" s="3" t="s">
        <v>470</v>
      </c>
      <c r="E687" s="3" t="s">
        <v>12</v>
      </c>
      <c r="F687" s="4" t="s">
        <v>1423</v>
      </c>
      <c r="G687" s="4" t="s">
        <v>1424</v>
      </c>
      <c r="H687" s="3" t="n">
        <f aca="false">IF(COUNTIFS($D$2:D687,D687,$E$2:E687,E687,$A$2:A687,A687)=1,1,0)</f>
        <v>1</v>
      </c>
    </row>
    <row r="688" customFormat="false" ht="45.75" hidden="false" customHeight="true" outlineLevel="0" collapsed="false">
      <c r="A688" s="3" t="s">
        <v>32</v>
      </c>
      <c r="B688" s="3" t="s">
        <v>9</v>
      </c>
      <c r="C688" s="3" t="s">
        <v>1402</v>
      </c>
      <c r="D688" s="3" t="s">
        <v>486</v>
      </c>
      <c r="E688" s="3" t="s">
        <v>96</v>
      </c>
      <c r="F688" s="4" t="s">
        <v>1425</v>
      </c>
      <c r="G688" s="4" t="s">
        <v>1426</v>
      </c>
      <c r="H688" s="3" t="n">
        <f aca="false">IF(COUNTIFS($D$2:D688,D688,$E$2:E688,E688,$A$2:A688,A688)=1,1,0)</f>
        <v>0</v>
      </c>
    </row>
    <row r="689" customFormat="false" ht="34.5" hidden="false" customHeight="true" outlineLevel="0" collapsed="false">
      <c r="A689" s="3" t="s">
        <v>32</v>
      </c>
      <c r="B689" s="3" t="s">
        <v>9</v>
      </c>
      <c r="C689" s="3" t="s">
        <v>1402</v>
      </c>
      <c r="D689" s="3" t="s">
        <v>486</v>
      </c>
      <c r="E689" s="3" t="s">
        <v>222</v>
      </c>
      <c r="F689" s="4" t="s">
        <v>1427</v>
      </c>
      <c r="G689" s="4" t="s">
        <v>1428</v>
      </c>
      <c r="H689" s="3" t="n">
        <f aca="false">IF(COUNTIFS($D$2:D689,D689,$E$2:E689,E689,$A$2:A689,A689)=1,1,0)</f>
        <v>1</v>
      </c>
    </row>
    <row r="690" customFormat="false" ht="34.5" hidden="false" customHeight="true" outlineLevel="0" collapsed="false">
      <c r="A690" s="3" t="s">
        <v>32</v>
      </c>
      <c r="B690" s="3" t="s">
        <v>9</v>
      </c>
      <c r="C690" s="3" t="s">
        <v>1402</v>
      </c>
      <c r="D690" s="3" t="s">
        <v>117</v>
      </c>
      <c r="E690" s="3" t="s">
        <v>12</v>
      </c>
      <c r="F690" s="4" t="s">
        <v>1429</v>
      </c>
      <c r="G690" s="4" t="s">
        <v>1430</v>
      </c>
      <c r="H690" s="3" t="n">
        <f aca="false">IF(COUNTIFS($D$2:D690,D690,$E$2:E690,E690,$A$2:A690,A690)=1,1,0)</f>
        <v>1</v>
      </c>
    </row>
    <row r="691" customFormat="false" ht="68.25" hidden="false" customHeight="true" outlineLevel="0" collapsed="false">
      <c r="A691" s="3" t="s">
        <v>32</v>
      </c>
      <c r="B691" s="3" t="s">
        <v>9</v>
      </c>
      <c r="C691" s="3" t="s">
        <v>1402</v>
      </c>
      <c r="D691" s="3" t="s">
        <v>117</v>
      </c>
      <c r="E691" s="3" t="s">
        <v>24</v>
      </c>
      <c r="F691" s="4" t="s">
        <v>1431</v>
      </c>
      <c r="G691" s="4" t="s">
        <v>1432</v>
      </c>
      <c r="H691" s="3" t="n">
        <f aca="false">IF(COUNTIFS($D$2:D691,D691,$E$2:E691,E691,$A$2:A691,A691)=1,1,0)</f>
        <v>1</v>
      </c>
    </row>
    <row r="692" customFormat="false" ht="34.5" hidden="false" customHeight="true" outlineLevel="0" collapsed="false">
      <c r="A692" s="3" t="s">
        <v>32</v>
      </c>
      <c r="B692" s="3" t="s">
        <v>9</v>
      </c>
      <c r="C692" s="3" t="s">
        <v>1402</v>
      </c>
      <c r="D692" s="3" t="s">
        <v>117</v>
      </c>
      <c r="E692" s="3" t="s">
        <v>59</v>
      </c>
      <c r="F692" s="4" t="s">
        <v>1433</v>
      </c>
      <c r="G692" s="4" t="s">
        <v>1434</v>
      </c>
      <c r="H692" s="3" t="n">
        <f aca="false">IF(COUNTIFS($D$2:D692,D692,$E$2:E692,E692,$A$2:A692,A692)=1,1,0)</f>
        <v>1</v>
      </c>
    </row>
    <row r="693" customFormat="false" ht="68.25" hidden="false" customHeight="true" outlineLevel="0" collapsed="false">
      <c r="A693" s="3" t="s">
        <v>32</v>
      </c>
      <c r="B693" s="3" t="s">
        <v>9</v>
      </c>
      <c r="C693" s="3" t="s">
        <v>1402</v>
      </c>
      <c r="D693" s="3" t="s">
        <v>486</v>
      </c>
      <c r="E693" s="3" t="s">
        <v>96</v>
      </c>
      <c r="F693" s="4" t="s">
        <v>1435</v>
      </c>
      <c r="G693" s="4" t="s">
        <v>1436</v>
      </c>
      <c r="H693" s="3" t="n">
        <f aca="false">IF(COUNTIFS($D$2:D693,D693,$E$2:E693,E693,$A$2:A693,A693)=1,1,0)</f>
        <v>0</v>
      </c>
    </row>
    <row r="694" customFormat="false" ht="23.25" hidden="false" customHeight="true" outlineLevel="0" collapsed="false">
      <c r="A694" s="3" t="s">
        <v>54</v>
      </c>
      <c r="B694" s="3" t="s">
        <v>9</v>
      </c>
      <c r="C694" s="3" t="s">
        <v>1402</v>
      </c>
      <c r="D694" s="3" t="s">
        <v>1411</v>
      </c>
      <c r="E694" s="3" t="s">
        <v>12</v>
      </c>
      <c r="F694" s="4" t="s">
        <v>1437</v>
      </c>
      <c r="G694" s="4" t="s">
        <v>1438</v>
      </c>
      <c r="H694" s="3" t="n">
        <f aca="false">IF(COUNTIFS($D$2:D694,D694,$E$2:E694,E694,$A$2:A694,A694)=1,1,0)</f>
        <v>1</v>
      </c>
    </row>
    <row r="695" customFormat="false" ht="45.75" hidden="false" customHeight="true" outlineLevel="0" collapsed="false">
      <c r="A695" s="3" t="s">
        <v>54</v>
      </c>
      <c r="B695" s="3" t="s">
        <v>9</v>
      </c>
      <c r="C695" s="3" t="s">
        <v>1402</v>
      </c>
      <c r="D695" s="3" t="s">
        <v>1411</v>
      </c>
      <c r="E695" s="3" t="s">
        <v>24</v>
      </c>
      <c r="F695" s="4" t="s">
        <v>1439</v>
      </c>
      <c r="G695" s="4" t="s">
        <v>1440</v>
      </c>
      <c r="H695" s="3" t="n">
        <f aca="false">IF(COUNTIFS($D$2:D695,D695,$E$2:E695,E695,$A$2:A695,A695)=1,1,0)</f>
        <v>1</v>
      </c>
    </row>
    <row r="696" customFormat="false" ht="23.25" hidden="false" customHeight="true" outlineLevel="0" collapsed="false">
      <c r="A696" s="3" t="s">
        <v>54</v>
      </c>
      <c r="B696" s="3" t="s">
        <v>9</v>
      </c>
      <c r="C696" s="3" t="s">
        <v>1402</v>
      </c>
      <c r="D696" s="3" t="s">
        <v>470</v>
      </c>
      <c r="E696" s="3" t="s">
        <v>12</v>
      </c>
      <c r="F696" s="4" t="s">
        <v>1441</v>
      </c>
      <c r="G696" s="4" t="s">
        <v>1442</v>
      </c>
      <c r="H696" s="3" t="n">
        <f aca="false">IF(COUNTIFS($D$2:D696,D696,$E$2:E696,E696,$A$2:A696,A696)=1,1,0)</f>
        <v>1</v>
      </c>
    </row>
    <row r="697" customFormat="false" ht="45.75" hidden="false" customHeight="true" outlineLevel="0" collapsed="false">
      <c r="A697" s="3" t="s">
        <v>54</v>
      </c>
      <c r="B697" s="3" t="s">
        <v>9</v>
      </c>
      <c r="C697" s="3" t="s">
        <v>1402</v>
      </c>
      <c r="D697" s="3" t="s">
        <v>1416</v>
      </c>
      <c r="E697" s="3" t="s">
        <v>12</v>
      </c>
      <c r="F697" s="4" t="s">
        <v>1443</v>
      </c>
      <c r="G697" s="4" t="s">
        <v>1444</v>
      </c>
      <c r="H697" s="3" t="n">
        <f aca="false">IF(COUNTIFS($D$2:D697,D697,$E$2:E697,E697,$A$2:A697,A697)=1,1,0)</f>
        <v>1</v>
      </c>
    </row>
    <row r="698" customFormat="false" ht="34.5" hidden="false" customHeight="true" outlineLevel="0" collapsed="false">
      <c r="A698" s="3" t="s">
        <v>54</v>
      </c>
      <c r="B698" s="3" t="s">
        <v>9</v>
      </c>
      <c r="C698" s="3" t="s">
        <v>1402</v>
      </c>
      <c r="D698" s="3" t="s">
        <v>1416</v>
      </c>
      <c r="E698" s="3" t="s">
        <v>59</v>
      </c>
      <c r="F698" s="4" t="s">
        <v>1445</v>
      </c>
      <c r="G698" s="4" t="s">
        <v>1446</v>
      </c>
      <c r="H698" s="3" t="n">
        <f aca="false">IF(COUNTIFS($D$2:D698,D698,$E$2:E698,E698,$A$2:A698,A698)=1,1,0)</f>
        <v>1</v>
      </c>
    </row>
    <row r="699" customFormat="false" ht="57" hidden="false" customHeight="true" outlineLevel="0" collapsed="false">
      <c r="A699" s="3" t="s">
        <v>54</v>
      </c>
      <c r="B699" s="3" t="s">
        <v>9</v>
      </c>
      <c r="C699" s="3" t="s">
        <v>1402</v>
      </c>
      <c r="D699" s="3" t="s">
        <v>470</v>
      </c>
      <c r="E699" s="3" t="s">
        <v>24</v>
      </c>
      <c r="F699" s="4" t="s">
        <v>1447</v>
      </c>
      <c r="G699" s="4" t="s">
        <v>1448</v>
      </c>
      <c r="H699" s="3" t="n">
        <f aca="false">IF(COUNTIFS($D$2:D699,D699,$E$2:E699,E699,$A$2:A699,A699)=1,1,0)</f>
        <v>1</v>
      </c>
    </row>
    <row r="700" customFormat="false" ht="45.75" hidden="false" customHeight="true" outlineLevel="0" collapsed="false">
      <c r="A700" s="3" t="s">
        <v>54</v>
      </c>
      <c r="B700" s="3" t="s">
        <v>9</v>
      </c>
      <c r="C700" s="3" t="s">
        <v>1402</v>
      </c>
      <c r="D700" s="3" t="s">
        <v>19</v>
      </c>
      <c r="E700" s="3" t="s">
        <v>96</v>
      </c>
      <c r="F700" s="4" t="s">
        <v>1449</v>
      </c>
      <c r="G700" s="4" t="s">
        <v>1450</v>
      </c>
      <c r="H700" s="3" t="n">
        <f aca="false">IF(COUNTIFS($D$2:D700,D700,$E$2:E700,E700,$A$2:A700,A700)=1,1,0)</f>
        <v>1</v>
      </c>
    </row>
    <row r="701" customFormat="false" ht="34.5" hidden="false" customHeight="true" outlineLevel="0" collapsed="false">
      <c r="A701" s="3" t="s">
        <v>72</v>
      </c>
      <c r="B701" s="3" t="s">
        <v>9</v>
      </c>
      <c r="C701" s="3" t="s">
        <v>1402</v>
      </c>
      <c r="D701" s="3" t="s">
        <v>470</v>
      </c>
      <c r="E701" s="3" t="s">
        <v>12</v>
      </c>
      <c r="F701" s="4" t="s">
        <v>1451</v>
      </c>
      <c r="G701" s="4" t="s">
        <v>1452</v>
      </c>
      <c r="H701" s="3" t="n">
        <f aca="false">IF(COUNTIFS($D$2:D701,D701,$E$2:E701,E701,$A$2:A701,A701)=1,1,0)</f>
        <v>1</v>
      </c>
    </row>
    <row r="702" customFormat="false" ht="23.25" hidden="false" customHeight="true" outlineLevel="0" collapsed="false">
      <c r="A702" s="3" t="s">
        <v>72</v>
      </c>
      <c r="B702" s="3" t="s">
        <v>9</v>
      </c>
      <c r="C702" s="3" t="s">
        <v>1402</v>
      </c>
      <c r="D702" s="3" t="s">
        <v>470</v>
      </c>
      <c r="E702" s="3" t="s">
        <v>12</v>
      </c>
      <c r="F702" s="4" t="s">
        <v>1453</v>
      </c>
      <c r="G702" s="4" t="s">
        <v>1454</v>
      </c>
      <c r="H702" s="3" t="n">
        <f aca="false">IF(COUNTIFS($D$2:D702,D702,$E$2:E702,E702,$A$2:A702,A702)=1,1,0)</f>
        <v>0</v>
      </c>
    </row>
    <row r="703" customFormat="false" ht="68.25" hidden="false" customHeight="true" outlineLevel="0" collapsed="false">
      <c r="A703" s="3" t="s">
        <v>72</v>
      </c>
      <c r="B703" s="3" t="s">
        <v>9</v>
      </c>
      <c r="C703" s="3" t="s">
        <v>1402</v>
      </c>
      <c r="D703" s="3" t="s">
        <v>234</v>
      </c>
      <c r="E703" s="3" t="s">
        <v>12</v>
      </c>
      <c r="F703" s="4" t="s">
        <v>1455</v>
      </c>
      <c r="G703" s="4" t="s">
        <v>1456</v>
      </c>
      <c r="H703" s="3" t="n">
        <f aca="false">IF(COUNTIFS($D$2:D703,D703,$E$2:E703,E703,$A$2:A703,A703)=1,1,0)</f>
        <v>1</v>
      </c>
    </row>
    <row r="704" customFormat="false" ht="34.5" hidden="false" customHeight="true" outlineLevel="0" collapsed="false">
      <c r="A704" s="3" t="s">
        <v>72</v>
      </c>
      <c r="B704" s="3" t="s">
        <v>9</v>
      </c>
      <c r="C704" s="3" t="s">
        <v>1402</v>
      </c>
      <c r="D704" s="3" t="s">
        <v>1411</v>
      </c>
      <c r="E704" s="3" t="s">
        <v>59</v>
      </c>
      <c r="F704" s="4" t="s">
        <v>1457</v>
      </c>
      <c r="G704" s="4" t="s">
        <v>1458</v>
      </c>
      <c r="H704" s="3" t="n">
        <f aca="false">IF(COUNTIFS($D$2:D704,D704,$E$2:E704,E704,$A$2:A704,A704)=1,1,0)</f>
        <v>1</v>
      </c>
    </row>
    <row r="705" customFormat="false" ht="45.75" hidden="false" customHeight="true" outlineLevel="0" collapsed="false">
      <c r="A705" s="3" t="s">
        <v>72</v>
      </c>
      <c r="B705" s="3" t="s">
        <v>9</v>
      </c>
      <c r="C705" s="3" t="s">
        <v>1402</v>
      </c>
      <c r="D705" s="3" t="s">
        <v>117</v>
      </c>
      <c r="E705" s="3" t="s">
        <v>12</v>
      </c>
      <c r="F705" s="4" t="s">
        <v>1459</v>
      </c>
      <c r="G705" s="4" t="s">
        <v>1460</v>
      </c>
      <c r="H705" s="3" t="n">
        <f aca="false">IF(COUNTIFS($D$2:D705,D705,$E$2:E705,E705,$A$2:A705,A705)=1,1,0)</f>
        <v>1</v>
      </c>
    </row>
    <row r="706" customFormat="false" ht="57" hidden="false" customHeight="true" outlineLevel="0" collapsed="false">
      <c r="A706" s="3" t="s">
        <v>72</v>
      </c>
      <c r="B706" s="3" t="s">
        <v>9</v>
      </c>
      <c r="C706" s="3" t="s">
        <v>1402</v>
      </c>
      <c r="D706" s="3" t="s">
        <v>117</v>
      </c>
      <c r="E706" s="3" t="s">
        <v>222</v>
      </c>
      <c r="F706" s="4" t="s">
        <v>1461</v>
      </c>
      <c r="G706" s="4" t="s">
        <v>1462</v>
      </c>
      <c r="H706" s="3" t="n">
        <f aca="false">IF(COUNTIFS($D$2:D706,D706,$E$2:E706,E706,$A$2:A706,A706)=1,1,0)</f>
        <v>1</v>
      </c>
    </row>
    <row r="707" customFormat="false" ht="23.25" hidden="false" customHeight="true" outlineLevel="0" collapsed="false">
      <c r="A707" s="3" t="s">
        <v>99</v>
      </c>
      <c r="B707" s="3" t="s">
        <v>9</v>
      </c>
      <c r="C707" s="3" t="s">
        <v>1402</v>
      </c>
      <c r="D707" s="3" t="s">
        <v>486</v>
      </c>
      <c r="E707" s="3" t="s">
        <v>24</v>
      </c>
      <c r="F707" s="4" t="s">
        <v>1463</v>
      </c>
      <c r="G707" s="4" t="s">
        <v>1464</v>
      </c>
      <c r="H707" s="3" t="n">
        <f aca="false">IF(COUNTIFS($D$2:D707,D707,$E$2:E707,E707,$A$2:A707,A707)=1,1,0)</f>
        <v>0</v>
      </c>
    </row>
    <row r="708" customFormat="false" ht="45.75" hidden="false" customHeight="true" outlineLevel="0" collapsed="false">
      <c r="A708" s="3" t="s">
        <v>99</v>
      </c>
      <c r="B708" s="3" t="s">
        <v>9</v>
      </c>
      <c r="C708" s="3" t="s">
        <v>1402</v>
      </c>
      <c r="D708" s="3" t="s">
        <v>1411</v>
      </c>
      <c r="E708" s="3" t="s">
        <v>96</v>
      </c>
      <c r="F708" s="4" t="s">
        <v>1465</v>
      </c>
      <c r="G708" s="4" t="s">
        <v>1466</v>
      </c>
      <c r="H708" s="3" t="n">
        <f aca="false">IF(COUNTIFS($D$2:D708,D708,$E$2:E708,E708,$A$2:A708,A708)=1,1,0)</f>
        <v>1</v>
      </c>
    </row>
    <row r="709" customFormat="false" ht="57" hidden="false" customHeight="true" outlineLevel="0" collapsed="false">
      <c r="A709" s="3" t="s">
        <v>99</v>
      </c>
      <c r="B709" s="3" t="s">
        <v>9</v>
      </c>
      <c r="C709" s="3" t="s">
        <v>1402</v>
      </c>
      <c r="D709" s="3" t="s">
        <v>1411</v>
      </c>
      <c r="E709" s="3" t="s">
        <v>96</v>
      </c>
      <c r="F709" s="4" t="s">
        <v>1467</v>
      </c>
      <c r="G709" s="4" t="s">
        <v>1468</v>
      </c>
      <c r="H709" s="3" t="n">
        <f aca="false">IF(COUNTIFS($D$2:D709,D709,$E$2:E709,E709,$A$2:A709,A709)=1,1,0)</f>
        <v>0</v>
      </c>
    </row>
    <row r="710" customFormat="false" ht="45.75" hidden="false" customHeight="true" outlineLevel="0" collapsed="false">
      <c r="A710" s="3" t="s">
        <v>99</v>
      </c>
      <c r="B710" s="3" t="s">
        <v>9</v>
      </c>
      <c r="C710" s="3" t="s">
        <v>1402</v>
      </c>
      <c r="D710" s="3" t="s">
        <v>1411</v>
      </c>
      <c r="E710" s="3" t="s">
        <v>12</v>
      </c>
      <c r="F710" s="4" t="s">
        <v>1469</v>
      </c>
      <c r="G710" s="4" t="s">
        <v>1470</v>
      </c>
      <c r="H710" s="3" t="n">
        <f aca="false">IF(COUNTIFS($D$2:D710,D710,$E$2:E710,E710,$A$2:A710,A710)=1,1,0)</f>
        <v>1</v>
      </c>
    </row>
    <row r="711" customFormat="false" ht="45.75" hidden="false" customHeight="true" outlineLevel="0" collapsed="false">
      <c r="A711" s="3" t="s">
        <v>99</v>
      </c>
      <c r="B711" s="3" t="s">
        <v>9</v>
      </c>
      <c r="C711" s="3" t="s">
        <v>1402</v>
      </c>
      <c r="D711" s="3" t="s">
        <v>470</v>
      </c>
      <c r="E711" s="3" t="s">
        <v>12</v>
      </c>
      <c r="F711" s="4" t="s">
        <v>1471</v>
      </c>
      <c r="G711" s="4" t="s">
        <v>1472</v>
      </c>
      <c r="H711" s="3" t="n">
        <f aca="false">IF(COUNTIFS($D$2:D711,D711,$E$2:E711,E711,$A$2:A711,A711)=1,1,0)</f>
        <v>1</v>
      </c>
    </row>
    <row r="712" customFormat="false" ht="34.5" hidden="false" customHeight="true" outlineLevel="0" collapsed="false">
      <c r="A712" s="3" t="s">
        <v>99</v>
      </c>
      <c r="B712" s="3" t="s">
        <v>9</v>
      </c>
      <c r="C712" s="3" t="s">
        <v>1402</v>
      </c>
      <c r="D712" s="3" t="s">
        <v>168</v>
      </c>
      <c r="E712" s="3" t="s">
        <v>222</v>
      </c>
      <c r="F712" s="4" t="s">
        <v>1473</v>
      </c>
      <c r="G712" s="4" t="s">
        <v>1474</v>
      </c>
      <c r="H712" s="3" t="n">
        <f aca="false">IF(COUNTIFS($D$2:D712,D712,$E$2:E712,E712,$A$2:A712,A712)=1,1,0)</f>
        <v>1</v>
      </c>
    </row>
    <row r="713" customFormat="false" ht="45.75" hidden="false" customHeight="true" outlineLevel="0" collapsed="false">
      <c r="A713" s="3" t="s">
        <v>99</v>
      </c>
      <c r="B713" s="3" t="s">
        <v>9</v>
      </c>
      <c r="C713" s="3" t="s">
        <v>1402</v>
      </c>
      <c r="D713" s="3" t="s">
        <v>168</v>
      </c>
      <c r="E713" s="3" t="s">
        <v>59</v>
      </c>
      <c r="F713" s="4" t="s">
        <v>1475</v>
      </c>
      <c r="G713" s="4" t="s">
        <v>1476</v>
      </c>
      <c r="H713" s="3" t="n">
        <f aca="false">IF(COUNTIFS($D$2:D713,D713,$E$2:E713,E713,$A$2:A713,A713)=1,1,0)</f>
        <v>1</v>
      </c>
    </row>
    <row r="714" customFormat="false" ht="23.25" hidden="false" customHeight="true" outlineLevel="0" collapsed="false">
      <c r="A714" s="3" t="s">
        <v>120</v>
      </c>
      <c r="B714" s="3" t="s">
        <v>9</v>
      </c>
      <c r="C714" s="3" t="s">
        <v>1402</v>
      </c>
      <c r="D714" s="3" t="s">
        <v>486</v>
      </c>
      <c r="E714" s="3" t="s">
        <v>24</v>
      </c>
      <c r="F714" s="4" t="s">
        <v>1477</v>
      </c>
      <c r="G714" s="4" t="s">
        <v>1478</v>
      </c>
      <c r="H714" s="3" t="n">
        <f aca="false">IF(COUNTIFS($D$2:D714,D714,$E$2:E714,E714,$A$2:A714,A714)=1,1,0)</f>
        <v>1</v>
      </c>
    </row>
    <row r="715" customFormat="false" ht="34.5" hidden="false" customHeight="true" outlineLevel="0" collapsed="false">
      <c r="A715" s="3" t="s">
        <v>120</v>
      </c>
      <c r="B715" s="3" t="s">
        <v>9</v>
      </c>
      <c r="C715" s="3" t="s">
        <v>1402</v>
      </c>
      <c r="D715" s="3" t="s">
        <v>470</v>
      </c>
      <c r="E715" s="3" t="s">
        <v>12</v>
      </c>
      <c r="F715" s="4" t="s">
        <v>1479</v>
      </c>
      <c r="G715" s="4" t="s">
        <v>1480</v>
      </c>
      <c r="H715" s="3" t="n">
        <f aca="false">IF(COUNTIFS($D$2:D715,D715,$E$2:E715,E715,$A$2:A715,A715)=1,1,0)</f>
        <v>1</v>
      </c>
    </row>
    <row r="716" customFormat="false" ht="23.25" hidden="false" customHeight="true" outlineLevel="0" collapsed="false">
      <c r="A716" s="3" t="s">
        <v>120</v>
      </c>
      <c r="B716" s="3" t="s">
        <v>9</v>
      </c>
      <c r="C716" s="3" t="s">
        <v>1402</v>
      </c>
      <c r="D716" s="3" t="s">
        <v>470</v>
      </c>
      <c r="E716" s="3" t="s">
        <v>12</v>
      </c>
      <c r="F716" s="4" t="s">
        <v>1481</v>
      </c>
      <c r="G716" s="4" t="s">
        <v>1482</v>
      </c>
      <c r="H716" s="3" t="n">
        <f aca="false">IF(COUNTIFS($D$2:D716,D716,$E$2:E716,E716,$A$2:A716,A716)=1,1,0)</f>
        <v>0</v>
      </c>
    </row>
    <row r="717" customFormat="false" ht="57" hidden="false" customHeight="true" outlineLevel="0" collapsed="false">
      <c r="A717" s="3" t="s">
        <v>120</v>
      </c>
      <c r="B717" s="3" t="s">
        <v>9</v>
      </c>
      <c r="C717" s="3" t="s">
        <v>1402</v>
      </c>
      <c r="D717" s="3" t="s">
        <v>486</v>
      </c>
      <c r="E717" s="3" t="s">
        <v>24</v>
      </c>
      <c r="F717" s="4" t="s">
        <v>1483</v>
      </c>
      <c r="G717" s="4" t="s">
        <v>1484</v>
      </c>
      <c r="H717" s="3" t="n">
        <f aca="false">IF(COUNTIFS($D$2:D717,D717,$E$2:E717,E717,$A$2:A717,A717)=1,1,0)</f>
        <v>0</v>
      </c>
    </row>
    <row r="718" customFormat="false" ht="45.75" hidden="false" customHeight="true" outlineLevel="0" collapsed="false">
      <c r="A718" s="3" t="s">
        <v>120</v>
      </c>
      <c r="B718" s="3" t="s">
        <v>9</v>
      </c>
      <c r="C718" s="3" t="s">
        <v>1402</v>
      </c>
      <c r="D718" s="3" t="s">
        <v>486</v>
      </c>
      <c r="E718" s="3" t="s">
        <v>222</v>
      </c>
      <c r="F718" s="4" t="s">
        <v>1485</v>
      </c>
      <c r="G718" s="4" t="s">
        <v>1486</v>
      </c>
      <c r="H718" s="3" t="n">
        <f aca="false">IF(COUNTIFS($D$2:D718,D718,$E$2:E718,E718,$A$2:A718,A718)=1,1,0)</f>
        <v>1</v>
      </c>
    </row>
    <row r="719" customFormat="false" ht="45.75" hidden="false" customHeight="true" outlineLevel="0" collapsed="false">
      <c r="A719" s="3" t="s">
        <v>120</v>
      </c>
      <c r="B719" s="3" t="s">
        <v>9</v>
      </c>
      <c r="C719" s="3" t="s">
        <v>1402</v>
      </c>
      <c r="D719" s="3" t="s">
        <v>1416</v>
      </c>
      <c r="E719" s="3" t="s">
        <v>12</v>
      </c>
      <c r="F719" s="4" t="s">
        <v>1487</v>
      </c>
      <c r="G719" s="4" t="s">
        <v>1488</v>
      </c>
      <c r="H719" s="3" t="n">
        <f aca="false">IF(COUNTIFS($D$2:D719,D719,$E$2:E719,E719,$A$2:A719,A719)=1,1,0)</f>
        <v>1</v>
      </c>
    </row>
    <row r="720" customFormat="false" ht="23.25" hidden="false" customHeight="true" outlineLevel="0" collapsed="false">
      <c r="A720" s="3" t="s">
        <v>120</v>
      </c>
      <c r="B720" s="3" t="s">
        <v>9</v>
      </c>
      <c r="C720" s="3" t="s">
        <v>1402</v>
      </c>
      <c r="D720" s="3" t="s">
        <v>19</v>
      </c>
      <c r="E720" s="3" t="s">
        <v>12</v>
      </c>
      <c r="F720" s="4" t="s">
        <v>1489</v>
      </c>
      <c r="G720" s="4" t="s">
        <v>1490</v>
      </c>
      <c r="H720" s="3" t="n">
        <f aca="false">IF(COUNTIFS($D$2:D720,D720,$E$2:E720,E720,$A$2:A720,A720)=1,1,0)</f>
        <v>0</v>
      </c>
    </row>
    <row r="721" customFormat="false" ht="15" hidden="false" customHeight="true" outlineLevel="0" collapsed="false">
      <c r="A721" s="3" t="s">
        <v>143</v>
      </c>
      <c r="B721" s="3" t="s">
        <v>9</v>
      </c>
      <c r="C721" s="3" t="s">
        <v>1402</v>
      </c>
      <c r="D721" s="3" t="s">
        <v>470</v>
      </c>
      <c r="E721" s="3" t="s">
        <v>12</v>
      </c>
      <c r="F721" s="4" t="s">
        <v>971</v>
      </c>
      <c r="G721" s="4"/>
      <c r="H721" s="3" t="n">
        <f aca="false">IF(COUNTIFS($D$2:D721,D721,$E$2:E721,E721,$A$2:A721,A721)=1,1,0)</f>
        <v>1</v>
      </c>
    </row>
    <row r="722" customFormat="false" ht="23.25" hidden="false" customHeight="true" outlineLevel="0" collapsed="false">
      <c r="A722" s="3" t="s">
        <v>150</v>
      </c>
      <c r="B722" s="3" t="s">
        <v>9</v>
      </c>
      <c r="C722" s="3" t="s">
        <v>1402</v>
      </c>
      <c r="D722" s="3" t="s">
        <v>470</v>
      </c>
      <c r="E722" s="3" t="s">
        <v>12</v>
      </c>
      <c r="F722" s="4" t="s">
        <v>1491</v>
      </c>
      <c r="G722" s="4" t="s">
        <v>1492</v>
      </c>
      <c r="H722" s="3" t="n">
        <f aca="false">IF(COUNTIFS($D$2:D722,D722,$E$2:E722,E722,$A$2:A722,A722)=1,1,0)</f>
        <v>1</v>
      </c>
    </row>
    <row r="723" customFormat="false" ht="23.25" hidden="false" customHeight="true" outlineLevel="0" collapsed="false">
      <c r="A723" s="3" t="s">
        <v>150</v>
      </c>
      <c r="B723" s="3" t="s">
        <v>9</v>
      </c>
      <c r="C723" s="3" t="s">
        <v>1402</v>
      </c>
      <c r="D723" s="3" t="s">
        <v>470</v>
      </c>
      <c r="E723" s="3" t="s">
        <v>12</v>
      </c>
      <c r="F723" s="4" t="s">
        <v>1493</v>
      </c>
      <c r="G723" s="4" t="s">
        <v>1494</v>
      </c>
      <c r="H723" s="3" t="n">
        <f aca="false">IF(COUNTIFS($D$2:D723,D723,$E$2:E723,E723,$A$2:A723,A723)=1,1,0)</f>
        <v>0</v>
      </c>
    </row>
    <row r="724" customFormat="false" ht="34.5" hidden="false" customHeight="true" outlineLevel="0" collapsed="false">
      <c r="A724" s="3" t="s">
        <v>150</v>
      </c>
      <c r="B724" s="3" t="s">
        <v>9</v>
      </c>
      <c r="C724" s="3" t="s">
        <v>1402</v>
      </c>
      <c r="D724" s="3" t="s">
        <v>1411</v>
      </c>
      <c r="E724" s="3" t="s">
        <v>12</v>
      </c>
      <c r="F724" s="4" t="s">
        <v>1495</v>
      </c>
      <c r="G724" s="4" t="s">
        <v>1496</v>
      </c>
      <c r="H724" s="3" t="n">
        <f aca="false">IF(COUNTIFS($D$2:D724,D724,$E$2:E724,E724,$A$2:A724,A724)=1,1,0)</f>
        <v>1</v>
      </c>
    </row>
    <row r="725" customFormat="false" ht="23.25" hidden="false" customHeight="true" outlineLevel="0" collapsed="false">
      <c r="A725" s="3" t="s">
        <v>150</v>
      </c>
      <c r="B725" s="3" t="s">
        <v>9</v>
      </c>
      <c r="C725" s="3" t="s">
        <v>1402</v>
      </c>
      <c r="D725" s="3" t="s">
        <v>1411</v>
      </c>
      <c r="E725" s="3" t="s">
        <v>24</v>
      </c>
      <c r="F725" s="4" t="s">
        <v>1497</v>
      </c>
      <c r="G725" s="4" t="s">
        <v>1498</v>
      </c>
      <c r="H725" s="3" t="n">
        <f aca="false">IF(COUNTIFS($D$2:D725,D725,$E$2:E725,E725,$A$2:A725,A725)=1,1,0)</f>
        <v>1</v>
      </c>
    </row>
    <row r="726" customFormat="false" ht="45.75" hidden="false" customHeight="true" outlineLevel="0" collapsed="false">
      <c r="A726" s="3" t="s">
        <v>150</v>
      </c>
      <c r="B726" s="3" t="s">
        <v>9</v>
      </c>
      <c r="C726" s="3" t="s">
        <v>1402</v>
      </c>
      <c r="D726" s="3" t="s">
        <v>1411</v>
      </c>
      <c r="E726" s="3" t="s">
        <v>12</v>
      </c>
      <c r="F726" s="4" t="s">
        <v>1499</v>
      </c>
      <c r="G726" s="4" t="s">
        <v>1500</v>
      </c>
      <c r="H726" s="3" t="n">
        <f aca="false">IF(COUNTIFS($D$2:D726,D726,$E$2:E726,E726,$A$2:A726,A726)=1,1,0)</f>
        <v>0</v>
      </c>
    </row>
    <row r="727" customFormat="false" ht="23.25" hidden="false" customHeight="true" outlineLevel="0" collapsed="false">
      <c r="A727" s="3" t="s">
        <v>150</v>
      </c>
      <c r="B727" s="3" t="s">
        <v>9</v>
      </c>
      <c r="C727" s="3" t="s">
        <v>1402</v>
      </c>
      <c r="D727" s="3" t="s">
        <v>1411</v>
      </c>
      <c r="E727" s="3" t="s">
        <v>24</v>
      </c>
      <c r="F727" s="4" t="s">
        <v>1501</v>
      </c>
      <c r="G727" s="4" t="s">
        <v>1502</v>
      </c>
      <c r="H727" s="3" t="n">
        <f aca="false">IF(COUNTIFS($D$2:D727,D727,$E$2:E727,E727,$A$2:A727,A727)=1,1,0)</f>
        <v>0</v>
      </c>
    </row>
    <row r="728" customFormat="false" ht="57" hidden="false" customHeight="true" outlineLevel="0" collapsed="false">
      <c r="A728" s="3" t="s">
        <v>150</v>
      </c>
      <c r="B728" s="3" t="s">
        <v>9</v>
      </c>
      <c r="C728" s="3" t="s">
        <v>1402</v>
      </c>
      <c r="D728" s="3" t="s">
        <v>1503</v>
      </c>
      <c r="E728" s="3" t="s">
        <v>12</v>
      </c>
      <c r="F728" s="4" t="s">
        <v>1504</v>
      </c>
      <c r="G728" s="4" t="s">
        <v>1505</v>
      </c>
      <c r="H728" s="3" t="n">
        <f aca="false">IF(COUNTIFS($D$2:D728,D728,$E$2:E728,E728,$A$2:A728,A728)=1,1,0)</f>
        <v>1</v>
      </c>
    </row>
    <row r="729" customFormat="false" ht="45.75" hidden="false" customHeight="true" outlineLevel="0" collapsed="false">
      <c r="A729" s="3" t="s">
        <v>150</v>
      </c>
      <c r="B729" s="3" t="s">
        <v>9</v>
      </c>
      <c r="C729" s="3" t="s">
        <v>1402</v>
      </c>
      <c r="D729" s="3" t="s">
        <v>1503</v>
      </c>
      <c r="E729" s="3" t="s">
        <v>96</v>
      </c>
      <c r="F729" s="4" t="s">
        <v>1506</v>
      </c>
      <c r="G729" s="4" t="s">
        <v>1507</v>
      </c>
      <c r="H729" s="3" t="n">
        <f aca="false">IF(COUNTIFS($D$2:D729,D729,$E$2:E729,E729,$A$2:A729,A729)=1,1,0)</f>
        <v>1</v>
      </c>
    </row>
    <row r="730" customFormat="false" ht="34.5" hidden="false" customHeight="true" outlineLevel="0" collapsed="false">
      <c r="A730" s="3" t="s">
        <v>150</v>
      </c>
      <c r="B730" s="3" t="s">
        <v>9</v>
      </c>
      <c r="C730" s="3" t="s">
        <v>1402</v>
      </c>
      <c r="D730" s="3" t="s">
        <v>1503</v>
      </c>
      <c r="E730" s="3" t="s">
        <v>59</v>
      </c>
      <c r="F730" s="4" t="s">
        <v>1508</v>
      </c>
      <c r="G730" s="4" t="s">
        <v>1509</v>
      </c>
      <c r="H730" s="3" t="n">
        <f aca="false">IF(COUNTIFS($D$2:D730,D730,$E$2:E730,E730,$A$2:A730,A730)=1,1,0)</f>
        <v>1</v>
      </c>
    </row>
    <row r="731" customFormat="false" ht="23.25" hidden="false" customHeight="true" outlineLevel="0" collapsed="false">
      <c r="A731" s="3" t="s">
        <v>171</v>
      </c>
      <c r="B731" s="3" t="s">
        <v>9</v>
      </c>
      <c r="C731" s="3" t="s">
        <v>1402</v>
      </c>
      <c r="D731" s="3" t="s">
        <v>1411</v>
      </c>
      <c r="E731" s="3" t="s">
        <v>24</v>
      </c>
      <c r="F731" s="4" t="s">
        <v>1510</v>
      </c>
      <c r="G731" s="4" t="s">
        <v>1511</v>
      </c>
      <c r="H731" s="3" t="n">
        <f aca="false">IF(COUNTIFS($D$2:D731,D731,$E$2:E731,E731,$A$2:A731,A731)=1,1,0)</f>
        <v>1</v>
      </c>
    </row>
    <row r="732" customFormat="false" ht="34.5" hidden="false" customHeight="true" outlineLevel="0" collapsed="false">
      <c r="A732" s="3" t="s">
        <v>171</v>
      </c>
      <c r="B732" s="3" t="s">
        <v>9</v>
      </c>
      <c r="C732" s="3" t="s">
        <v>1402</v>
      </c>
      <c r="D732" s="3" t="s">
        <v>112</v>
      </c>
      <c r="E732" s="3" t="s">
        <v>12</v>
      </c>
      <c r="F732" s="4" t="s">
        <v>1512</v>
      </c>
      <c r="G732" s="4" t="s">
        <v>1513</v>
      </c>
      <c r="H732" s="3" t="n">
        <f aca="false">IF(COUNTIFS($D$2:D732,D732,$E$2:E732,E732,$A$2:A732,A732)=1,1,0)</f>
        <v>1</v>
      </c>
    </row>
    <row r="733" customFormat="false" ht="23.25" hidden="false" customHeight="true" outlineLevel="0" collapsed="false">
      <c r="A733" s="3" t="s">
        <v>171</v>
      </c>
      <c r="B733" s="3" t="s">
        <v>9</v>
      </c>
      <c r="C733" s="3" t="s">
        <v>1402</v>
      </c>
      <c r="D733" s="3" t="s">
        <v>486</v>
      </c>
      <c r="E733" s="3" t="s">
        <v>12</v>
      </c>
      <c r="F733" s="4" t="s">
        <v>1514</v>
      </c>
      <c r="G733" s="4" t="s">
        <v>1515</v>
      </c>
      <c r="H733" s="3" t="n">
        <f aca="false">IF(COUNTIFS($D$2:D733,D733,$E$2:E733,E733,$A$2:A733,A733)=1,1,0)</f>
        <v>0</v>
      </c>
    </row>
    <row r="734" customFormat="false" ht="34.5" hidden="false" customHeight="true" outlineLevel="0" collapsed="false">
      <c r="A734" s="3" t="s">
        <v>171</v>
      </c>
      <c r="B734" s="3" t="s">
        <v>9</v>
      </c>
      <c r="C734" s="3" t="s">
        <v>1402</v>
      </c>
      <c r="D734" s="3" t="s">
        <v>117</v>
      </c>
      <c r="E734" s="3" t="s">
        <v>12</v>
      </c>
      <c r="F734" s="4" t="s">
        <v>1516</v>
      </c>
      <c r="G734" s="4" t="s">
        <v>1517</v>
      </c>
      <c r="H734" s="3" t="n">
        <f aca="false">IF(COUNTIFS($D$2:D734,D734,$E$2:E734,E734,$A$2:A734,A734)=1,1,0)</f>
        <v>1</v>
      </c>
    </row>
    <row r="735" customFormat="false" ht="23.25" hidden="false" customHeight="true" outlineLevel="0" collapsed="false">
      <c r="A735" s="3" t="s">
        <v>171</v>
      </c>
      <c r="B735" s="3" t="s">
        <v>9</v>
      </c>
      <c r="C735" s="3" t="s">
        <v>1402</v>
      </c>
      <c r="D735" s="3" t="s">
        <v>470</v>
      </c>
      <c r="E735" s="3" t="s">
        <v>12</v>
      </c>
      <c r="F735" s="4" t="s">
        <v>1518</v>
      </c>
      <c r="G735" s="4" t="s">
        <v>1519</v>
      </c>
      <c r="H735" s="3" t="n">
        <f aca="false">IF(COUNTIFS($D$2:D735,D735,$E$2:E735,E735,$A$2:A735,A735)=1,1,0)</f>
        <v>1</v>
      </c>
    </row>
    <row r="736" customFormat="false" ht="34.5" hidden="false" customHeight="true" outlineLevel="0" collapsed="false">
      <c r="A736" s="3" t="s">
        <v>171</v>
      </c>
      <c r="B736" s="3" t="s">
        <v>9</v>
      </c>
      <c r="C736" s="3" t="s">
        <v>1402</v>
      </c>
      <c r="D736" s="3" t="s">
        <v>470</v>
      </c>
      <c r="E736" s="3" t="s">
        <v>12</v>
      </c>
      <c r="F736" s="4" t="s">
        <v>1520</v>
      </c>
      <c r="G736" s="4" t="s">
        <v>1521</v>
      </c>
      <c r="H736" s="3" t="n">
        <f aca="false">IF(COUNTIFS($D$2:D736,D736,$E$2:E736,E736,$A$2:A736,A736)=1,1,0)</f>
        <v>0</v>
      </c>
    </row>
    <row r="737" customFormat="false" ht="34.5" hidden="false" customHeight="true" outlineLevel="0" collapsed="false">
      <c r="A737" s="3" t="s">
        <v>171</v>
      </c>
      <c r="B737" s="3" t="s">
        <v>9</v>
      </c>
      <c r="C737" s="3" t="s">
        <v>1402</v>
      </c>
      <c r="D737" s="3" t="s">
        <v>1411</v>
      </c>
      <c r="E737" s="3" t="s">
        <v>24</v>
      </c>
      <c r="F737" s="4" t="s">
        <v>1522</v>
      </c>
      <c r="G737" s="4" t="s">
        <v>1523</v>
      </c>
      <c r="H737" s="3" t="n">
        <f aca="false">IF(COUNTIFS($D$2:D737,D737,$E$2:E737,E737,$A$2:A737,A737)=1,1,0)</f>
        <v>0</v>
      </c>
    </row>
    <row r="738" customFormat="false" ht="45.75" hidden="false" customHeight="true" outlineLevel="0" collapsed="false">
      <c r="A738" s="3" t="s">
        <v>186</v>
      </c>
      <c r="B738" s="3" t="s">
        <v>9</v>
      </c>
      <c r="C738" s="3" t="s">
        <v>1402</v>
      </c>
      <c r="D738" s="3" t="s">
        <v>19</v>
      </c>
      <c r="E738" s="3" t="s">
        <v>12</v>
      </c>
      <c r="F738" s="4" t="s">
        <v>1524</v>
      </c>
      <c r="G738" s="4" t="s">
        <v>1525</v>
      </c>
      <c r="H738" s="3" t="n">
        <f aca="false">IF(COUNTIFS($D$2:D738,D738,$E$2:E738,E738,$A$2:A738,A738)=1,1,0)</f>
        <v>0</v>
      </c>
    </row>
    <row r="739" customFormat="false" ht="57" hidden="false" customHeight="true" outlineLevel="0" collapsed="false">
      <c r="A739" s="3" t="s">
        <v>186</v>
      </c>
      <c r="B739" s="3" t="s">
        <v>9</v>
      </c>
      <c r="C739" s="3" t="s">
        <v>1402</v>
      </c>
      <c r="D739" s="3" t="s">
        <v>112</v>
      </c>
      <c r="E739" s="3" t="s">
        <v>12</v>
      </c>
      <c r="F739" s="4" t="s">
        <v>1526</v>
      </c>
      <c r="G739" s="4" t="s">
        <v>1527</v>
      </c>
      <c r="H739" s="3" t="n">
        <f aca="false">IF(COUNTIFS($D$2:D739,D739,$E$2:E739,E739,$A$2:A739,A739)=1,1,0)</f>
        <v>0</v>
      </c>
    </row>
    <row r="740" customFormat="false" ht="57" hidden="false" customHeight="true" outlineLevel="0" collapsed="false">
      <c r="A740" s="3" t="s">
        <v>186</v>
      </c>
      <c r="B740" s="3" t="s">
        <v>9</v>
      </c>
      <c r="C740" s="3" t="s">
        <v>1402</v>
      </c>
      <c r="D740" s="3" t="s">
        <v>117</v>
      </c>
      <c r="E740" s="3" t="s">
        <v>59</v>
      </c>
      <c r="F740" s="4" t="s">
        <v>1528</v>
      </c>
      <c r="G740" s="4" t="s">
        <v>1529</v>
      </c>
      <c r="H740" s="3" t="n">
        <f aca="false">IF(COUNTIFS($D$2:D740,D740,$E$2:E740,E740,$A$2:A740,A740)=1,1,0)</f>
        <v>1</v>
      </c>
    </row>
    <row r="741" customFormat="false" ht="57" hidden="false" customHeight="true" outlineLevel="0" collapsed="false">
      <c r="A741" s="3" t="s">
        <v>186</v>
      </c>
      <c r="B741" s="3" t="s">
        <v>9</v>
      </c>
      <c r="C741" s="3" t="s">
        <v>1402</v>
      </c>
      <c r="D741" s="3" t="s">
        <v>470</v>
      </c>
      <c r="E741" s="3" t="s">
        <v>12</v>
      </c>
      <c r="F741" s="4" t="s">
        <v>1530</v>
      </c>
      <c r="G741" s="4" t="s">
        <v>1531</v>
      </c>
      <c r="H741" s="3" t="n">
        <f aca="false">IF(COUNTIFS($D$2:D741,D741,$E$2:E741,E741,$A$2:A741,A741)=1,1,0)</f>
        <v>1</v>
      </c>
    </row>
    <row r="742" customFormat="false" ht="57" hidden="false" customHeight="true" outlineLevel="0" collapsed="false">
      <c r="A742" s="3" t="s">
        <v>186</v>
      </c>
      <c r="B742" s="3" t="s">
        <v>9</v>
      </c>
      <c r="C742" s="3" t="s">
        <v>1402</v>
      </c>
      <c r="D742" s="3" t="s">
        <v>19</v>
      </c>
      <c r="E742" s="3" t="s">
        <v>12</v>
      </c>
      <c r="F742" s="4" t="s">
        <v>1532</v>
      </c>
      <c r="G742" s="4" t="s">
        <v>1533</v>
      </c>
      <c r="H742" s="3" t="n">
        <f aca="false">IF(COUNTIFS($D$2:D742,D742,$E$2:E742,E742,$A$2:A742,A742)=1,1,0)</f>
        <v>0</v>
      </c>
    </row>
    <row r="743" customFormat="false" ht="57" hidden="false" customHeight="true" outlineLevel="0" collapsed="false">
      <c r="A743" s="3" t="s">
        <v>207</v>
      </c>
      <c r="B743" s="3" t="s">
        <v>9</v>
      </c>
      <c r="C743" s="3" t="s">
        <v>1402</v>
      </c>
      <c r="D743" s="3" t="s">
        <v>486</v>
      </c>
      <c r="E743" s="3" t="s">
        <v>12</v>
      </c>
      <c r="F743" s="4" t="s">
        <v>1534</v>
      </c>
      <c r="G743" s="4" t="s">
        <v>1535</v>
      </c>
      <c r="H743" s="3" t="n">
        <f aca="false">IF(COUNTIFS($D$2:D743,D743,$E$2:E743,E743,$A$2:A743,A743)=1,1,0)</f>
        <v>1</v>
      </c>
    </row>
    <row r="744" customFormat="false" ht="34.5" hidden="false" customHeight="true" outlineLevel="0" collapsed="false">
      <c r="A744" s="3" t="s">
        <v>207</v>
      </c>
      <c r="B744" s="3" t="s">
        <v>9</v>
      </c>
      <c r="C744" s="3" t="s">
        <v>1402</v>
      </c>
      <c r="D744" s="3" t="s">
        <v>486</v>
      </c>
      <c r="E744" s="3" t="s">
        <v>12</v>
      </c>
      <c r="F744" s="4" t="s">
        <v>1536</v>
      </c>
      <c r="G744" s="4"/>
      <c r="H744" s="3" t="n">
        <f aca="false">IF(COUNTIFS($D$2:D744,D744,$E$2:E744,E744,$A$2:A744,A744)=1,1,0)</f>
        <v>0</v>
      </c>
    </row>
    <row r="745" customFormat="false" ht="79.5" hidden="false" customHeight="true" outlineLevel="0" collapsed="false">
      <c r="A745" s="3" t="s">
        <v>207</v>
      </c>
      <c r="B745" s="3" t="s">
        <v>9</v>
      </c>
      <c r="C745" s="3" t="s">
        <v>1402</v>
      </c>
      <c r="D745" s="3" t="s">
        <v>470</v>
      </c>
      <c r="E745" s="3" t="s">
        <v>12</v>
      </c>
      <c r="F745" s="4" t="s">
        <v>1537</v>
      </c>
      <c r="G745" s="4" t="s">
        <v>1538</v>
      </c>
      <c r="H745" s="3" t="n">
        <f aca="false">IF(COUNTIFS($D$2:D745,D745,$E$2:E745,E745,$A$2:A745,A745)=1,1,0)</f>
        <v>1</v>
      </c>
    </row>
    <row r="746" customFormat="false" ht="57" hidden="false" customHeight="true" outlineLevel="0" collapsed="false">
      <c r="A746" s="3" t="s">
        <v>207</v>
      </c>
      <c r="B746" s="3" t="s">
        <v>9</v>
      </c>
      <c r="C746" s="3" t="s">
        <v>1402</v>
      </c>
      <c r="D746" s="3" t="s">
        <v>470</v>
      </c>
      <c r="E746" s="3" t="s">
        <v>12</v>
      </c>
      <c r="F746" s="4" t="s">
        <v>1539</v>
      </c>
      <c r="G746" s="4" t="s">
        <v>1540</v>
      </c>
      <c r="H746" s="3" t="n">
        <f aca="false">IF(COUNTIFS($D$2:D746,D746,$E$2:E746,E746,$A$2:A746,A746)=1,1,0)</f>
        <v>0</v>
      </c>
    </row>
    <row r="747" customFormat="false" ht="34.5" hidden="false" customHeight="true" outlineLevel="0" collapsed="false">
      <c r="A747" s="3" t="s">
        <v>207</v>
      </c>
      <c r="B747" s="3" t="s">
        <v>9</v>
      </c>
      <c r="C747" s="3" t="s">
        <v>1402</v>
      </c>
      <c r="D747" s="3" t="s">
        <v>470</v>
      </c>
      <c r="E747" s="3" t="s">
        <v>12</v>
      </c>
      <c r="F747" s="4" t="s">
        <v>1541</v>
      </c>
      <c r="G747" s="4" t="s">
        <v>1542</v>
      </c>
      <c r="H747" s="3" t="n">
        <f aca="false">IF(COUNTIFS($D$2:D747,D747,$E$2:E747,E747,$A$2:A747,A747)=1,1,0)</f>
        <v>0</v>
      </c>
    </row>
    <row r="748" customFormat="false" ht="45.75" hidden="false" customHeight="true" outlineLevel="0" collapsed="false">
      <c r="A748" s="3" t="s">
        <v>207</v>
      </c>
      <c r="B748" s="3" t="s">
        <v>9</v>
      </c>
      <c r="C748" s="3" t="s">
        <v>1402</v>
      </c>
      <c r="D748" s="3" t="s">
        <v>470</v>
      </c>
      <c r="E748" s="3" t="s">
        <v>12</v>
      </c>
      <c r="F748" s="4" t="s">
        <v>1543</v>
      </c>
      <c r="G748" s="4" t="s">
        <v>1544</v>
      </c>
      <c r="H748" s="3" t="n">
        <f aca="false">IF(COUNTIFS($D$2:D748,D748,$E$2:E748,E748,$A$2:A748,A748)=1,1,0)</f>
        <v>0</v>
      </c>
    </row>
    <row r="749" customFormat="false" ht="79.5" hidden="false" customHeight="true" outlineLevel="0" collapsed="false">
      <c r="A749" s="3" t="s">
        <v>207</v>
      </c>
      <c r="B749" s="3" t="s">
        <v>9</v>
      </c>
      <c r="C749" s="3" t="s">
        <v>1402</v>
      </c>
      <c r="D749" s="3" t="s">
        <v>470</v>
      </c>
      <c r="E749" s="3" t="s">
        <v>12</v>
      </c>
      <c r="F749" s="4" t="s">
        <v>1545</v>
      </c>
      <c r="G749" s="4" t="s">
        <v>1546</v>
      </c>
      <c r="H749" s="3" t="n">
        <f aca="false">IF(COUNTIFS($D$2:D749,D749,$E$2:E749,E749,$A$2:A749,A749)=1,1,0)</f>
        <v>0</v>
      </c>
    </row>
    <row r="750" customFormat="false" ht="79.5" hidden="false" customHeight="true" outlineLevel="0" collapsed="false">
      <c r="A750" s="3" t="s">
        <v>207</v>
      </c>
      <c r="B750" s="3" t="s">
        <v>9</v>
      </c>
      <c r="C750" s="3" t="s">
        <v>1402</v>
      </c>
      <c r="D750" s="3" t="s">
        <v>470</v>
      </c>
      <c r="E750" s="3" t="s">
        <v>12</v>
      </c>
      <c r="F750" s="4" t="s">
        <v>1547</v>
      </c>
      <c r="G750" s="4" t="s">
        <v>1548</v>
      </c>
      <c r="H750" s="3" t="n">
        <f aca="false">IF(COUNTIFS($D$2:D750,D750,$E$2:E750,E750,$A$2:A750,A750)=1,1,0)</f>
        <v>0</v>
      </c>
    </row>
    <row r="751" customFormat="false" ht="57" hidden="false" customHeight="true" outlineLevel="0" collapsed="false">
      <c r="A751" s="3" t="s">
        <v>207</v>
      </c>
      <c r="B751" s="3" t="s">
        <v>9</v>
      </c>
      <c r="C751" s="3" t="s">
        <v>1402</v>
      </c>
      <c r="D751" s="3" t="s">
        <v>1411</v>
      </c>
      <c r="E751" s="3" t="s">
        <v>24</v>
      </c>
      <c r="F751" s="4" t="s">
        <v>1549</v>
      </c>
      <c r="G751" s="4" t="s">
        <v>1550</v>
      </c>
      <c r="H751" s="3" t="n">
        <f aca="false">IF(COUNTIFS($D$2:D751,D751,$E$2:E751,E751,$A$2:A751,A751)=1,1,0)</f>
        <v>1</v>
      </c>
    </row>
    <row r="752" customFormat="false" ht="57" hidden="false" customHeight="true" outlineLevel="0" collapsed="false">
      <c r="A752" s="3" t="s">
        <v>207</v>
      </c>
      <c r="B752" s="3" t="s">
        <v>9</v>
      </c>
      <c r="C752" s="3" t="s">
        <v>1402</v>
      </c>
      <c r="D752" s="3" t="s">
        <v>1411</v>
      </c>
      <c r="E752" s="3" t="s">
        <v>59</v>
      </c>
      <c r="F752" s="4" t="s">
        <v>1551</v>
      </c>
      <c r="G752" s="4" t="s">
        <v>1552</v>
      </c>
      <c r="H752" s="3" t="n">
        <f aca="false">IF(COUNTIFS($D$2:D752,D752,$E$2:E752,E752,$A$2:A752,A752)=1,1,0)</f>
        <v>1</v>
      </c>
    </row>
    <row r="753" customFormat="false" ht="34.5" hidden="false" customHeight="true" outlineLevel="0" collapsed="false">
      <c r="A753" s="3" t="s">
        <v>227</v>
      </c>
      <c r="B753" s="3" t="s">
        <v>9</v>
      </c>
      <c r="C753" s="3" t="s">
        <v>1402</v>
      </c>
      <c r="D753" s="3" t="s">
        <v>470</v>
      </c>
      <c r="E753" s="3" t="s">
        <v>222</v>
      </c>
      <c r="F753" s="4" t="s">
        <v>1553</v>
      </c>
      <c r="G753" s="4" t="s">
        <v>1554</v>
      </c>
      <c r="H753" s="3" t="n">
        <f aca="false">IF(COUNTIFS($D$2:D753,D753,$E$2:E753,E753,$A$2:A753,A753)=1,1,0)</f>
        <v>1</v>
      </c>
    </row>
    <row r="754" customFormat="false" ht="23.25" hidden="false" customHeight="true" outlineLevel="0" collapsed="false">
      <c r="A754" s="3" t="s">
        <v>227</v>
      </c>
      <c r="B754" s="3" t="s">
        <v>9</v>
      </c>
      <c r="C754" s="3" t="s">
        <v>1402</v>
      </c>
      <c r="D754" s="3" t="s">
        <v>1411</v>
      </c>
      <c r="E754" s="3" t="s">
        <v>96</v>
      </c>
      <c r="F754" s="4" t="s">
        <v>1555</v>
      </c>
      <c r="G754" s="4" t="s">
        <v>1556</v>
      </c>
      <c r="H754" s="3" t="n">
        <f aca="false">IF(COUNTIFS($D$2:D754,D754,$E$2:E754,E754,$A$2:A754,A754)=1,1,0)</f>
        <v>1</v>
      </c>
    </row>
    <row r="755" customFormat="false" ht="57" hidden="false" customHeight="true" outlineLevel="0" collapsed="false">
      <c r="A755" s="3" t="s">
        <v>227</v>
      </c>
      <c r="B755" s="3" t="s">
        <v>9</v>
      </c>
      <c r="C755" s="3" t="s">
        <v>1402</v>
      </c>
      <c r="D755" s="3" t="s">
        <v>1411</v>
      </c>
      <c r="E755" s="3" t="s">
        <v>12</v>
      </c>
      <c r="F755" s="4" t="s">
        <v>1557</v>
      </c>
      <c r="G755" s="4" t="s">
        <v>1558</v>
      </c>
      <c r="H755" s="3" t="n">
        <f aca="false">IF(COUNTIFS($D$2:D755,D755,$E$2:E755,E755,$A$2:A755,A755)=1,1,0)</f>
        <v>1</v>
      </c>
    </row>
    <row r="756" customFormat="false" ht="45.75" hidden="false" customHeight="true" outlineLevel="0" collapsed="false">
      <c r="A756" s="3" t="s">
        <v>227</v>
      </c>
      <c r="B756" s="3" t="s">
        <v>9</v>
      </c>
      <c r="C756" s="3" t="s">
        <v>1402</v>
      </c>
      <c r="D756" s="3" t="s">
        <v>1411</v>
      </c>
      <c r="E756" s="3" t="s">
        <v>59</v>
      </c>
      <c r="F756" s="4" t="s">
        <v>1559</v>
      </c>
      <c r="G756" s="4" t="s">
        <v>1560</v>
      </c>
      <c r="H756" s="3" t="n">
        <f aca="false">IF(COUNTIFS($D$2:D756,D756,$E$2:E756,E756,$A$2:A756,A756)=1,1,0)</f>
        <v>1</v>
      </c>
    </row>
    <row r="757" customFormat="false" ht="45.75" hidden="false" customHeight="true" outlineLevel="0" collapsed="false">
      <c r="A757" s="3" t="s">
        <v>227</v>
      </c>
      <c r="B757" s="3" t="s">
        <v>9</v>
      </c>
      <c r="C757" s="3" t="s">
        <v>1402</v>
      </c>
      <c r="D757" s="3" t="s">
        <v>470</v>
      </c>
      <c r="E757" s="3" t="s">
        <v>12</v>
      </c>
      <c r="F757" s="4" t="s">
        <v>1561</v>
      </c>
      <c r="G757" s="4" t="s">
        <v>1562</v>
      </c>
      <c r="H757" s="3" t="n">
        <f aca="false">IF(COUNTIFS($D$2:D757,D757,$E$2:E757,E757,$A$2:A757,A757)=1,1,0)</f>
        <v>1</v>
      </c>
    </row>
    <row r="758" customFormat="false" ht="23.25" hidden="false" customHeight="true" outlineLevel="0" collapsed="false">
      <c r="A758" s="3" t="s">
        <v>227</v>
      </c>
      <c r="B758" s="3" t="s">
        <v>9</v>
      </c>
      <c r="C758" s="3" t="s">
        <v>1402</v>
      </c>
      <c r="D758" s="3" t="s">
        <v>470</v>
      </c>
      <c r="E758" s="3" t="s">
        <v>12</v>
      </c>
      <c r="F758" s="4" t="s">
        <v>1563</v>
      </c>
      <c r="G758" s="4" t="s">
        <v>1564</v>
      </c>
      <c r="H758" s="3" t="n">
        <f aca="false">IF(COUNTIFS($D$2:D758,D758,$E$2:E758,E758,$A$2:A758,A758)=1,1,0)</f>
        <v>0</v>
      </c>
    </row>
    <row r="759" customFormat="false" ht="45.75" hidden="false" customHeight="true" outlineLevel="0" collapsed="false">
      <c r="A759" s="3" t="s">
        <v>227</v>
      </c>
      <c r="B759" s="3" t="s">
        <v>9</v>
      </c>
      <c r="C759" s="3" t="s">
        <v>1402</v>
      </c>
      <c r="D759" s="3" t="s">
        <v>117</v>
      </c>
      <c r="E759" s="3" t="s">
        <v>96</v>
      </c>
      <c r="F759" s="4" t="s">
        <v>1565</v>
      </c>
      <c r="G759" s="4" t="s">
        <v>1566</v>
      </c>
      <c r="H759" s="3" t="n">
        <f aca="false">IF(COUNTIFS($D$2:D759,D759,$E$2:E759,E759,$A$2:A759,A759)=1,1,0)</f>
        <v>1</v>
      </c>
    </row>
    <row r="760" customFormat="false" ht="57" hidden="false" customHeight="true" outlineLevel="0" collapsed="false">
      <c r="A760" s="3" t="s">
        <v>227</v>
      </c>
      <c r="B760" s="3" t="s">
        <v>9</v>
      </c>
      <c r="C760" s="3" t="s">
        <v>1402</v>
      </c>
      <c r="D760" s="3" t="s">
        <v>117</v>
      </c>
      <c r="E760" s="3" t="s">
        <v>59</v>
      </c>
      <c r="F760" s="4" t="s">
        <v>1567</v>
      </c>
      <c r="G760" s="4" t="s">
        <v>1568</v>
      </c>
      <c r="H760" s="3" t="n">
        <f aca="false">IF(COUNTIFS($D$2:D760,D760,$E$2:E760,E760,$A$2:A760,A760)=1,1,0)</f>
        <v>1</v>
      </c>
    </row>
    <row r="761" customFormat="false" ht="23.25" hidden="false" customHeight="true" outlineLevel="0" collapsed="false">
      <c r="A761" s="3" t="s">
        <v>227</v>
      </c>
      <c r="B761" s="3" t="s">
        <v>9</v>
      </c>
      <c r="C761" s="3" t="s">
        <v>1402</v>
      </c>
      <c r="D761" s="3" t="s">
        <v>470</v>
      </c>
      <c r="E761" s="3" t="s">
        <v>12</v>
      </c>
      <c r="F761" s="4" t="s">
        <v>1569</v>
      </c>
      <c r="G761" s="4" t="s">
        <v>1570</v>
      </c>
      <c r="H761" s="3" t="n">
        <f aca="false">IF(COUNTIFS($D$2:D761,D761,$E$2:E761,E761,$A$2:A761,A761)=1,1,0)</f>
        <v>0</v>
      </c>
    </row>
    <row r="762" customFormat="false" ht="45.75" hidden="false" customHeight="true" outlineLevel="0" collapsed="false">
      <c r="A762" s="3" t="s">
        <v>251</v>
      </c>
      <c r="B762" s="3" t="s">
        <v>9</v>
      </c>
      <c r="C762" s="3" t="s">
        <v>1402</v>
      </c>
      <c r="D762" s="3" t="s">
        <v>470</v>
      </c>
      <c r="E762" s="3" t="s">
        <v>12</v>
      </c>
      <c r="F762" s="4" t="s">
        <v>1571</v>
      </c>
      <c r="G762" s="4" t="s">
        <v>1572</v>
      </c>
      <c r="H762" s="3" t="n">
        <f aca="false">IF(COUNTIFS($D$2:D762,D762,$E$2:E762,E762,$A$2:A762,A762)=1,1,0)</f>
        <v>1</v>
      </c>
    </row>
    <row r="763" customFormat="false" ht="34.5" hidden="false" customHeight="true" outlineLevel="0" collapsed="false">
      <c r="A763" s="3" t="s">
        <v>251</v>
      </c>
      <c r="B763" s="3" t="s">
        <v>9</v>
      </c>
      <c r="C763" s="3" t="s">
        <v>1402</v>
      </c>
      <c r="D763" s="3" t="s">
        <v>470</v>
      </c>
      <c r="E763" s="3" t="s">
        <v>12</v>
      </c>
      <c r="F763" s="4" t="s">
        <v>1573</v>
      </c>
      <c r="G763" s="4" t="s">
        <v>1574</v>
      </c>
      <c r="H763" s="3" t="n">
        <f aca="false">IF(COUNTIFS($D$2:D763,D763,$E$2:E763,E763,$A$2:A763,A763)=1,1,0)</f>
        <v>0</v>
      </c>
    </row>
    <row r="764" customFormat="false" ht="45.75" hidden="false" customHeight="true" outlineLevel="0" collapsed="false">
      <c r="A764" s="3" t="s">
        <v>251</v>
      </c>
      <c r="B764" s="3" t="s">
        <v>9</v>
      </c>
      <c r="C764" s="3" t="s">
        <v>1402</v>
      </c>
      <c r="D764" s="3" t="s">
        <v>470</v>
      </c>
      <c r="E764" s="3" t="s">
        <v>12</v>
      </c>
      <c r="F764" s="4" t="s">
        <v>1575</v>
      </c>
      <c r="G764" s="4" t="s">
        <v>1576</v>
      </c>
      <c r="H764" s="3" t="n">
        <f aca="false">IF(COUNTIFS($D$2:D764,D764,$E$2:E764,E764,$A$2:A764,A764)=1,1,0)</f>
        <v>0</v>
      </c>
    </row>
    <row r="765" customFormat="false" ht="34.5" hidden="false" customHeight="true" outlineLevel="0" collapsed="false">
      <c r="A765" s="3" t="s">
        <v>251</v>
      </c>
      <c r="B765" s="3" t="s">
        <v>9</v>
      </c>
      <c r="C765" s="3" t="s">
        <v>1402</v>
      </c>
      <c r="D765" s="3" t="s">
        <v>470</v>
      </c>
      <c r="E765" s="3" t="s">
        <v>12</v>
      </c>
      <c r="F765" s="4" t="s">
        <v>1577</v>
      </c>
      <c r="G765" s="4" t="s">
        <v>1578</v>
      </c>
      <c r="H765" s="3" t="n">
        <f aca="false">IF(COUNTIFS($D$2:D765,D765,$E$2:E765,E765,$A$2:A765,A765)=1,1,0)</f>
        <v>0</v>
      </c>
    </row>
    <row r="766" customFormat="false" ht="45.75" hidden="false" customHeight="true" outlineLevel="0" collapsed="false">
      <c r="A766" s="3" t="s">
        <v>251</v>
      </c>
      <c r="B766" s="3" t="s">
        <v>9</v>
      </c>
      <c r="C766" s="3" t="s">
        <v>1402</v>
      </c>
      <c r="D766" s="3" t="s">
        <v>470</v>
      </c>
      <c r="E766" s="3" t="s">
        <v>12</v>
      </c>
      <c r="F766" s="4" t="s">
        <v>1579</v>
      </c>
      <c r="G766" s="4" t="s">
        <v>1580</v>
      </c>
      <c r="H766" s="3" t="n">
        <f aca="false">IF(COUNTIFS($D$2:D766,D766,$E$2:E766,E766,$A$2:A766,A766)=1,1,0)</f>
        <v>0</v>
      </c>
    </row>
    <row r="767" customFormat="false" ht="57" hidden="false" customHeight="true" outlineLevel="0" collapsed="false">
      <c r="A767" s="3" t="s">
        <v>251</v>
      </c>
      <c r="B767" s="3" t="s">
        <v>9</v>
      </c>
      <c r="C767" s="3" t="s">
        <v>1402</v>
      </c>
      <c r="D767" s="3" t="s">
        <v>470</v>
      </c>
      <c r="E767" s="3" t="s">
        <v>96</v>
      </c>
      <c r="F767" s="4" t="s">
        <v>1581</v>
      </c>
      <c r="G767" s="4" t="s">
        <v>1582</v>
      </c>
      <c r="H767" s="3" t="n">
        <f aca="false">IF(COUNTIFS($D$2:D767,D767,$E$2:E767,E767,$A$2:A767,A767)=1,1,0)</f>
        <v>1</v>
      </c>
    </row>
    <row r="768" customFormat="false" ht="45.75" hidden="false" customHeight="true" outlineLevel="0" collapsed="false">
      <c r="A768" s="3" t="s">
        <v>251</v>
      </c>
      <c r="B768" s="3" t="s">
        <v>9</v>
      </c>
      <c r="C768" s="3" t="s">
        <v>1402</v>
      </c>
      <c r="D768" s="3" t="s">
        <v>470</v>
      </c>
      <c r="E768" s="3" t="s">
        <v>12</v>
      </c>
      <c r="F768" s="4" t="s">
        <v>1583</v>
      </c>
      <c r="G768" s="4" t="s">
        <v>1584</v>
      </c>
      <c r="H768" s="3" t="n">
        <f aca="false">IF(COUNTIFS($D$2:D768,D768,$E$2:E768,E768,$A$2:A768,A768)=1,1,0)</f>
        <v>0</v>
      </c>
    </row>
    <row r="769" customFormat="false" ht="45.75" hidden="false" customHeight="true" outlineLevel="0" collapsed="false">
      <c r="A769" s="3" t="s">
        <v>251</v>
      </c>
      <c r="B769" s="3" t="s">
        <v>9</v>
      </c>
      <c r="C769" s="3" t="s">
        <v>1402</v>
      </c>
      <c r="D769" s="3" t="s">
        <v>1411</v>
      </c>
      <c r="E769" s="3" t="s">
        <v>24</v>
      </c>
      <c r="F769" s="4" t="s">
        <v>1585</v>
      </c>
      <c r="G769" s="4" t="s">
        <v>1586</v>
      </c>
      <c r="H769" s="3" t="n">
        <f aca="false">IF(COUNTIFS($D$2:D769,D769,$E$2:E769,E769,$A$2:A769,A769)=1,1,0)</f>
        <v>1</v>
      </c>
    </row>
    <row r="770" customFormat="false" ht="79.5" hidden="false" customHeight="true" outlineLevel="0" collapsed="false">
      <c r="A770" s="3" t="s">
        <v>251</v>
      </c>
      <c r="B770" s="3" t="s">
        <v>9</v>
      </c>
      <c r="C770" s="3" t="s">
        <v>1402</v>
      </c>
      <c r="D770" s="3" t="s">
        <v>117</v>
      </c>
      <c r="E770" s="3" t="s">
        <v>96</v>
      </c>
      <c r="F770" s="4" t="s">
        <v>1587</v>
      </c>
      <c r="G770" s="4" t="s">
        <v>1588</v>
      </c>
      <c r="H770" s="3" t="n">
        <f aca="false">IF(COUNTIFS($D$2:D770,D770,$E$2:E770,E770,$A$2:A770,A770)=1,1,0)</f>
        <v>1</v>
      </c>
    </row>
    <row r="771" customFormat="false" ht="45.75" hidden="false" customHeight="true" outlineLevel="0" collapsed="false">
      <c r="A771" s="3" t="s">
        <v>251</v>
      </c>
      <c r="B771" s="3" t="s">
        <v>9</v>
      </c>
      <c r="C771" s="3" t="s">
        <v>1402</v>
      </c>
      <c r="D771" s="3" t="s">
        <v>112</v>
      </c>
      <c r="E771" s="3" t="s">
        <v>12</v>
      </c>
      <c r="F771" s="4" t="s">
        <v>1589</v>
      </c>
      <c r="G771" s="4" t="s">
        <v>1590</v>
      </c>
      <c r="H771" s="3" t="n">
        <f aca="false">IF(COUNTIFS($D$2:D771,D771,$E$2:E771,E771,$A$2:A771,A771)=1,1,0)</f>
        <v>0</v>
      </c>
    </row>
    <row r="772" customFormat="false" ht="45.75" hidden="false" customHeight="true" outlineLevel="0" collapsed="false">
      <c r="A772" s="3" t="s">
        <v>8</v>
      </c>
      <c r="B772" s="3" t="s">
        <v>9</v>
      </c>
      <c r="C772" s="3" t="s">
        <v>1591</v>
      </c>
      <c r="D772" s="3" t="s">
        <v>234</v>
      </c>
      <c r="E772" s="3" t="s">
        <v>12</v>
      </c>
      <c r="F772" s="4" t="s">
        <v>1592</v>
      </c>
      <c r="G772" s="4" t="s">
        <v>1593</v>
      </c>
      <c r="H772" s="3" t="n">
        <f aca="false">IF(COUNTIFS($D$2:D772,D772,$E$2:E772,E772,$A$2:A772,A772)=1,1,0)</f>
        <v>1</v>
      </c>
    </row>
    <row r="773" customFormat="false" ht="90.75" hidden="false" customHeight="true" outlineLevel="0" collapsed="false">
      <c r="A773" s="3" t="s">
        <v>8</v>
      </c>
      <c r="B773" s="3" t="s">
        <v>9</v>
      </c>
      <c r="C773" s="3" t="s">
        <v>1591</v>
      </c>
      <c r="D773" s="3" t="s">
        <v>1503</v>
      </c>
      <c r="E773" s="3" t="s">
        <v>12</v>
      </c>
      <c r="F773" s="4" t="s">
        <v>1594</v>
      </c>
      <c r="G773" s="4" t="s">
        <v>1595</v>
      </c>
      <c r="H773" s="3" t="n">
        <f aca="false">IF(COUNTIFS($D$2:D773,D773,$E$2:E773,E773,$A$2:A773,A773)=1,1,0)</f>
        <v>1</v>
      </c>
    </row>
    <row r="774" customFormat="false" ht="45.75" hidden="false" customHeight="true" outlineLevel="0" collapsed="false">
      <c r="A774" s="3" t="s">
        <v>8</v>
      </c>
      <c r="B774" s="3" t="s">
        <v>9</v>
      </c>
      <c r="C774" s="3" t="s">
        <v>1591</v>
      </c>
      <c r="D774" s="3" t="s">
        <v>234</v>
      </c>
      <c r="E774" s="3" t="s">
        <v>12</v>
      </c>
      <c r="F774" s="4" t="s">
        <v>1596</v>
      </c>
      <c r="G774" s="4" t="s">
        <v>1597</v>
      </c>
      <c r="H774" s="3" t="n">
        <f aca="false">IF(COUNTIFS($D$2:D774,D774,$E$2:E774,E774,$A$2:A774,A774)=1,1,0)</f>
        <v>0</v>
      </c>
    </row>
    <row r="775" customFormat="false" ht="45.75" hidden="false" customHeight="true" outlineLevel="0" collapsed="false">
      <c r="A775" s="3" t="s">
        <v>8</v>
      </c>
      <c r="B775" s="3" t="s">
        <v>9</v>
      </c>
      <c r="C775" s="3" t="s">
        <v>1591</v>
      </c>
      <c r="D775" s="3" t="s">
        <v>1503</v>
      </c>
      <c r="E775" s="3" t="s">
        <v>24</v>
      </c>
      <c r="F775" s="4" t="s">
        <v>1598</v>
      </c>
      <c r="G775" s="4" t="s">
        <v>1599</v>
      </c>
      <c r="H775" s="3" t="n">
        <f aca="false">IF(COUNTIFS($D$2:D775,D775,$E$2:E775,E775,$A$2:A775,A775)=1,1,0)</f>
        <v>1</v>
      </c>
    </row>
    <row r="776" customFormat="false" ht="45.75" hidden="false" customHeight="true" outlineLevel="0" collapsed="false">
      <c r="A776" s="3" t="s">
        <v>8</v>
      </c>
      <c r="B776" s="3" t="s">
        <v>9</v>
      </c>
      <c r="C776" s="3" t="s">
        <v>1591</v>
      </c>
      <c r="D776" s="3" t="s">
        <v>112</v>
      </c>
      <c r="E776" s="3" t="s">
        <v>12</v>
      </c>
      <c r="F776" s="4" t="s">
        <v>1600</v>
      </c>
      <c r="G776" s="4" t="s">
        <v>1601</v>
      </c>
      <c r="H776" s="3" t="n">
        <f aca="false">IF(COUNTIFS($D$2:D776,D776,$E$2:E776,E776,$A$2:A776,A776)=1,1,0)</f>
        <v>1</v>
      </c>
    </row>
    <row r="777" customFormat="false" ht="23.25" hidden="false" customHeight="true" outlineLevel="0" collapsed="false">
      <c r="A777" s="3" t="s">
        <v>32</v>
      </c>
      <c r="B777" s="3" t="s">
        <v>9</v>
      </c>
      <c r="C777" s="3" t="s">
        <v>1591</v>
      </c>
      <c r="D777" s="3" t="s">
        <v>234</v>
      </c>
      <c r="E777" s="3" t="s">
        <v>12</v>
      </c>
      <c r="F777" s="4" t="s">
        <v>1602</v>
      </c>
      <c r="G777" s="4" t="s">
        <v>1603</v>
      </c>
      <c r="H777" s="3" t="n">
        <f aca="false">IF(COUNTIFS($D$2:D777,D777,$E$2:E777,E777,$A$2:A777,A777)=1,1,0)</f>
        <v>1</v>
      </c>
    </row>
    <row r="778" customFormat="false" ht="68.25" hidden="false" customHeight="true" outlineLevel="0" collapsed="false">
      <c r="A778" s="3" t="s">
        <v>32</v>
      </c>
      <c r="B778" s="3" t="s">
        <v>9</v>
      </c>
      <c r="C778" s="3" t="s">
        <v>1591</v>
      </c>
      <c r="D778" s="3" t="s">
        <v>234</v>
      </c>
      <c r="E778" s="3" t="s">
        <v>24</v>
      </c>
      <c r="F778" s="4" t="s">
        <v>1604</v>
      </c>
      <c r="G778" s="4" t="s">
        <v>1605</v>
      </c>
      <c r="H778" s="3" t="n">
        <f aca="false">IF(COUNTIFS($D$2:D778,D778,$E$2:E778,E778,$A$2:A778,A778)=1,1,0)</f>
        <v>1</v>
      </c>
    </row>
    <row r="779" customFormat="false" ht="45.75" hidden="false" customHeight="true" outlineLevel="0" collapsed="false">
      <c r="A779" s="3" t="s">
        <v>32</v>
      </c>
      <c r="B779" s="3" t="s">
        <v>9</v>
      </c>
      <c r="C779" s="3" t="s">
        <v>1591</v>
      </c>
      <c r="D779" s="3" t="s">
        <v>234</v>
      </c>
      <c r="E779" s="3" t="s">
        <v>24</v>
      </c>
      <c r="F779" s="4" t="s">
        <v>1606</v>
      </c>
      <c r="G779" s="4" t="s">
        <v>1607</v>
      </c>
      <c r="H779" s="3" t="n">
        <f aca="false">IF(COUNTIFS($D$2:D779,D779,$E$2:E779,E779,$A$2:A779,A779)=1,1,0)</f>
        <v>0</v>
      </c>
    </row>
    <row r="780" customFormat="false" ht="45.75" hidden="false" customHeight="true" outlineLevel="0" collapsed="false">
      <c r="A780" s="3" t="s">
        <v>32</v>
      </c>
      <c r="B780" s="3" t="s">
        <v>9</v>
      </c>
      <c r="C780" s="3" t="s">
        <v>1591</v>
      </c>
      <c r="D780" s="3" t="s">
        <v>234</v>
      </c>
      <c r="E780" s="3" t="s">
        <v>24</v>
      </c>
      <c r="F780" s="4" t="s">
        <v>1608</v>
      </c>
      <c r="G780" s="4" t="s">
        <v>1609</v>
      </c>
      <c r="H780" s="3" t="n">
        <f aca="false">IF(COUNTIFS($D$2:D780,D780,$E$2:E780,E780,$A$2:A780,A780)=1,1,0)</f>
        <v>0</v>
      </c>
    </row>
    <row r="781" customFormat="false" ht="57" hidden="false" customHeight="true" outlineLevel="0" collapsed="false">
      <c r="A781" s="3" t="s">
        <v>54</v>
      </c>
      <c r="B781" s="3" t="s">
        <v>9</v>
      </c>
      <c r="C781" s="3" t="s">
        <v>1591</v>
      </c>
      <c r="D781" s="3" t="s">
        <v>234</v>
      </c>
      <c r="E781" s="3" t="s">
        <v>12</v>
      </c>
      <c r="F781" s="4" t="s">
        <v>1610</v>
      </c>
      <c r="G781" s="4" t="s">
        <v>1611</v>
      </c>
      <c r="H781" s="3" t="n">
        <f aca="false">IF(COUNTIFS($D$2:D781,D781,$E$2:E781,E781,$A$2:A781,A781)=1,1,0)</f>
        <v>1</v>
      </c>
    </row>
    <row r="782" customFormat="false" ht="57" hidden="false" customHeight="true" outlineLevel="0" collapsed="false">
      <c r="A782" s="3" t="s">
        <v>54</v>
      </c>
      <c r="B782" s="3" t="s">
        <v>9</v>
      </c>
      <c r="C782" s="3" t="s">
        <v>1591</v>
      </c>
      <c r="D782" s="3" t="s">
        <v>1503</v>
      </c>
      <c r="E782" s="3" t="s">
        <v>12</v>
      </c>
      <c r="F782" s="4" t="s">
        <v>1612</v>
      </c>
      <c r="G782" s="4" t="s">
        <v>1613</v>
      </c>
      <c r="H782" s="3" t="n">
        <f aca="false">IF(COUNTIFS($D$2:D782,D782,$E$2:E782,E782,$A$2:A782,A782)=1,1,0)</f>
        <v>1</v>
      </c>
    </row>
    <row r="783" customFormat="false" ht="68.25" hidden="false" customHeight="true" outlineLevel="0" collapsed="false">
      <c r="A783" s="3" t="s">
        <v>72</v>
      </c>
      <c r="B783" s="3" t="s">
        <v>9</v>
      </c>
      <c r="C783" s="3" t="s">
        <v>1591</v>
      </c>
      <c r="D783" s="3" t="s">
        <v>1503</v>
      </c>
      <c r="E783" s="3" t="s">
        <v>24</v>
      </c>
      <c r="F783" s="4" t="s">
        <v>1614</v>
      </c>
      <c r="G783" s="4" t="s">
        <v>1615</v>
      </c>
      <c r="H783" s="3" t="n">
        <f aca="false">IF(COUNTIFS($D$2:D783,D783,$E$2:E783,E783,$A$2:A783,A783)=1,1,0)</f>
        <v>1</v>
      </c>
    </row>
    <row r="784" customFormat="false" ht="34.5" hidden="false" customHeight="true" outlineLevel="0" collapsed="false">
      <c r="A784" s="3" t="s">
        <v>72</v>
      </c>
      <c r="B784" s="3" t="s">
        <v>9</v>
      </c>
      <c r="C784" s="3" t="s">
        <v>1591</v>
      </c>
      <c r="D784" s="3" t="s">
        <v>234</v>
      </c>
      <c r="E784" s="3" t="s">
        <v>12</v>
      </c>
      <c r="F784" s="4" t="s">
        <v>1616</v>
      </c>
      <c r="G784" s="4" t="s">
        <v>1617</v>
      </c>
      <c r="H784" s="3" t="n">
        <f aca="false">IF(COUNTIFS($D$2:D784,D784,$E$2:E784,E784,$A$2:A784,A784)=1,1,0)</f>
        <v>0</v>
      </c>
    </row>
    <row r="785" customFormat="false" ht="23.25" hidden="false" customHeight="true" outlineLevel="0" collapsed="false">
      <c r="A785" s="3" t="s">
        <v>72</v>
      </c>
      <c r="B785" s="3" t="s">
        <v>9</v>
      </c>
      <c r="C785" s="3" t="s">
        <v>1591</v>
      </c>
      <c r="D785" s="3" t="s">
        <v>234</v>
      </c>
      <c r="E785" s="3" t="s">
        <v>12</v>
      </c>
      <c r="F785" s="4" t="s">
        <v>1618</v>
      </c>
      <c r="G785" s="4" t="s">
        <v>1619</v>
      </c>
      <c r="H785" s="3" t="n">
        <f aca="false">IF(COUNTIFS($D$2:D785,D785,$E$2:E785,E785,$A$2:A785,A785)=1,1,0)</f>
        <v>0</v>
      </c>
    </row>
    <row r="786" customFormat="false" ht="45.75" hidden="false" customHeight="true" outlineLevel="0" collapsed="false">
      <c r="A786" s="3" t="s">
        <v>72</v>
      </c>
      <c r="B786" s="3" t="s">
        <v>9</v>
      </c>
      <c r="C786" s="3" t="s">
        <v>1591</v>
      </c>
      <c r="D786" s="3" t="s">
        <v>234</v>
      </c>
      <c r="E786" s="3" t="s">
        <v>12</v>
      </c>
      <c r="F786" s="4" t="s">
        <v>1620</v>
      </c>
      <c r="G786" s="4" t="s">
        <v>1621</v>
      </c>
      <c r="H786" s="3" t="n">
        <f aca="false">IF(COUNTIFS($D$2:D786,D786,$E$2:E786,E786,$A$2:A786,A786)=1,1,0)</f>
        <v>0</v>
      </c>
    </row>
    <row r="787" customFormat="false" ht="68.25" hidden="false" customHeight="true" outlineLevel="0" collapsed="false">
      <c r="A787" s="3" t="s">
        <v>72</v>
      </c>
      <c r="B787" s="3" t="s">
        <v>9</v>
      </c>
      <c r="C787" s="3" t="s">
        <v>1591</v>
      </c>
      <c r="D787" s="3" t="s">
        <v>234</v>
      </c>
      <c r="E787" s="3" t="s">
        <v>12</v>
      </c>
      <c r="F787" s="4" t="s">
        <v>1622</v>
      </c>
      <c r="G787" s="4" t="s">
        <v>1623</v>
      </c>
      <c r="H787" s="3" t="n">
        <f aca="false">IF(COUNTIFS($D$2:D787,D787,$E$2:E787,E787,$A$2:A787,A787)=1,1,0)</f>
        <v>0</v>
      </c>
    </row>
    <row r="788" customFormat="false" ht="34.5" hidden="false" customHeight="true" outlineLevel="0" collapsed="false">
      <c r="A788" s="3" t="s">
        <v>72</v>
      </c>
      <c r="B788" s="3" t="s">
        <v>9</v>
      </c>
      <c r="C788" s="3" t="s">
        <v>1591</v>
      </c>
      <c r="D788" s="3" t="s">
        <v>234</v>
      </c>
      <c r="E788" s="3" t="s">
        <v>12</v>
      </c>
      <c r="F788" s="4" t="s">
        <v>1624</v>
      </c>
      <c r="G788" s="4" t="s">
        <v>1625</v>
      </c>
      <c r="H788" s="3" t="n">
        <f aca="false">IF(COUNTIFS($D$2:D788,D788,$E$2:E788,E788,$A$2:A788,A788)=1,1,0)</f>
        <v>0</v>
      </c>
    </row>
    <row r="789" customFormat="false" ht="45.75" hidden="false" customHeight="true" outlineLevel="0" collapsed="false">
      <c r="A789" s="3" t="s">
        <v>99</v>
      </c>
      <c r="B789" s="3" t="s">
        <v>9</v>
      </c>
      <c r="C789" s="3" t="s">
        <v>1591</v>
      </c>
      <c r="D789" s="3" t="s">
        <v>234</v>
      </c>
      <c r="E789" s="3" t="s">
        <v>12</v>
      </c>
      <c r="F789" s="4" t="s">
        <v>1626</v>
      </c>
      <c r="G789" s="4" t="s">
        <v>1627</v>
      </c>
      <c r="H789" s="3" t="n">
        <f aca="false">IF(COUNTIFS($D$2:D789,D789,$E$2:E789,E789,$A$2:A789,A789)=1,1,0)</f>
        <v>1</v>
      </c>
    </row>
    <row r="790" customFormat="false" ht="45.75" hidden="false" customHeight="true" outlineLevel="0" collapsed="false">
      <c r="A790" s="3" t="s">
        <v>99</v>
      </c>
      <c r="B790" s="3" t="s">
        <v>9</v>
      </c>
      <c r="C790" s="3" t="s">
        <v>1591</v>
      </c>
      <c r="D790" s="3" t="s">
        <v>112</v>
      </c>
      <c r="E790" s="3" t="s">
        <v>12</v>
      </c>
      <c r="F790" s="4" t="s">
        <v>1628</v>
      </c>
      <c r="G790" s="4" t="s">
        <v>1629</v>
      </c>
      <c r="H790" s="3" t="n">
        <f aca="false">IF(COUNTIFS($D$2:D790,D790,$E$2:E790,E790,$A$2:A790,A790)=1,1,0)</f>
        <v>0</v>
      </c>
    </row>
    <row r="791" customFormat="false" ht="45.75" hidden="false" customHeight="true" outlineLevel="0" collapsed="false">
      <c r="A791" s="3" t="s">
        <v>99</v>
      </c>
      <c r="B791" s="3" t="s">
        <v>9</v>
      </c>
      <c r="C791" s="3" t="s">
        <v>1591</v>
      </c>
      <c r="D791" s="3" t="s">
        <v>112</v>
      </c>
      <c r="E791" s="3" t="s">
        <v>12</v>
      </c>
      <c r="F791" s="4" t="s">
        <v>1630</v>
      </c>
      <c r="G791" s="4" t="s">
        <v>1631</v>
      </c>
      <c r="H791" s="3" t="n">
        <f aca="false">IF(COUNTIFS($D$2:D791,D791,$E$2:E791,E791,$A$2:A791,A791)=1,1,0)</f>
        <v>0</v>
      </c>
    </row>
    <row r="792" customFormat="false" ht="45.75" hidden="false" customHeight="true" outlineLevel="0" collapsed="false">
      <c r="A792" s="3" t="s">
        <v>99</v>
      </c>
      <c r="B792" s="3" t="s">
        <v>9</v>
      </c>
      <c r="C792" s="3" t="s">
        <v>1591</v>
      </c>
      <c r="D792" s="3" t="s">
        <v>457</v>
      </c>
      <c r="E792" s="3" t="s">
        <v>12</v>
      </c>
      <c r="F792" s="4" t="s">
        <v>1632</v>
      </c>
      <c r="G792" s="4" t="s">
        <v>1633</v>
      </c>
      <c r="H792" s="3" t="n">
        <f aca="false">IF(COUNTIFS($D$2:D792,D792,$E$2:E792,E792,$A$2:A792,A792)=1,1,0)</f>
        <v>1</v>
      </c>
    </row>
    <row r="793" customFormat="false" ht="34.5" hidden="false" customHeight="true" outlineLevel="0" collapsed="false">
      <c r="A793" s="3" t="s">
        <v>120</v>
      </c>
      <c r="B793" s="3" t="s">
        <v>9</v>
      </c>
      <c r="C793" s="3" t="s">
        <v>1591</v>
      </c>
      <c r="D793" s="3" t="s">
        <v>234</v>
      </c>
      <c r="E793" s="3" t="s">
        <v>12</v>
      </c>
      <c r="F793" s="4" t="s">
        <v>1634</v>
      </c>
      <c r="G793" s="4" t="s">
        <v>1333</v>
      </c>
      <c r="H793" s="3" t="n">
        <f aca="false">IF(COUNTIFS($D$2:D793,D793,$E$2:E793,E793,$A$2:A793,A793)=1,1,0)</f>
        <v>1</v>
      </c>
    </row>
    <row r="794" customFormat="false" ht="45.75" hidden="false" customHeight="true" outlineLevel="0" collapsed="false">
      <c r="A794" s="3" t="s">
        <v>120</v>
      </c>
      <c r="B794" s="3" t="s">
        <v>9</v>
      </c>
      <c r="C794" s="3" t="s">
        <v>1591</v>
      </c>
      <c r="D794" s="3" t="s">
        <v>757</v>
      </c>
      <c r="E794" s="3" t="s">
        <v>12</v>
      </c>
      <c r="F794" s="4" t="s">
        <v>1635</v>
      </c>
      <c r="G794" s="4"/>
      <c r="H794" s="3" t="n">
        <f aca="false">IF(COUNTIFS($D$2:D794,D794,$E$2:E794,E794,$A$2:A794,A794)=1,1,0)</f>
        <v>0</v>
      </c>
    </row>
    <row r="795" customFormat="false" ht="57" hidden="false" customHeight="true" outlineLevel="0" collapsed="false">
      <c r="A795" s="3" t="s">
        <v>120</v>
      </c>
      <c r="B795" s="3" t="s">
        <v>9</v>
      </c>
      <c r="C795" s="3" t="s">
        <v>1591</v>
      </c>
      <c r="D795" s="3" t="s">
        <v>416</v>
      </c>
      <c r="E795" s="3" t="s">
        <v>12</v>
      </c>
      <c r="F795" s="4" t="s">
        <v>1636</v>
      </c>
      <c r="G795" s="4"/>
      <c r="H795" s="3" t="n">
        <f aca="false">IF(COUNTIFS($D$2:D795,D795,$E$2:E795,E795,$A$2:A795,A795)=1,1,0)</f>
        <v>0</v>
      </c>
    </row>
    <row r="796" customFormat="false" ht="45.75" hidden="false" customHeight="true" outlineLevel="0" collapsed="false">
      <c r="A796" s="3" t="s">
        <v>143</v>
      </c>
      <c r="B796" s="3" t="s">
        <v>9</v>
      </c>
      <c r="C796" s="3" t="s">
        <v>1591</v>
      </c>
      <c r="D796" s="3" t="s">
        <v>112</v>
      </c>
      <c r="E796" s="3" t="s">
        <v>12</v>
      </c>
      <c r="F796" s="4" t="s">
        <v>1637</v>
      </c>
      <c r="G796" s="4" t="s">
        <v>1638</v>
      </c>
      <c r="H796" s="3" t="n">
        <f aca="false">IF(COUNTIFS($D$2:D796,D796,$E$2:E796,E796,$A$2:A796,A796)=1,1,0)</f>
        <v>1</v>
      </c>
    </row>
    <row r="797" customFormat="false" ht="34.5" hidden="false" customHeight="true" outlineLevel="0" collapsed="false">
      <c r="A797" s="3" t="s">
        <v>143</v>
      </c>
      <c r="B797" s="3" t="s">
        <v>9</v>
      </c>
      <c r="C797" s="3" t="s">
        <v>1591</v>
      </c>
      <c r="D797" s="3" t="s">
        <v>757</v>
      </c>
      <c r="E797" s="3" t="s">
        <v>12</v>
      </c>
      <c r="F797" s="4" t="s">
        <v>1639</v>
      </c>
      <c r="G797" s="4" t="s">
        <v>1640</v>
      </c>
      <c r="H797" s="3" t="n">
        <f aca="false">IF(COUNTIFS($D$2:D797,D797,$E$2:E797,E797,$A$2:A797,A797)=1,1,0)</f>
        <v>1</v>
      </c>
    </row>
    <row r="798" customFormat="false" ht="23.25" hidden="false" customHeight="true" outlineLevel="0" collapsed="false">
      <c r="A798" s="3" t="s">
        <v>143</v>
      </c>
      <c r="B798" s="3" t="s">
        <v>9</v>
      </c>
      <c r="C798" s="3" t="s">
        <v>1591</v>
      </c>
      <c r="D798" s="3" t="s">
        <v>757</v>
      </c>
      <c r="E798" s="3" t="s">
        <v>12</v>
      </c>
      <c r="F798" s="4" t="s">
        <v>1641</v>
      </c>
      <c r="G798" s="4" t="s">
        <v>1642</v>
      </c>
      <c r="H798" s="3" t="n">
        <f aca="false">IF(COUNTIFS($D$2:D798,D798,$E$2:E798,E798,$A$2:A798,A798)=1,1,0)</f>
        <v>0</v>
      </c>
    </row>
    <row r="799" customFormat="false" ht="68.25" hidden="false" customHeight="true" outlineLevel="0" collapsed="false">
      <c r="A799" s="3" t="s">
        <v>143</v>
      </c>
      <c r="B799" s="3" t="s">
        <v>9</v>
      </c>
      <c r="C799" s="3" t="s">
        <v>1591</v>
      </c>
      <c r="D799" s="3" t="s">
        <v>234</v>
      </c>
      <c r="E799" s="3" t="s">
        <v>12</v>
      </c>
      <c r="F799" s="4" t="s">
        <v>1643</v>
      </c>
      <c r="G799" s="4" t="s">
        <v>1644</v>
      </c>
      <c r="H799" s="3" t="n">
        <f aca="false">IF(COUNTIFS($D$2:D799,D799,$E$2:E799,E799,$A$2:A799,A799)=1,1,0)</f>
        <v>1</v>
      </c>
    </row>
    <row r="800" customFormat="false" ht="23.25" hidden="false" customHeight="true" outlineLevel="0" collapsed="false">
      <c r="A800" s="3" t="s">
        <v>150</v>
      </c>
      <c r="B800" s="3" t="s">
        <v>9</v>
      </c>
      <c r="C800" s="3" t="s">
        <v>1591</v>
      </c>
      <c r="D800" s="3" t="s">
        <v>234</v>
      </c>
      <c r="E800" s="3" t="s">
        <v>12</v>
      </c>
      <c r="F800" s="4" t="s">
        <v>1645</v>
      </c>
      <c r="G800" s="4" t="s">
        <v>1646</v>
      </c>
      <c r="H800" s="3" t="n">
        <f aca="false">IF(COUNTIFS($D$2:D800,D800,$E$2:E800,E800,$A$2:A800,A800)=1,1,0)</f>
        <v>1</v>
      </c>
    </row>
    <row r="801" customFormat="false" ht="45.75" hidden="false" customHeight="true" outlineLevel="0" collapsed="false">
      <c r="A801" s="3" t="s">
        <v>150</v>
      </c>
      <c r="B801" s="3" t="s">
        <v>9</v>
      </c>
      <c r="C801" s="3" t="s">
        <v>1591</v>
      </c>
      <c r="D801" s="3" t="s">
        <v>112</v>
      </c>
      <c r="E801" s="3" t="s">
        <v>12</v>
      </c>
      <c r="F801" s="4" t="s">
        <v>1647</v>
      </c>
      <c r="G801" s="4" t="s">
        <v>1648</v>
      </c>
      <c r="H801" s="3" t="n">
        <f aca="false">IF(COUNTIFS($D$2:D801,D801,$E$2:E801,E801,$A$2:A801,A801)=1,1,0)</f>
        <v>1</v>
      </c>
    </row>
    <row r="802" customFormat="false" ht="34.5" hidden="false" customHeight="true" outlineLevel="0" collapsed="false">
      <c r="A802" s="3" t="s">
        <v>150</v>
      </c>
      <c r="B802" s="3" t="s">
        <v>9</v>
      </c>
      <c r="C802" s="3" t="s">
        <v>1591</v>
      </c>
      <c r="D802" s="3" t="s">
        <v>112</v>
      </c>
      <c r="E802" s="3" t="s">
        <v>12</v>
      </c>
      <c r="F802" s="4" t="s">
        <v>1649</v>
      </c>
      <c r="G802" s="4" t="s">
        <v>1650</v>
      </c>
      <c r="H802" s="3" t="n">
        <f aca="false">IF(COUNTIFS($D$2:D802,D802,$E$2:E802,E802,$A$2:A802,A802)=1,1,0)</f>
        <v>0</v>
      </c>
    </row>
    <row r="803" customFormat="false" ht="57" hidden="false" customHeight="true" outlineLevel="0" collapsed="false">
      <c r="A803" s="3" t="s">
        <v>150</v>
      </c>
      <c r="B803" s="3" t="s">
        <v>9</v>
      </c>
      <c r="C803" s="3" t="s">
        <v>1591</v>
      </c>
      <c r="D803" s="3" t="s">
        <v>1503</v>
      </c>
      <c r="E803" s="3" t="s">
        <v>24</v>
      </c>
      <c r="F803" s="4" t="s">
        <v>1651</v>
      </c>
      <c r="G803" s="4" t="s">
        <v>1652</v>
      </c>
      <c r="H803" s="3" t="n">
        <f aca="false">IF(COUNTIFS($D$2:D803,D803,$E$2:E803,E803,$A$2:A803,A803)=1,1,0)</f>
        <v>1</v>
      </c>
    </row>
    <row r="804" customFormat="false" ht="34.5" hidden="false" customHeight="true" outlineLevel="0" collapsed="false">
      <c r="A804" s="3" t="s">
        <v>150</v>
      </c>
      <c r="B804" s="3" t="s">
        <v>9</v>
      </c>
      <c r="C804" s="3" t="s">
        <v>1591</v>
      </c>
      <c r="D804" s="3" t="s">
        <v>473</v>
      </c>
      <c r="E804" s="3" t="s">
        <v>12</v>
      </c>
      <c r="F804" s="4" t="s">
        <v>1653</v>
      </c>
      <c r="G804" s="4" t="s">
        <v>1654</v>
      </c>
      <c r="H804" s="3" t="n">
        <f aca="false">IF(COUNTIFS($D$2:D804,D804,$E$2:E804,E804,$A$2:A804,A804)=1,1,0)</f>
        <v>1</v>
      </c>
    </row>
    <row r="805" customFormat="false" ht="23.25" hidden="false" customHeight="true" outlineLevel="0" collapsed="false">
      <c r="A805" s="3" t="s">
        <v>150</v>
      </c>
      <c r="B805" s="3" t="s">
        <v>9</v>
      </c>
      <c r="C805" s="3" t="s">
        <v>1591</v>
      </c>
      <c r="D805" s="3" t="s">
        <v>1503</v>
      </c>
      <c r="E805" s="3" t="s">
        <v>24</v>
      </c>
      <c r="F805" s="4" t="s">
        <v>1655</v>
      </c>
      <c r="G805" s="4" t="s">
        <v>1656</v>
      </c>
      <c r="H805" s="3" t="n">
        <f aca="false">IF(COUNTIFS($D$2:D805,D805,$E$2:E805,E805,$A$2:A805,A805)=1,1,0)</f>
        <v>0</v>
      </c>
    </row>
    <row r="806" customFormat="false" ht="45.75" hidden="false" customHeight="true" outlineLevel="0" collapsed="false">
      <c r="A806" s="3" t="s">
        <v>171</v>
      </c>
      <c r="B806" s="3" t="s">
        <v>9</v>
      </c>
      <c r="C806" s="3" t="s">
        <v>1591</v>
      </c>
      <c r="D806" s="3" t="s">
        <v>234</v>
      </c>
      <c r="E806" s="3" t="s">
        <v>12</v>
      </c>
      <c r="F806" s="4" t="s">
        <v>1657</v>
      </c>
      <c r="G806" s="4" t="s">
        <v>1658</v>
      </c>
      <c r="H806" s="3" t="n">
        <f aca="false">IF(COUNTIFS($D$2:D806,D806,$E$2:E806,E806,$A$2:A806,A806)=1,1,0)</f>
        <v>0</v>
      </c>
    </row>
    <row r="807" customFormat="false" ht="45.75" hidden="false" customHeight="true" outlineLevel="0" collapsed="false">
      <c r="A807" s="3" t="s">
        <v>171</v>
      </c>
      <c r="B807" s="3" t="s">
        <v>9</v>
      </c>
      <c r="C807" s="3" t="s">
        <v>1591</v>
      </c>
      <c r="D807" s="3" t="s">
        <v>168</v>
      </c>
      <c r="E807" s="3" t="s">
        <v>12</v>
      </c>
      <c r="F807" s="4" t="s">
        <v>1659</v>
      </c>
      <c r="G807" s="4" t="s">
        <v>1660</v>
      </c>
      <c r="H807" s="3" t="n">
        <f aca="false">IF(COUNTIFS($D$2:D807,D807,$E$2:E807,E807,$A$2:A807,A807)=1,1,0)</f>
        <v>0</v>
      </c>
    </row>
    <row r="808" customFormat="false" ht="68.25" hidden="false" customHeight="true" outlineLevel="0" collapsed="false">
      <c r="A808" s="3" t="s">
        <v>171</v>
      </c>
      <c r="B808" s="3" t="s">
        <v>9</v>
      </c>
      <c r="C808" s="3" t="s">
        <v>1591</v>
      </c>
      <c r="D808" s="3" t="s">
        <v>168</v>
      </c>
      <c r="E808" s="3" t="s">
        <v>12</v>
      </c>
      <c r="F808" s="4" t="s">
        <v>1661</v>
      </c>
      <c r="G808" s="4" t="s">
        <v>1662</v>
      </c>
      <c r="H808" s="3" t="n">
        <f aca="false">IF(COUNTIFS($D$2:D808,D808,$E$2:E808,E808,$A$2:A808,A808)=1,1,0)</f>
        <v>0</v>
      </c>
    </row>
    <row r="809" customFormat="false" ht="57" hidden="false" customHeight="true" outlineLevel="0" collapsed="false">
      <c r="A809" s="3" t="s">
        <v>171</v>
      </c>
      <c r="B809" s="3" t="s">
        <v>9</v>
      </c>
      <c r="C809" s="3" t="s">
        <v>1591</v>
      </c>
      <c r="D809" s="3" t="s">
        <v>416</v>
      </c>
      <c r="E809" s="3" t="s">
        <v>222</v>
      </c>
      <c r="F809" s="4" t="s">
        <v>1663</v>
      </c>
      <c r="G809" s="4" t="s">
        <v>1664</v>
      </c>
      <c r="H809" s="3" t="n">
        <f aca="false">IF(COUNTIFS($D$2:D809,D809,$E$2:E809,E809,$A$2:A809,A809)=1,1,0)</f>
        <v>1</v>
      </c>
    </row>
    <row r="810" customFormat="false" ht="79.5" hidden="false" customHeight="true" outlineLevel="0" collapsed="false">
      <c r="A810" s="3" t="s">
        <v>171</v>
      </c>
      <c r="B810" s="3" t="s">
        <v>9</v>
      </c>
      <c r="C810" s="3" t="s">
        <v>1591</v>
      </c>
      <c r="D810" s="3" t="s">
        <v>457</v>
      </c>
      <c r="E810" s="3" t="s">
        <v>12</v>
      </c>
      <c r="F810" s="4" t="s">
        <v>1665</v>
      </c>
      <c r="G810" s="4" t="s">
        <v>1666</v>
      </c>
      <c r="H810" s="3" t="n">
        <f aca="false">IF(COUNTIFS($D$2:D810,D810,$E$2:E810,E810,$A$2:A810,A810)=1,1,0)</f>
        <v>1</v>
      </c>
    </row>
    <row r="811" customFormat="false" ht="79.5" hidden="false" customHeight="true" outlineLevel="0" collapsed="false">
      <c r="A811" s="3" t="s">
        <v>186</v>
      </c>
      <c r="B811" s="3" t="s">
        <v>9</v>
      </c>
      <c r="C811" s="3" t="s">
        <v>1591</v>
      </c>
      <c r="D811" s="3" t="s">
        <v>112</v>
      </c>
      <c r="E811" s="3" t="s">
        <v>12</v>
      </c>
      <c r="F811" s="4" t="s">
        <v>1667</v>
      </c>
      <c r="G811" s="4" t="s">
        <v>1668</v>
      </c>
      <c r="H811" s="3" t="n">
        <f aca="false">IF(COUNTIFS($D$2:D811,D811,$E$2:E811,E811,$A$2:A811,A811)=1,1,0)</f>
        <v>0</v>
      </c>
    </row>
    <row r="812" customFormat="false" ht="34.5" hidden="false" customHeight="true" outlineLevel="0" collapsed="false">
      <c r="A812" s="3" t="s">
        <v>186</v>
      </c>
      <c r="B812" s="3" t="s">
        <v>9</v>
      </c>
      <c r="C812" s="3" t="s">
        <v>1591</v>
      </c>
      <c r="D812" s="3" t="s">
        <v>112</v>
      </c>
      <c r="E812" s="3" t="s">
        <v>12</v>
      </c>
      <c r="F812" s="4" t="s">
        <v>1669</v>
      </c>
      <c r="G812" s="4" t="s">
        <v>200</v>
      </c>
      <c r="H812" s="3" t="n">
        <f aca="false">IF(COUNTIFS($D$2:D812,D812,$E$2:E812,E812,$A$2:A812,A812)=1,1,0)</f>
        <v>0</v>
      </c>
    </row>
    <row r="813" customFormat="false" ht="57" hidden="false" customHeight="true" outlineLevel="0" collapsed="false">
      <c r="A813" s="3" t="s">
        <v>186</v>
      </c>
      <c r="B813" s="3" t="s">
        <v>9</v>
      </c>
      <c r="C813" s="3" t="s">
        <v>1591</v>
      </c>
      <c r="D813" s="3" t="s">
        <v>112</v>
      </c>
      <c r="E813" s="3" t="s">
        <v>12</v>
      </c>
      <c r="F813" s="4" t="s">
        <v>1670</v>
      </c>
      <c r="G813" s="4" t="s">
        <v>1671</v>
      </c>
      <c r="H813" s="3" t="n">
        <f aca="false">IF(COUNTIFS($D$2:D813,D813,$E$2:E813,E813,$A$2:A813,A813)=1,1,0)</f>
        <v>0</v>
      </c>
    </row>
    <row r="814" customFormat="false" ht="34.5" hidden="false" customHeight="true" outlineLevel="0" collapsed="false">
      <c r="A814" s="3" t="s">
        <v>207</v>
      </c>
      <c r="B814" s="3" t="s">
        <v>9</v>
      </c>
      <c r="C814" s="3" t="s">
        <v>1591</v>
      </c>
      <c r="D814" s="3" t="s">
        <v>234</v>
      </c>
      <c r="E814" s="3" t="s">
        <v>12</v>
      </c>
      <c r="F814" s="4" t="s">
        <v>1672</v>
      </c>
      <c r="G814" s="4" t="s">
        <v>1673</v>
      </c>
      <c r="H814" s="3" t="n">
        <f aca="false">IF(COUNTIFS($D$2:D814,D814,$E$2:E814,E814,$A$2:A814,A814)=1,1,0)</f>
        <v>1</v>
      </c>
    </row>
    <row r="815" customFormat="false" ht="57" hidden="false" customHeight="true" outlineLevel="0" collapsed="false">
      <c r="A815" s="3" t="s">
        <v>207</v>
      </c>
      <c r="B815" s="3" t="s">
        <v>9</v>
      </c>
      <c r="C815" s="3" t="s">
        <v>1591</v>
      </c>
      <c r="D815" s="3" t="s">
        <v>27</v>
      </c>
      <c r="E815" s="3" t="s">
        <v>12</v>
      </c>
      <c r="F815" s="4" t="s">
        <v>1674</v>
      </c>
      <c r="G815" s="4" t="s">
        <v>1675</v>
      </c>
      <c r="H815" s="3" t="n">
        <f aca="false">IF(COUNTIFS($D$2:D815,D815,$E$2:E815,E815,$A$2:A815,A815)=1,1,0)</f>
        <v>1</v>
      </c>
    </row>
    <row r="816" customFormat="false" ht="23.25" hidden="false" customHeight="true" outlineLevel="0" collapsed="false">
      <c r="A816" s="3" t="s">
        <v>207</v>
      </c>
      <c r="B816" s="3" t="s">
        <v>9</v>
      </c>
      <c r="C816" s="3" t="s">
        <v>1591</v>
      </c>
      <c r="D816" s="3" t="s">
        <v>234</v>
      </c>
      <c r="E816" s="3" t="s">
        <v>12</v>
      </c>
      <c r="F816" s="4" t="s">
        <v>1676</v>
      </c>
      <c r="G816" s="4" t="s">
        <v>1677</v>
      </c>
      <c r="H816" s="3" t="n">
        <f aca="false">IF(COUNTIFS($D$2:D816,D816,$E$2:E816,E816,$A$2:A816,A816)=1,1,0)</f>
        <v>0</v>
      </c>
    </row>
    <row r="817" customFormat="false" ht="45.75" hidden="false" customHeight="true" outlineLevel="0" collapsed="false">
      <c r="A817" s="3" t="s">
        <v>207</v>
      </c>
      <c r="B817" s="3" t="s">
        <v>9</v>
      </c>
      <c r="C817" s="3" t="s">
        <v>1591</v>
      </c>
      <c r="D817" s="3" t="s">
        <v>757</v>
      </c>
      <c r="E817" s="3" t="s">
        <v>24</v>
      </c>
      <c r="F817" s="4" t="s">
        <v>1678</v>
      </c>
      <c r="G817" s="4" t="s">
        <v>1679</v>
      </c>
      <c r="H817" s="3" t="n">
        <f aca="false">IF(COUNTIFS($D$2:D817,D817,$E$2:E817,E817,$A$2:A817,A817)=1,1,0)</f>
        <v>0</v>
      </c>
    </row>
    <row r="818" customFormat="false" ht="68.25" hidden="false" customHeight="true" outlineLevel="0" collapsed="false">
      <c r="A818" s="3" t="s">
        <v>207</v>
      </c>
      <c r="B818" s="3" t="s">
        <v>9</v>
      </c>
      <c r="C818" s="3" t="s">
        <v>1591</v>
      </c>
      <c r="D818" s="3" t="s">
        <v>816</v>
      </c>
      <c r="E818" s="3" t="s">
        <v>12</v>
      </c>
      <c r="F818" s="4" t="s">
        <v>1680</v>
      </c>
      <c r="G818" s="4" t="s">
        <v>1681</v>
      </c>
      <c r="H818" s="3" t="n">
        <f aca="false">IF(COUNTIFS($D$2:D818,D818,$E$2:E818,E818,$A$2:A818,A818)=1,1,0)</f>
        <v>0</v>
      </c>
    </row>
    <row r="819" customFormat="false" ht="68.25" hidden="false" customHeight="true" outlineLevel="0" collapsed="false">
      <c r="A819" s="3" t="s">
        <v>227</v>
      </c>
      <c r="B819" s="3" t="s">
        <v>9</v>
      </c>
      <c r="C819" s="3" t="s">
        <v>1591</v>
      </c>
      <c r="D819" s="3" t="s">
        <v>234</v>
      </c>
      <c r="E819" s="3" t="s">
        <v>12</v>
      </c>
      <c r="F819" s="4" t="s">
        <v>1682</v>
      </c>
      <c r="G819" s="4" t="s">
        <v>1683</v>
      </c>
      <c r="H819" s="3" t="n">
        <f aca="false">IF(COUNTIFS($D$2:D819,D819,$E$2:E819,E819,$A$2:A819,A819)=1,1,0)</f>
        <v>0</v>
      </c>
    </row>
    <row r="820" customFormat="false" ht="45.75" hidden="false" customHeight="true" outlineLevel="0" collapsed="false">
      <c r="A820" s="3" t="s">
        <v>227</v>
      </c>
      <c r="B820" s="3" t="s">
        <v>9</v>
      </c>
      <c r="C820" s="3" t="s">
        <v>1591</v>
      </c>
      <c r="D820" s="3" t="s">
        <v>1503</v>
      </c>
      <c r="E820" s="3" t="s">
        <v>24</v>
      </c>
      <c r="F820" s="4" t="s">
        <v>1684</v>
      </c>
      <c r="G820" s="4" t="s">
        <v>1685</v>
      </c>
      <c r="H820" s="3" t="n">
        <f aca="false">IF(COUNTIFS($D$2:D820,D820,$E$2:E820,E820,$A$2:A820,A820)=1,1,0)</f>
        <v>1</v>
      </c>
    </row>
    <row r="821" customFormat="false" ht="34.5" hidden="false" customHeight="true" outlineLevel="0" collapsed="false">
      <c r="A821" s="3" t="s">
        <v>251</v>
      </c>
      <c r="B821" s="3" t="s">
        <v>9</v>
      </c>
      <c r="C821" s="3" t="s">
        <v>1591</v>
      </c>
      <c r="D821" s="3" t="s">
        <v>112</v>
      </c>
      <c r="E821" s="3" t="s">
        <v>12</v>
      </c>
      <c r="F821" s="4" t="s">
        <v>1686</v>
      </c>
      <c r="G821" s="4"/>
      <c r="H821" s="3" t="n">
        <f aca="false">IF(COUNTIFS($D$2:D821,D821,$E$2:E821,E821,$A$2:A821,A821)=1,1,0)</f>
        <v>0</v>
      </c>
    </row>
    <row r="822" customFormat="false" ht="23.25" hidden="false" customHeight="true" outlineLevel="0" collapsed="false">
      <c r="A822" s="3" t="s">
        <v>251</v>
      </c>
      <c r="B822" s="3" t="s">
        <v>9</v>
      </c>
      <c r="C822" s="3" t="s">
        <v>1591</v>
      </c>
      <c r="D822" s="3" t="s">
        <v>112</v>
      </c>
      <c r="E822" s="3" t="s">
        <v>12</v>
      </c>
      <c r="F822" s="4" t="s">
        <v>1687</v>
      </c>
      <c r="G822" s="4" t="s">
        <v>1688</v>
      </c>
      <c r="H822" s="3" t="n">
        <f aca="false">IF(COUNTIFS($D$2:D822,D822,$E$2:E822,E822,$A$2:A822,A822)=1,1,0)</f>
        <v>0</v>
      </c>
    </row>
    <row r="823" customFormat="false" ht="34.5" hidden="false" customHeight="true" outlineLevel="0" collapsed="false">
      <c r="A823" s="3" t="s">
        <v>251</v>
      </c>
      <c r="B823" s="3" t="s">
        <v>9</v>
      </c>
      <c r="C823" s="3" t="s">
        <v>1591</v>
      </c>
      <c r="D823" s="3" t="s">
        <v>112</v>
      </c>
      <c r="E823" s="3" t="s">
        <v>12</v>
      </c>
      <c r="F823" s="4" t="s">
        <v>1689</v>
      </c>
      <c r="G823" s="4" t="s">
        <v>1690</v>
      </c>
      <c r="H823" s="3" t="n">
        <f aca="false">IF(COUNTIFS($D$2:D823,D823,$E$2:E823,E823,$A$2:A823,A823)=1,1,0)</f>
        <v>0</v>
      </c>
    </row>
    <row r="824" customFormat="false" ht="45.75" hidden="false" customHeight="true" outlineLevel="0" collapsed="false">
      <c r="A824" s="3" t="s">
        <v>251</v>
      </c>
      <c r="B824" s="3" t="s">
        <v>9</v>
      </c>
      <c r="C824" s="3" t="s">
        <v>1591</v>
      </c>
      <c r="D824" s="3" t="s">
        <v>112</v>
      </c>
      <c r="E824" s="3" t="s">
        <v>12</v>
      </c>
      <c r="F824" s="4" t="s">
        <v>1691</v>
      </c>
      <c r="G824" s="4" t="s">
        <v>1692</v>
      </c>
      <c r="H824" s="3" t="n">
        <f aca="false">IF(COUNTIFS($D$2:D824,D824,$E$2:E824,E824,$A$2:A824,A824)=1,1,0)</f>
        <v>0</v>
      </c>
    </row>
    <row r="825" customFormat="false" ht="90.75" hidden="false" customHeight="true" outlineLevel="0" collapsed="false">
      <c r="A825" s="3" t="s">
        <v>251</v>
      </c>
      <c r="B825" s="3" t="s">
        <v>9</v>
      </c>
      <c r="C825" s="3" t="s">
        <v>1591</v>
      </c>
      <c r="D825" s="3" t="s">
        <v>112</v>
      </c>
      <c r="E825" s="3" t="s">
        <v>12</v>
      </c>
      <c r="F825" s="4" t="s">
        <v>1693</v>
      </c>
      <c r="G825" s="4" t="s">
        <v>1694</v>
      </c>
      <c r="H825" s="3" t="n">
        <f aca="false">IF(COUNTIFS($D$2:D825,D825,$E$2:E825,E825,$A$2:A825,A825)=1,1,0)</f>
        <v>0</v>
      </c>
    </row>
    <row r="826" customFormat="false" ht="57" hidden="false" customHeight="true" outlineLevel="0" collapsed="false">
      <c r="A826" s="3" t="s">
        <v>251</v>
      </c>
      <c r="B826" s="3" t="s">
        <v>9</v>
      </c>
      <c r="C826" s="3" t="s">
        <v>1591</v>
      </c>
      <c r="D826" s="3" t="s">
        <v>234</v>
      </c>
      <c r="E826" s="3" t="s">
        <v>12</v>
      </c>
      <c r="F826" s="4" t="s">
        <v>1695</v>
      </c>
      <c r="G826" s="4" t="s">
        <v>1696</v>
      </c>
      <c r="H826" s="3" t="n">
        <f aca="false">IF(COUNTIFS($D$2:D826,D826,$E$2:E826,E826,$A$2:A826,A826)=1,1,0)</f>
        <v>1</v>
      </c>
    </row>
    <row r="827" customFormat="false" ht="45.75" hidden="false" customHeight="true" outlineLevel="0" collapsed="false">
      <c r="A827" s="3" t="s">
        <v>251</v>
      </c>
      <c r="B827" s="3" t="s">
        <v>9</v>
      </c>
      <c r="C827" s="3" t="s">
        <v>1591</v>
      </c>
      <c r="D827" s="3" t="s">
        <v>1503</v>
      </c>
      <c r="E827" s="3" t="s">
        <v>12</v>
      </c>
      <c r="F827" s="4" t="s">
        <v>1697</v>
      </c>
      <c r="G827" s="4" t="s">
        <v>1698</v>
      </c>
      <c r="H827" s="3" t="n">
        <f aca="false">IF(COUNTIFS($D$2:D827,D827,$E$2:E827,E827,$A$2:A827,A827)=1,1,0)</f>
        <v>1</v>
      </c>
    </row>
    <row r="828" customFormat="false" ht="57" hidden="false" customHeight="true" outlineLevel="0" collapsed="false">
      <c r="A828" s="3" t="s">
        <v>8</v>
      </c>
      <c r="B828" s="3" t="s">
        <v>9</v>
      </c>
      <c r="C828" s="3" t="s">
        <v>1699</v>
      </c>
      <c r="D828" s="3" t="s">
        <v>129</v>
      </c>
      <c r="E828" s="3" t="s">
        <v>12</v>
      </c>
      <c r="F828" s="4" t="s">
        <v>1700</v>
      </c>
      <c r="G828" s="4" t="s">
        <v>1701</v>
      </c>
      <c r="H828" s="3" t="n">
        <f aca="false">IF(COUNTIFS($D$2:D828,D828,$E$2:E828,E828,$A$2:A828,A828)=1,1,0)</f>
        <v>1</v>
      </c>
    </row>
    <row r="829" customFormat="false" ht="34.5" hidden="false" customHeight="true" outlineLevel="0" collapsed="false">
      <c r="A829" s="3" t="s">
        <v>8</v>
      </c>
      <c r="B829" s="3" t="s">
        <v>9</v>
      </c>
      <c r="C829" s="3" t="s">
        <v>1699</v>
      </c>
      <c r="D829" s="3" t="s">
        <v>129</v>
      </c>
      <c r="E829" s="3" t="s">
        <v>12</v>
      </c>
      <c r="F829" s="4" t="s">
        <v>1702</v>
      </c>
      <c r="G829" s="4" t="s">
        <v>1703</v>
      </c>
      <c r="H829" s="3" t="n">
        <f aca="false">IF(COUNTIFS($D$2:D829,D829,$E$2:E829,E829,$A$2:A829,A829)=1,1,0)</f>
        <v>0</v>
      </c>
    </row>
    <row r="830" customFormat="false" ht="34.5" hidden="false" customHeight="true" outlineLevel="0" collapsed="false">
      <c r="A830" s="3" t="s">
        <v>8</v>
      </c>
      <c r="B830" s="3" t="s">
        <v>9</v>
      </c>
      <c r="C830" s="3" t="s">
        <v>1699</v>
      </c>
      <c r="D830" s="3" t="s">
        <v>129</v>
      </c>
      <c r="E830" s="3" t="s">
        <v>12</v>
      </c>
      <c r="F830" s="4" t="s">
        <v>1704</v>
      </c>
      <c r="G830" s="4" t="s">
        <v>1705</v>
      </c>
      <c r="H830" s="3" t="n">
        <f aca="false">IF(COUNTIFS($D$2:D830,D830,$E$2:E830,E830,$A$2:A830,A830)=1,1,0)</f>
        <v>0</v>
      </c>
    </row>
    <row r="831" customFormat="false" ht="57" hidden="false" customHeight="true" outlineLevel="0" collapsed="false">
      <c r="A831" s="3" t="s">
        <v>8</v>
      </c>
      <c r="B831" s="3" t="s">
        <v>9</v>
      </c>
      <c r="C831" s="3" t="s">
        <v>1699</v>
      </c>
      <c r="D831" s="3" t="s">
        <v>129</v>
      </c>
      <c r="E831" s="3" t="s">
        <v>59</v>
      </c>
      <c r="F831" s="4" t="s">
        <v>1706</v>
      </c>
      <c r="G831" s="4" t="s">
        <v>1707</v>
      </c>
      <c r="H831" s="3" t="n">
        <f aca="false">IF(COUNTIFS($D$2:D831,D831,$E$2:E831,E831,$A$2:A831,A831)=1,1,0)</f>
        <v>1</v>
      </c>
    </row>
    <row r="832" customFormat="false" ht="68.25" hidden="false" customHeight="true" outlineLevel="0" collapsed="false">
      <c r="A832" s="3" t="s">
        <v>8</v>
      </c>
      <c r="B832" s="3" t="s">
        <v>9</v>
      </c>
      <c r="C832" s="3" t="s">
        <v>1699</v>
      </c>
      <c r="D832" s="3" t="s">
        <v>816</v>
      </c>
      <c r="E832" s="3" t="s">
        <v>24</v>
      </c>
      <c r="F832" s="4" t="s">
        <v>1708</v>
      </c>
      <c r="G832" s="4" t="s">
        <v>1709</v>
      </c>
      <c r="H832" s="3" t="n">
        <f aca="false">IF(COUNTIFS($D$2:D832,D832,$E$2:E832,E832,$A$2:A832,A832)=1,1,0)</f>
        <v>1</v>
      </c>
    </row>
    <row r="833" customFormat="false" ht="57" hidden="false" customHeight="true" outlineLevel="0" collapsed="false">
      <c r="A833" s="3" t="s">
        <v>8</v>
      </c>
      <c r="B833" s="3" t="s">
        <v>9</v>
      </c>
      <c r="C833" s="3" t="s">
        <v>1699</v>
      </c>
      <c r="D833" s="3" t="s">
        <v>129</v>
      </c>
      <c r="E833" s="3" t="s">
        <v>12</v>
      </c>
      <c r="F833" s="4" t="s">
        <v>1710</v>
      </c>
      <c r="G833" s="4" t="s">
        <v>1711</v>
      </c>
      <c r="H833" s="3" t="n">
        <f aca="false">IF(COUNTIFS($D$2:D833,D833,$E$2:E833,E833,$A$2:A833,A833)=1,1,0)</f>
        <v>0</v>
      </c>
    </row>
    <row r="834" customFormat="false" ht="45.75" hidden="false" customHeight="true" outlineLevel="0" collapsed="false">
      <c r="A834" s="3" t="s">
        <v>8</v>
      </c>
      <c r="B834" s="3" t="s">
        <v>9</v>
      </c>
      <c r="C834" s="3" t="s">
        <v>1699</v>
      </c>
      <c r="D834" s="3" t="s">
        <v>816</v>
      </c>
      <c r="E834" s="3" t="s">
        <v>59</v>
      </c>
      <c r="F834" s="4" t="s">
        <v>1712</v>
      </c>
      <c r="G834" s="4" t="s">
        <v>1713</v>
      </c>
      <c r="H834" s="3" t="n">
        <f aca="false">IF(COUNTIFS($D$2:D834,D834,$E$2:E834,E834,$A$2:A834,A834)=1,1,0)</f>
        <v>1</v>
      </c>
    </row>
    <row r="835" customFormat="false" ht="57" hidden="false" customHeight="true" outlineLevel="0" collapsed="false">
      <c r="A835" s="3" t="s">
        <v>32</v>
      </c>
      <c r="B835" s="3" t="s">
        <v>9</v>
      </c>
      <c r="C835" s="3" t="s">
        <v>1699</v>
      </c>
      <c r="D835" s="3" t="s">
        <v>129</v>
      </c>
      <c r="E835" s="3" t="s">
        <v>12</v>
      </c>
      <c r="F835" s="4" t="s">
        <v>1714</v>
      </c>
      <c r="G835" s="4" t="s">
        <v>1715</v>
      </c>
      <c r="H835" s="3" t="n">
        <f aca="false">IF(COUNTIFS($D$2:D835,D835,$E$2:E835,E835,$A$2:A835,A835)=1,1,0)</f>
        <v>1</v>
      </c>
    </row>
    <row r="836" customFormat="false" ht="34.5" hidden="false" customHeight="true" outlineLevel="0" collapsed="false">
      <c r="A836" s="3" t="s">
        <v>32</v>
      </c>
      <c r="B836" s="3" t="s">
        <v>9</v>
      </c>
      <c r="C836" s="3" t="s">
        <v>1699</v>
      </c>
      <c r="D836" s="3" t="s">
        <v>129</v>
      </c>
      <c r="E836" s="3" t="s">
        <v>12</v>
      </c>
      <c r="F836" s="4" t="s">
        <v>1716</v>
      </c>
      <c r="G836" s="4" t="s">
        <v>1717</v>
      </c>
      <c r="H836" s="3" t="n">
        <f aca="false">IF(COUNTIFS($D$2:D836,D836,$E$2:E836,E836,$A$2:A836,A836)=1,1,0)</f>
        <v>0</v>
      </c>
    </row>
    <row r="837" customFormat="false" ht="45.75" hidden="false" customHeight="true" outlineLevel="0" collapsed="false">
      <c r="A837" s="3" t="s">
        <v>32</v>
      </c>
      <c r="B837" s="3" t="s">
        <v>9</v>
      </c>
      <c r="C837" s="3" t="s">
        <v>1699</v>
      </c>
      <c r="D837" s="3" t="s">
        <v>129</v>
      </c>
      <c r="E837" s="3" t="s">
        <v>12</v>
      </c>
      <c r="F837" s="4" t="s">
        <v>1718</v>
      </c>
      <c r="G837" s="4" t="s">
        <v>1719</v>
      </c>
      <c r="H837" s="3" t="n">
        <f aca="false">IF(COUNTIFS($D$2:D837,D837,$E$2:E837,E837,$A$2:A837,A837)=1,1,0)</f>
        <v>0</v>
      </c>
    </row>
    <row r="838" customFormat="false" ht="45.75" hidden="false" customHeight="true" outlineLevel="0" collapsed="false">
      <c r="A838" s="3" t="s">
        <v>32</v>
      </c>
      <c r="B838" s="3" t="s">
        <v>9</v>
      </c>
      <c r="C838" s="3" t="s">
        <v>1699</v>
      </c>
      <c r="D838" s="3" t="s">
        <v>129</v>
      </c>
      <c r="E838" s="3" t="s">
        <v>59</v>
      </c>
      <c r="F838" s="4" t="s">
        <v>1720</v>
      </c>
      <c r="G838" s="4" t="s">
        <v>1721</v>
      </c>
      <c r="H838" s="3" t="n">
        <f aca="false">IF(COUNTIFS($D$2:D838,D838,$E$2:E838,E838,$A$2:A838,A838)=1,1,0)</f>
        <v>1</v>
      </c>
    </row>
    <row r="839" customFormat="false" ht="34.5" hidden="false" customHeight="true" outlineLevel="0" collapsed="false">
      <c r="A839" s="3" t="s">
        <v>54</v>
      </c>
      <c r="B839" s="3" t="s">
        <v>9</v>
      </c>
      <c r="C839" s="3" t="s">
        <v>1699</v>
      </c>
      <c r="D839" s="3" t="s">
        <v>129</v>
      </c>
      <c r="E839" s="3" t="s">
        <v>12</v>
      </c>
      <c r="F839" s="4" t="s">
        <v>1722</v>
      </c>
      <c r="G839" s="4" t="s">
        <v>1723</v>
      </c>
      <c r="H839" s="3" t="n">
        <f aca="false">IF(COUNTIFS($D$2:D839,D839,$E$2:E839,E839,$A$2:A839,A839)=1,1,0)</f>
        <v>1</v>
      </c>
    </row>
    <row r="840" customFormat="false" ht="45.75" hidden="false" customHeight="true" outlineLevel="0" collapsed="false">
      <c r="A840" s="3" t="s">
        <v>54</v>
      </c>
      <c r="B840" s="3" t="s">
        <v>9</v>
      </c>
      <c r="C840" s="3" t="s">
        <v>1699</v>
      </c>
      <c r="D840" s="3" t="s">
        <v>129</v>
      </c>
      <c r="E840" s="3" t="s">
        <v>12</v>
      </c>
      <c r="F840" s="4" t="s">
        <v>1724</v>
      </c>
      <c r="G840" s="4" t="s">
        <v>1725</v>
      </c>
      <c r="H840" s="3" t="n">
        <f aca="false">IF(COUNTIFS($D$2:D840,D840,$E$2:E840,E840,$A$2:A840,A840)=1,1,0)</f>
        <v>0</v>
      </c>
    </row>
    <row r="841" customFormat="false" ht="45.75" hidden="false" customHeight="true" outlineLevel="0" collapsed="false">
      <c r="A841" s="3" t="s">
        <v>54</v>
      </c>
      <c r="B841" s="3" t="s">
        <v>9</v>
      </c>
      <c r="C841" s="3" t="s">
        <v>1699</v>
      </c>
      <c r="D841" s="3" t="s">
        <v>129</v>
      </c>
      <c r="E841" s="3" t="s">
        <v>12</v>
      </c>
      <c r="F841" s="4" t="s">
        <v>1726</v>
      </c>
      <c r="G841" s="4" t="s">
        <v>1727</v>
      </c>
      <c r="H841" s="3" t="n">
        <f aca="false">IF(COUNTIFS($D$2:D841,D841,$E$2:E841,E841,$A$2:A841,A841)=1,1,0)</f>
        <v>0</v>
      </c>
    </row>
    <row r="842" customFormat="false" ht="45.75" hidden="false" customHeight="true" outlineLevel="0" collapsed="false">
      <c r="A842" s="3" t="s">
        <v>54</v>
      </c>
      <c r="B842" s="3" t="s">
        <v>9</v>
      </c>
      <c r="C842" s="3" t="s">
        <v>1699</v>
      </c>
      <c r="D842" s="3" t="s">
        <v>129</v>
      </c>
      <c r="E842" s="3" t="s">
        <v>12</v>
      </c>
      <c r="F842" s="4" t="s">
        <v>1728</v>
      </c>
      <c r="G842" s="4" t="s">
        <v>1729</v>
      </c>
      <c r="H842" s="3" t="n">
        <f aca="false">IF(COUNTIFS($D$2:D842,D842,$E$2:E842,E842,$A$2:A842,A842)=1,1,0)</f>
        <v>0</v>
      </c>
    </row>
    <row r="843" customFormat="false" ht="79.5" hidden="false" customHeight="true" outlineLevel="0" collapsed="false">
      <c r="A843" s="3" t="s">
        <v>54</v>
      </c>
      <c r="B843" s="3" t="s">
        <v>9</v>
      </c>
      <c r="C843" s="3" t="s">
        <v>1699</v>
      </c>
      <c r="D843" s="3" t="s">
        <v>129</v>
      </c>
      <c r="E843" s="3" t="s">
        <v>12</v>
      </c>
      <c r="F843" s="4" t="s">
        <v>1730</v>
      </c>
      <c r="G843" s="4" t="s">
        <v>1731</v>
      </c>
      <c r="H843" s="3" t="n">
        <f aca="false">IF(COUNTIFS($D$2:D843,D843,$E$2:E843,E843,$A$2:A843,A843)=1,1,0)</f>
        <v>0</v>
      </c>
    </row>
    <row r="844" customFormat="false" ht="34.5" hidden="false" customHeight="true" outlineLevel="0" collapsed="false">
      <c r="A844" s="3" t="s">
        <v>54</v>
      </c>
      <c r="B844" s="3" t="s">
        <v>9</v>
      </c>
      <c r="C844" s="3" t="s">
        <v>1699</v>
      </c>
      <c r="D844" s="3" t="s">
        <v>234</v>
      </c>
      <c r="E844" s="3" t="s">
        <v>24</v>
      </c>
      <c r="F844" s="4" t="s">
        <v>1732</v>
      </c>
      <c r="G844" s="4" t="s">
        <v>1733</v>
      </c>
      <c r="H844" s="3" t="n">
        <f aca="false">IF(COUNTIFS($D$2:D844,D844,$E$2:E844,E844,$A$2:A844,A844)=1,1,0)</f>
        <v>1</v>
      </c>
    </row>
    <row r="845" customFormat="false" ht="34.5" hidden="false" customHeight="true" outlineLevel="0" collapsed="false">
      <c r="A845" s="3" t="s">
        <v>54</v>
      </c>
      <c r="B845" s="3" t="s">
        <v>9</v>
      </c>
      <c r="C845" s="3" t="s">
        <v>1699</v>
      </c>
      <c r="D845" s="3" t="s">
        <v>27</v>
      </c>
      <c r="E845" s="3" t="s">
        <v>12</v>
      </c>
      <c r="F845" s="4" t="s">
        <v>1734</v>
      </c>
      <c r="G845" s="4" t="s">
        <v>1735</v>
      </c>
      <c r="H845" s="3" t="n">
        <f aca="false">IF(COUNTIFS($D$2:D845,D845,$E$2:E845,E845,$A$2:A845,A845)=1,1,0)</f>
        <v>1</v>
      </c>
    </row>
    <row r="846" customFormat="false" ht="34.5" hidden="false" customHeight="true" outlineLevel="0" collapsed="false">
      <c r="A846" s="3" t="s">
        <v>54</v>
      </c>
      <c r="B846" s="3" t="s">
        <v>9</v>
      </c>
      <c r="C846" s="3" t="s">
        <v>1699</v>
      </c>
      <c r="D846" s="3" t="s">
        <v>234</v>
      </c>
      <c r="E846" s="3" t="s">
        <v>24</v>
      </c>
      <c r="F846" s="4" t="s">
        <v>1736</v>
      </c>
      <c r="G846" s="4" t="s">
        <v>1737</v>
      </c>
      <c r="H846" s="3" t="n">
        <f aca="false">IF(COUNTIFS($D$2:D846,D846,$E$2:E846,E846,$A$2:A846,A846)=1,1,0)</f>
        <v>0</v>
      </c>
    </row>
    <row r="847" customFormat="false" ht="57" hidden="false" customHeight="true" outlineLevel="0" collapsed="false">
      <c r="A847" s="3" t="s">
        <v>54</v>
      </c>
      <c r="B847" s="3" t="s">
        <v>9</v>
      </c>
      <c r="C847" s="3" t="s">
        <v>1699</v>
      </c>
      <c r="D847" s="3" t="s">
        <v>27</v>
      </c>
      <c r="E847" s="3" t="s">
        <v>96</v>
      </c>
      <c r="F847" s="4" t="s">
        <v>1738</v>
      </c>
      <c r="G847" s="4" t="s">
        <v>1739</v>
      </c>
      <c r="H847" s="3" t="n">
        <f aca="false">IF(COUNTIFS($D$2:D847,D847,$E$2:E847,E847,$A$2:A847,A847)=1,1,0)</f>
        <v>1</v>
      </c>
    </row>
    <row r="848" customFormat="false" ht="45.75" hidden="false" customHeight="true" outlineLevel="0" collapsed="false">
      <c r="A848" s="3" t="s">
        <v>54</v>
      </c>
      <c r="B848" s="3" t="s">
        <v>9</v>
      </c>
      <c r="C848" s="3" t="s">
        <v>1699</v>
      </c>
      <c r="D848" s="3" t="s">
        <v>129</v>
      </c>
      <c r="E848" s="3" t="s">
        <v>59</v>
      </c>
      <c r="F848" s="4" t="s">
        <v>1740</v>
      </c>
      <c r="G848" s="4" t="s">
        <v>1741</v>
      </c>
      <c r="H848" s="3" t="n">
        <f aca="false">IF(COUNTIFS($D$2:D848,D848,$E$2:E848,E848,$A$2:A848,A848)=1,1,0)</f>
        <v>1</v>
      </c>
    </row>
    <row r="849" customFormat="false" ht="57" hidden="false" customHeight="true" outlineLevel="0" collapsed="false">
      <c r="A849" s="3" t="s">
        <v>54</v>
      </c>
      <c r="B849" s="3" t="s">
        <v>9</v>
      </c>
      <c r="C849" s="3" t="s">
        <v>1699</v>
      </c>
      <c r="D849" s="3" t="s">
        <v>168</v>
      </c>
      <c r="E849" s="3" t="s">
        <v>59</v>
      </c>
      <c r="F849" s="4" t="s">
        <v>1742</v>
      </c>
      <c r="G849" s="4" t="s">
        <v>1743</v>
      </c>
      <c r="H849" s="3" t="n">
        <f aca="false">IF(COUNTIFS($D$2:D849,D849,$E$2:E849,E849,$A$2:A849,A849)=1,1,0)</f>
        <v>1</v>
      </c>
    </row>
    <row r="850" customFormat="false" ht="90.75" hidden="false" customHeight="true" outlineLevel="0" collapsed="false">
      <c r="A850" s="3" t="s">
        <v>54</v>
      </c>
      <c r="B850" s="3" t="s">
        <v>9</v>
      </c>
      <c r="C850" s="3" t="s">
        <v>1699</v>
      </c>
      <c r="D850" s="3" t="s">
        <v>168</v>
      </c>
      <c r="E850" s="3" t="s">
        <v>12</v>
      </c>
      <c r="F850" s="4" t="s">
        <v>1744</v>
      </c>
      <c r="G850" s="4" t="s">
        <v>1745</v>
      </c>
      <c r="H850" s="3" t="n">
        <f aca="false">IF(COUNTIFS($D$2:D850,D850,$E$2:E850,E850,$A$2:A850,A850)=1,1,0)</f>
        <v>0</v>
      </c>
    </row>
    <row r="851" customFormat="false" ht="45.75" hidden="false" customHeight="true" outlineLevel="0" collapsed="false">
      <c r="A851" s="3" t="s">
        <v>72</v>
      </c>
      <c r="B851" s="3" t="s">
        <v>9</v>
      </c>
      <c r="C851" s="3" t="s">
        <v>1699</v>
      </c>
      <c r="D851" s="3" t="s">
        <v>129</v>
      </c>
      <c r="E851" s="3" t="s">
        <v>12</v>
      </c>
      <c r="F851" s="4" t="s">
        <v>1746</v>
      </c>
      <c r="G851" s="4" t="s">
        <v>1747</v>
      </c>
      <c r="H851" s="3" t="n">
        <f aca="false">IF(COUNTIFS($D$2:D851,D851,$E$2:E851,E851,$A$2:A851,A851)=1,1,0)</f>
        <v>1</v>
      </c>
    </row>
    <row r="852" customFormat="false" ht="45.75" hidden="false" customHeight="true" outlineLevel="0" collapsed="false">
      <c r="A852" s="3" t="s">
        <v>72</v>
      </c>
      <c r="B852" s="3" t="s">
        <v>9</v>
      </c>
      <c r="C852" s="3" t="s">
        <v>1699</v>
      </c>
      <c r="D852" s="3" t="s">
        <v>129</v>
      </c>
      <c r="E852" s="3" t="s">
        <v>12</v>
      </c>
      <c r="F852" s="4" t="s">
        <v>1748</v>
      </c>
      <c r="G852" s="4" t="s">
        <v>1749</v>
      </c>
      <c r="H852" s="3" t="n">
        <f aca="false">IF(COUNTIFS($D$2:D852,D852,$E$2:E852,E852,$A$2:A852,A852)=1,1,0)</f>
        <v>0</v>
      </c>
    </row>
    <row r="853" customFormat="false" ht="23.25" hidden="false" customHeight="true" outlineLevel="0" collapsed="false">
      <c r="A853" s="3" t="s">
        <v>72</v>
      </c>
      <c r="B853" s="3" t="s">
        <v>9</v>
      </c>
      <c r="C853" s="3" t="s">
        <v>1699</v>
      </c>
      <c r="D853" s="3" t="s">
        <v>129</v>
      </c>
      <c r="E853" s="3" t="s">
        <v>12</v>
      </c>
      <c r="F853" s="4" t="s">
        <v>1750</v>
      </c>
      <c r="G853" s="4" t="s">
        <v>1751</v>
      </c>
      <c r="H853" s="3" t="n">
        <f aca="false">IF(COUNTIFS($D$2:D853,D853,$E$2:E853,E853,$A$2:A853,A853)=1,1,0)</f>
        <v>0</v>
      </c>
    </row>
    <row r="854" customFormat="false" ht="45.75" hidden="false" customHeight="true" outlineLevel="0" collapsed="false">
      <c r="A854" s="3" t="s">
        <v>72</v>
      </c>
      <c r="B854" s="3" t="s">
        <v>9</v>
      </c>
      <c r="C854" s="3" t="s">
        <v>1699</v>
      </c>
      <c r="D854" s="3" t="s">
        <v>11</v>
      </c>
      <c r="E854" s="3" t="s">
        <v>12</v>
      </c>
      <c r="F854" s="4" t="s">
        <v>1752</v>
      </c>
      <c r="G854" s="4" t="s">
        <v>1753</v>
      </c>
      <c r="H854" s="3" t="n">
        <f aca="false">IF(COUNTIFS($D$2:D854,D854,$E$2:E854,E854,$A$2:A854,A854)=1,1,0)</f>
        <v>0</v>
      </c>
    </row>
    <row r="855" customFormat="false" ht="45.75" hidden="false" customHeight="true" outlineLevel="0" collapsed="false">
      <c r="A855" s="3" t="s">
        <v>72</v>
      </c>
      <c r="B855" s="3" t="s">
        <v>9</v>
      </c>
      <c r="C855" s="3" t="s">
        <v>1699</v>
      </c>
      <c r="D855" s="3" t="s">
        <v>11</v>
      </c>
      <c r="E855" s="3" t="s">
        <v>12</v>
      </c>
      <c r="F855" s="4" t="s">
        <v>1754</v>
      </c>
      <c r="G855" s="4" t="s">
        <v>1755</v>
      </c>
      <c r="H855" s="3" t="n">
        <f aca="false">IF(COUNTIFS($D$2:D855,D855,$E$2:E855,E855,$A$2:A855,A855)=1,1,0)</f>
        <v>0</v>
      </c>
    </row>
    <row r="856" customFormat="false" ht="57" hidden="false" customHeight="true" outlineLevel="0" collapsed="false">
      <c r="A856" s="3" t="s">
        <v>72</v>
      </c>
      <c r="B856" s="3" t="s">
        <v>9</v>
      </c>
      <c r="C856" s="3" t="s">
        <v>1699</v>
      </c>
      <c r="D856" s="3" t="s">
        <v>129</v>
      </c>
      <c r="E856" s="3" t="s">
        <v>12</v>
      </c>
      <c r="F856" s="4" t="s">
        <v>1756</v>
      </c>
      <c r="G856" s="4" t="s">
        <v>1757</v>
      </c>
      <c r="H856" s="3" t="n">
        <f aca="false">IF(COUNTIFS($D$2:D856,D856,$E$2:E856,E856,$A$2:A856,A856)=1,1,0)</f>
        <v>0</v>
      </c>
    </row>
    <row r="857" customFormat="false" ht="57" hidden="false" customHeight="true" outlineLevel="0" collapsed="false">
      <c r="A857" s="3" t="s">
        <v>72</v>
      </c>
      <c r="B857" s="3" t="s">
        <v>9</v>
      </c>
      <c r="C857" s="3" t="s">
        <v>1699</v>
      </c>
      <c r="D857" s="3" t="s">
        <v>129</v>
      </c>
      <c r="E857" s="3" t="s">
        <v>12</v>
      </c>
      <c r="F857" s="4" t="s">
        <v>1758</v>
      </c>
      <c r="G857" s="4" t="s">
        <v>1759</v>
      </c>
      <c r="H857" s="3" t="n">
        <f aca="false">IF(COUNTIFS($D$2:D857,D857,$E$2:E857,E857,$A$2:A857,A857)=1,1,0)</f>
        <v>0</v>
      </c>
    </row>
    <row r="858" customFormat="false" ht="45.75" hidden="false" customHeight="true" outlineLevel="0" collapsed="false">
      <c r="A858" s="3" t="s">
        <v>72</v>
      </c>
      <c r="B858" s="3" t="s">
        <v>9</v>
      </c>
      <c r="C858" s="3" t="s">
        <v>1699</v>
      </c>
      <c r="D858" s="3" t="s">
        <v>129</v>
      </c>
      <c r="E858" s="3" t="s">
        <v>12</v>
      </c>
      <c r="F858" s="4" t="s">
        <v>1760</v>
      </c>
      <c r="G858" s="4" t="s">
        <v>1761</v>
      </c>
      <c r="H858" s="3" t="n">
        <f aca="false">IF(COUNTIFS($D$2:D858,D858,$E$2:E858,E858,$A$2:A858,A858)=1,1,0)</f>
        <v>0</v>
      </c>
    </row>
    <row r="859" customFormat="false" ht="57" hidden="false" customHeight="true" outlineLevel="0" collapsed="false">
      <c r="A859" s="3" t="s">
        <v>99</v>
      </c>
      <c r="B859" s="3" t="s">
        <v>9</v>
      </c>
      <c r="C859" s="3" t="s">
        <v>1699</v>
      </c>
      <c r="D859" s="3" t="s">
        <v>129</v>
      </c>
      <c r="E859" s="3" t="s">
        <v>12</v>
      </c>
      <c r="F859" s="4" t="s">
        <v>1762</v>
      </c>
      <c r="G859" s="4" t="s">
        <v>1763</v>
      </c>
      <c r="H859" s="3" t="n">
        <f aca="false">IF(COUNTIFS($D$2:D859,D859,$E$2:E859,E859,$A$2:A859,A859)=1,1,0)</f>
        <v>1</v>
      </c>
    </row>
    <row r="860" customFormat="false" ht="34.5" hidden="false" customHeight="true" outlineLevel="0" collapsed="false">
      <c r="A860" s="3" t="s">
        <v>99</v>
      </c>
      <c r="B860" s="3" t="s">
        <v>9</v>
      </c>
      <c r="C860" s="3" t="s">
        <v>1699</v>
      </c>
      <c r="D860" s="3" t="s">
        <v>457</v>
      </c>
      <c r="E860" s="3" t="s">
        <v>59</v>
      </c>
      <c r="F860" s="4" t="s">
        <v>1764</v>
      </c>
      <c r="G860" s="4" t="s">
        <v>1765</v>
      </c>
      <c r="H860" s="3" t="n">
        <f aca="false">IF(COUNTIFS($D$2:D860,D860,$E$2:E860,E860,$A$2:A860,A860)=1,1,0)</f>
        <v>1</v>
      </c>
    </row>
    <row r="861" customFormat="false" ht="34.5" hidden="false" customHeight="true" outlineLevel="0" collapsed="false">
      <c r="A861" s="3" t="s">
        <v>99</v>
      </c>
      <c r="B861" s="3" t="s">
        <v>9</v>
      </c>
      <c r="C861" s="3" t="s">
        <v>1699</v>
      </c>
      <c r="D861" s="3" t="s">
        <v>129</v>
      </c>
      <c r="E861" s="3" t="s">
        <v>24</v>
      </c>
      <c r="F861" s="4" t="s">
        <v>1766</v>
      </c>
      <c r="G861" s="4" t="s">
        <v>1767</v>
      </c>
      <c r="H861" s="3" t="n">
        <f aca="false">IF(COUNTIFS($D$2:D861,D861,$E$2:E861,E861,$A$2:A861,A861)=1,1,0)</f>
        <v>1</v>
      </c>
    </row>
    <row r="862" customFormat="false" ht="34.5" hidden="false" customHeight="true" outlineLevel="0" collapsed="false">
      <c r="A862" s="3" t="s">
        <v>99</v>
      </c>
      <c r="B862" s="3" t="s">
        <v>9</v>
      </c>
      <c r="C862" s="3" t="s">
        <v>1699</v>
      </c>
      <c r="D862" s="3" t="s">
        <v>129</v>
      </c>
      <c r="E862" s="3" t="s">
        <v>12</v>
      </c>
      <c r="F862" s="4" t="s">
        <v>1768</v>
      </c>
      <c r="G862" s="4" t="s">
        <v>1769</v>
      </c>
      <c r="H862" s="3" t="n">
        <f aca="false">IF(COUNTIFS($D$2:D862,D862,$E$2:E862,E862,$A$2:A862,A862)=1,1,0)</f>
        <v>0</v>
      </c>
    </row>
    <row r="863" customFormat="false" ht="34.5" hidden="false" customHeight="true" outlineLevel="0" collapsed="false">
      <c r="A863" s="3" t="s">
        <v>99</v>
      </c>
      <c r="B863" s="3" t="s">
        <v>9</v>
      </c>
      <c r="C863" s="3" t="s">
        <v>1699</v>
      </c>
      <c r="D863" s="3" t="s">
        <v>1411</v>
      </c>
      <c r="E863" s="3" t="s">
        <v>96</v>
      </c>
      <c r="F863" s="4" t="s">
        <v>1770</v>
      </c>
      <c r="G863" s="4" t="s">
        <v>1771</v>
      </c>
      <c r="H863" s="3" t="n">
        <f aca="false">IF(COUNTIFS($D$2:D863,D863,$E$2:E863,E863,$A$2:A863,A863)=1,1,0)</f>
        <v>0</v>
      </c>
    </row>
    <row r="864" customFormat="false" ht="34.5" hidden="false" customHeight="true" outlineLevel="0" collapsed="false">
      <c r="A864" s="3" t="s">
        <v>120</v>
      </c>
      <c r="B864" s="3" t="s">
        <v>9</v>
      </c>
      <c r="C864" s="3" t="s">
        <v>1699</v>
      </c>
      <c r="D864" s="3" t="s">
        <v>129</v>
      </c>
      <c r="E864" s="3" t="s">
        <v>12</v>
      </c>
      <c r="F864" s="4" t="s">
        <v>1772</v>
      </c>
      <c r="G864" s="4" t="s">
        <v>1773</v>
      </c>
      <c r="H864" s="3" t="n">
        <f aca="false">IF(COUNTIFS($D$2:D864,D864,$E$2:E864,E864,$A$2:A864,A864)=1,1,0)</f>
        <v>0</v>
      </c>
    </row>
    <row r="865" customFormat="false" ht="34.5" hidden="false" customHeight="true" outlineLevel="0" collapsed="false">
      <c r="A865" s="3" t="s">
        <v>120</v>
      </c>
      <c r="B865" s="3" t="s">
        <v>9</v>
      </c>
      <c r="C865" s="3" t="s">
        <v>1699</v>
      </c>
      <c r="D865" s="3" t="s">
        <v>129</v>
      </c>
      <c r="E865" s="3" t="s">
        <v>12</v>
      </c>
      <c r="F865" s="4" t="s">
        <v>1774</v>
      </c>
      <c r="G865" s="4" t="s">
        <v>1775</v>
      </c>
      <c r="H865" s="3" t="n">
        <f aca="false">IF(COUNTIFS($D$2:D865,D865,$E$2:E865,E865,$A$2:A865,A865)=1,1,0)</f>
        <v>0</v>
      </c>
    </row>
    <row r="866" customFormat="false" ht="45.75" hidden="false" customHeight="true" outlineLevel="0" collapsed="false">
      <c r="A866" s="3" t="s">
        <v>120</v>
      </c>
      <c r="B866" s="3" t="s">
        <v>9</v>
      </c>
      <c r="C866" s="3" t="s">
        <v>1699</v>
      </c>
      <c r="D866" s="3" t="s">
        <v>129</v>
      </c>
      <c r="E866" s="3" t="s">
        <v>12</v>
      </c>
      <c r="F866" s="4" t="s">
        <v>1776</v>
      </c>
      <c r="G866" s="4" t="s">
        <v>1777</v>
      </c>
      <c r="H866" s="3" t="n">
        <f aca="false">IF(COUNTIFS($D$2:D866,D866,$E$2:E866,E866,$A$2:A866,A866)=1,1,0)</f>
        <v>0</v>
      </c>
    </row>
    <row r="867" customFormat="false" ht="34.5" hidden="false" customHeight="true" outlineLevel="0" collapsed="false">
      <c r="A867" s="3" t="s">
        <v>120</v>
      </c>
      <c r="B867" s="3" t="s">
        <v>9</v>
      </c>
      <c r="C867" s="3" t="s">
        <v>1699</v>
      </c>
      <c r="D867" s="3" t="s">
        <v>129</v>
      </c>
      <c r="E867" s="3" t="s">
        <v>59</v>
      </c>
      <c r="F867" s="4" t="s">
        <v>1778</v>
      </c>
      <c r="G867" s="4" t="s">
        <v>1779</v>
      </c>
      <c r="H867" s="3" t="n">
        <f aca="false">IF(COUNTIFS($D$2:D867,D867,$E$2:E867,E867,$A$2:A867,A867)=1,1,0)</f>
        <v>1</v>
      </c>
    </row>
    <row r="868" customFormat="false" ht="34.5" hidden="false" customHeight="true" outlineLevel="0" collapsed="false">
      <c r="A868" s="3" t="s">
        <v>120</v>
      </c>
      <c r="B868" s="3" t="s">
        <v>9</v>
      </c>
      <c r="C868" s="3" t="s">
        <v>1699</v>
      </c>
      <c r="D868" s="3" t="s">
        <v>129</v>
      </c>
      <c r="E868" s="3" t="s">
        <v>59</v>
      </c>
      <c r="F868" s="4" t="s">
        <v>1780</v>
      </c>
      <c r="G868" s="4" t="s">
        <v>1781</v>
      </c>
      <c r="H868" s="3" t="n">
        <f aca="false">IF(COUNTIFS($D$2:D868,D868,$E$2:E868,E868,$A$2:A868,A868)=1,1,0)</f>
        <v>0</v>
      </c>
    </row>
    <row r="869" customFormat="false" ht="23.25" hidden="false" customHeight="true" outlineLevel="0" collapsed="false">
      <c r="A869" s="3" t="s">
        <v>120</v>
      </c>
      <c r="B869" s="3" t="s">
        <v>9</v>
      </c>
      <c r="C869" s="3" t="s">
        <v>1699</v>
      </c>
      <c r="D869" s="3" t="s">
        <v>129</v>
      </c>
      <c r="E869" s="3" t="s">
        <v>24</v>
      </c>
      <c r="F869" s="4" t="s">
        <v>1782</v>
      </c>
      <c r="G869" s="4" t="s">
        <v>1783</v>
      </c>
      <c r="H869" s="3" t="n">
        <f aca="false">IF(COUNTIFS($D$2:D869,D869,$E$2:E869,E869,$A$2:A869,A869)=1,1,0)</f>
        <v>1</v>
      </c>
    </row>
    <row r="870" customFormat="false" ht="34.5" hidden="false" customHeight="true" outlineLevel="0" collapsed="false">
      <c r="A870" s="3" t="s">
        <v>120</v>
      </c>
      <c r="B870" s="3" t="s">
        <v>9</v>
      </c>
      <c r="C870" s="3" t="s">
        <v>1699</v>
      </c>
      <c r="D870" s="3" t="s">
        <v>37</v>
      </c>
      <c r="E870" s="3" t="s">
        <v>96</v>
      </c>
      <c r="F870" s="4" t="s">
        <v>1784</v>
      </c>
      <c r="G870" s="4" t="s">
        <v>1785</v>
      </c>
      <c r="H870" s="3" t="n">
        <f aca="false">IF(COUNTIFS($D$2:D870,D870,$E$2:E870,E870,$A$2:A870,A870)=1,1,0)</f>
        <v>1</v>
      </c>
    </row>
    <row r="871" customFormat="false" ht="34.5" hidden="false" customHeight="true" outlineLevel="0" collapsed="false">
      <c r="A871" s="3" t="s">
        <v>120</v>
      </c>
      <c r="B871" s="3" t="s">
        <v>9</v>
      </c>
      <c r="C871" s="3" t="s">
        <v>1699</v>
      </c>
      <c r="D871" s="3" t="s">
        <v>129</v>
      </c>
      <c r="E871" s="3" t="s">
        <v>12</v>
      </c>
      <c r="F871" s="4" t="s">
        <v>1786</v>
      </c>
      <c r="G871" s="4" t="s">
        <v>1787</v>
      </c>
      <c r="H871" s="3" t="n">
        <f aca="false">IF(COUNTIFS($D$2:D871,D871,$E$2:E871,E871,$A$2:A871,A871)=1,1,0)</f>
        <v>0</v>
      </c>
    </row>
    <row r="872" customFormat="false" ht="34.5" hidden="false" customHeight="true" outlineLevel="0" collapsed="false">
      <c r="A872" s="3" t="s">
        <v>120</v>
      </c>
      <c r="B872" s="3" t="s">
        <v>9</v>
      </c>
      <c r="C872" s="3" t="s">
        <v>1699</v>
      </c>
      <c r="D872" s="3" t="s">
        <v>37</v>
      </c>
      <c r="E872" s="3" t="s">
        <v>12</v>
      </c>
      <c r="F872" s="4" t="s">
        <v>1788</v>
      </c>
      <c r="G872" s="4" t="s">
        <v>1789</v>
      </c>
      <c r="H872" s="3" t="n">
        <f aca="false">IF(COUNTIFS($D$2:D872,D872,$E$2:E872,E872,$A$2:A872,A872)=1,1,0)</f>
        <v>0</v>
      </c>
    </row>
    <row r="873" customFormat="false" ht="45.75" hidden="false" customHeight="true" outlineLevel="0" collapsed="false">
      <c r="A873" s="3" t="s">
        <v>120</v>
      </c>
      <c r="B873" s="3" t="s">
        <v>9</v>
      </c>
      <c r="C873" s="3" t="s">
        <v>1699</v>
      </c>
      <c r="D873" s="3" t="s">
        <v>129</v>
      </c>
      <c r="E873" s="3" t="s">
        <v>24</v>
      </c>
      <c r="F873" s="4" t="s">
        <v>1790</v>
      </c>
      <c r="G873" s="4" t="s">
        <v>1791</v>
      </c>
      <c r="H873" s="3" t="n">
        <f aca="false">IF(COUNTIFS($D$2:D873,D873,$E$2:E873,E873,$A$2:A873,A873)=1,1,0)</f>
        <v>0</v>
      </c>
    </row>
    <row r="874" customFormat="false" ht="34.5" hidden="false" customHeight="true" outlineLevel="0" collapsed="false">
      <c r="A874" s="3" t="s">
        <v>143</v>
      </c>
      <c r="B874" s="3" t="s">
        <v>9</v>
      </c>
      <c r="C874" s="3" t="s">
        <v>1699</v>
      </c>
      <c r="D874" s="3" t="s">
        <v>129</v>
      </c>
      <c r="E874" s="3" t="s">
        <v>12</v>
      </c>
      <c r="F874" s="4" t="s">
        <v>1792</v>
      </c>
      <c r="G874" s="4" t="s">
        <v>1793</v>
      </c>
      <c r="H874" s="3" t="n">
        <f aca="false">IF(COUNTIFS($D$2:D874,D874,$E$2:E874,E874,$A$2:A874,A874)=1,1,0)</f>
        <v>1</v>
      </c>
    </row>
    <row r="875" customFormat="false" ht="45.75" hidden="false" customHeight="true" outlineLevel="0" collapsed="false">
      <c r="A875" s="3" t="s">
        <v>143</v>
      </c>
      <c r="B875" s="3" t="s">
        <v>9</v>
      </c>
      <c r="C875" s="3" t="s">
        <v>1699</v>
      </c>
      <c r="D875" s="3" t="s">
        <v>129</v>
      </c>
      <c r="E875" s="3" t="s">
        <v>12</v>
      </c>
      <c r="F875" s="4" t="s">
        <v>1794</v>
      </c>
      <c r="G875" s="4" t="s">
        <v>1795</v>
      </c>
      <c r="H875" s="3" t="n">
        <f aca="false">IF(COUNTIFS($D$2:D875,D875,$E$2:E875,E875,$A$2:A875,A875)=1,1,0)</f>
        <v>0</v>
      </c>
    </row>
    <row r="876" customFormat="false" ht="57" hidden="false" customHeight="true" outlineLevel="0" collapsed="false">
      <c r="A876" s="3" t="s">
        <v>143</v>
      </c>
      <c r="B876" s="3" t="s">
        <v>9</v>
      </c>
      <c r="C876" s="3" t="s">
        <v>1699</v>
      </c>
      <c r="D876" s="3" t="s">
        <v>129</v>
      </c>
      <c r="E876" s="3" t="s">
        <v>12</v>
      </c>
      <c r="F876" s="4" t="s">
        <v>1796</v>
      </c>
      <c r="G876" s="4" t="s">
        <v>1797</v>
      </c>
      <c r="H876" s="3" t="n">
        <f aca="false">IF(COUNTIFS($D$2:D876,D876,$E$2:E876,E876,$A$2:A876,A876)=1,1,0)</f>
        <v>0</v>
      </c>
    </row>
    <row r="877" customFormat="false" ht="34.5" hidden="false" customHeight="true" outlineLevel="0" collapsed="false">
      <c r="A877" s="3" t="s">
        <v>150</v>
      </c>
      <c r="B877" s="3" t="s">
        <v>9</v>
      </c>
      <c r="C877" s="3" t="s">
        <v>1699</v>
      </c>
      <c r="D877" s="3" t="s">
        <v>129</v>
      </c>
      <c r="E877" s="3" t="s">
        <v>12</v>
      </c>
      <c r="F877" s="4" t="s">
        <v>1798</v>
      </c>
      <c r="G877" s="4" t="s">
        <v>1799</v>
      </c>
      <c r="H877" s="3" t="n">
        <f aca="false">IF(COUNTIFS($D$2:D877,D877,$E$2:E877,E877,$A$2:A877,A877)=1,1,0)</f>
        <v>1</v>
      </c>
    </row>
    <row r="878" customFormat="false" ht="57" hidden="false" customHeight="true" outlineLevel="0" collapsed="false">
      <c r="A878" s="3" t="s">
        <v>150</v>
      </c>
      <c r="B878" s="3" t="s">
        <v>9</v>
      </c>
      <c r="C878" s="3" t="s">
        <v>1699</v>
      </c>
      <c r="D878" s="3" t="s">
        <v>413</v>
      </c>
      <c r="E878" s="3" t="s">
        <v>59</v>
      </c>
      <c r="F878" s="4" t="s">
        <v>1800</v>
      </c>
      <c r="G878" s="4" t="s">
        <v>1801</v>
      </c>
      <c r="H878" s="3" t="n">
        <f aca="false">IF(COUNTIFS($D$2:D878,D878,$E$2:E878,E878,$A$2:A878,A878)=1,1,0)</f>
        <v>1</v>
      </c>
    </row>
    <row r="879" customFormat="false" ht="34.5" hidden="false" customHeight="true" outlineLevel="0" collapsed="false">
      <c r="A879" s="3" t="s">
        <v>150</v>
      </c>
      <c r="B879" s="3" t="s">
        <v>9</v>
      </c>
      <c r="C879" s="3" t="s">
        <v>1699</v>
      </c>
      <c r="D879" s="3" t="s">
        <v>413</v>
      </c>
      <c r="E879" s="3" t="s">
        <v>96</v>
      </c>
      <c r="F879" s="4" t="s">
        <v>1802</v>
      </c>
      <c r="G879" s="4" t="s">
        <v>1803</v>
      </c>
      <c r="H879" s="3" t="n">
        <f aca="false">IF(COUNTIFS($D$2:D879,D879,$E$2:E879,E879,$A$2:A879,A879)=1,1,0)</f>
        <v>1</v>
      </c>
    </row>
    <row r="880" customFormat="false" ht="34.5" hidden="false" customHeight="true" outlineLevel="0" collapsed="false">
      <c r="A880" s="3" t="s">
        <v>150</v>
      </c>
      <c r="B880" s="3" t="s">
        <v>9</v>
      </c>
      <c r="C880" s="3" t="s">
        <v>1699</v>
      </c>
      <c r="D880" s="3" t="s">
        <v>129</v>
      </c>
      <c r="E880" s="3" t="s">
        <v>12</v>
      </c>
      <c r="F880" s="4" t="s">
        <v>1804</v>
      </c>
      <c r="G880" s="4" t="s">
        <v>1805</v>
      </c>
      <c r="H880" s="3" t="n">
        <f aca="false">IF(COUNTIFS($D$2:D880,D880,$E$2:E880,E880,$A$2:A880,A880)=1,1,0)</f>
        <v>0</v>
      </c>
    </row>
    <row r="881" customFormat="false" ht="23.25" hidden="false" customHeight="true" outlineLevel="0" collapsed="false">
      <c r="A881" s="3" t="s">
        <v>171</v>
      </c>
      <c r="B881" s="3" t="s">
        <v>9</v>
      </c>
      <c r="C881" s="3" t="s">
        <v>1699</v>
      </c>
      <c r="D881" s="3" t="s">
        <v>129</v>
      </c>
      <c r="E881" s="3" t="s">
        <v>12</v>
      </c>
      <c r="F881" s="4" t="s">
        <v>1806</v>
      </c>
      <c r="G881" s="4" t="s">
        <v>1807</v>
      </c>
      <c r="H881" s="3" t="n">
        <f aca="false">IF(COUNTIFS($D$2:D881,D881,$E$2:E881,E881,$A$2:A881,A881)=1,1,0)</f>
        <v>1</v>
      </c>
    </row>
    <row r="882" customFormat="false" ht="45.75" hidden="false" customHeight="true" outlineLevel="0" collapsed="false">
      <c r="A882" s="3" t="s">
        <v>171</v>
      </c>
      <c r="B882" s="3" t="s">
        <v>9</v>
      </c>
      <c r="C882" s="3" t="s">
        <v>1699</v>
      </c>
      <c r="D882" s="3" t="s">
        <v>129</v>
      </c>
      <c r="E882" s="3" t="s">
        <v>12</v>
      </c>
      <c r="F882" s="4" t="s">
        <v>1808</v>
      </c>
      <c r="G882" s="4" t="s">
        <v>1809</v>
      </c>
      <c r="H882" s="3" t="n">
        <f aca="false">IF(COUNTIFS($D$2:D882,D882,$E$2:E882,E882,$A$2:A882,A882)=1,1,0)</f>
        <v>0</v>
      </c>
    </row>
    <row r="883" customFormat="false" ht="34.5" hidden="false" customHeight="true" outlineLevel="0" collapsed="false">
      <c r="A883" s="3" t="s">
        <v>171</v>
      </c>
      <c r="B883" s="3" t="s">
        <v>9</v>
      </c>
      <c r="C883" s="3" t="s">
        <v>1699</v>
      </c>
      <c r="D883" s="3" t="s">
        <v>234</v>
      </c>
      <c r="E883" s="3" t="s">
        <v>24</v>
      </c>
      <c r="F883" s="4" t="s">
        <v>1810</v>
      </c>
      <c r="G883" s="4" t="s">
        <v>1811</v>
      </c>
      <c r="H883" s="3" t="n">
        <f aca="false">IF(COUNTIFS($D$2:D883,D883,$E$2:E883,E883,$A$2:A883,A883)=1,1,0)</f>
        <v>1</v>
      </c>
    </row>
    <row r="884" customFormat="false" ht="23.25" hidden="false" customHeight="true" outlineLevel="0" collapsed="false">
      <c r="A884" s="3" t="s">
        <v>171</v>
      </c>
      <c r="B884" s="3" t="s">
        <v>9</v>
      </c>
      <c r="C884" s="3" t="s">
        <v>1699</v>
      </c>
      <c r="D884" s="3" t="s">
        <v>129</v>
      </c>
      <c r="E884" s="3" t="s">
        <v>12</v>
      </c>
      <c r="F884" s="4" t="s">
        <v>1812</v>
      </c>
      <c r="G884" s="4" t="s">
        <v>1813</v>
      </c>
      <c r="H884" s="3" t="n">
        <f aca="false">IF(COUNTIFS($D$2:D884,D884,$E$2:E884,E884,$A$2:A884,A884)=1,1,0)</f>
        <v>0</v>
      </c>
    </row>
    <row r="885" customFormat="false" ht="34.5" hidden="false" customHeight="true" outlineLevel="0" collapsed="false">
      <c r="A885" s="3" t="s">
        <v>171</v>
      </c>
      <c r="B885" s="3" t="s">
        <v>9</v>
      </c>
      <c r="C885" s="3" t="s">
        <v>1699</v>
      </c>
      <c r="D885" s="3" t="s">
        <v>129</v>
      </c>
      <c r="E885" s="3" t="s">
        <v>24</v>
      </c>
      <c r="F885" s="4" t="s">
        <v>1814</v>
      </c>
      <c r="G885" s="4" t="s">
        <v>1815</v>
      </c>
      <c r="H885" s="3" t="n">
        <f aca="false">IF(COUNTIFS($D$2:D885,D885,$E$2:E885,E885,$A$2:A885,A885)=1,1,0)</f>
        <v>1</v>
      </c>
    </row>
    <row r="886" customFormat="false" ht="34.5" hidden="false" customHeight="true" outlineLevel="0" collapsed="false">
      <c r="A886" s="3" t="s">
        <v>171</v>
      </c>
      <c r="B886" s="3" t="s">
        <v>9</v>
      </c>
      <c r="C886" s="3" t="s">
        <v>1699</v>
      </c>
      <c r="D886" s="3" t="s">
        <v>457</v>
      </c>
      <c r="E886" s="3" t="s">
        <v>59</v>
      </c>
      <c r="F886" s="4" t="s">
        <v>1816</v>
      </c>
      <c r="G886" s="4" t="s">
        <v>1817</v>
      </c>
      <c r="H886" s="3" t="n">
        <f aca="false">IF(COUNTIFS($D$2:D886,D886,$E$2:E886,E886,$A$2:A886,A886)=1,1,0)</f>
        <v>1</v>
      </c>
    </row>
    <row r="887" customFormat="false" ht="57" hidden="false" customHeight="true" outlineLevel="0" collapsed="false">
      <c r="A887" s="3" t="s">
        <v>186</v>
      </c>
      <c r="B887" s="3" t="s">
        <v>9</v>
      </c>
      <c r="C887" s="3" t="s">
        <v>1699</v>
      </c>
      <c r="D887" s="3" t="s">
        <v>37</v>
      </c>
      <c r="E887" s="3" t="s">
        <v>12</v>
      </c>
      <c r="F887" s="4" t="s">
        <v>1818</v>
      </c>
      <c r="G887" s="4" t="s">
        <v>194</v>
      </c>
      <c r="H887" s="3" t="n">
        <f aca="false">IF(COUNTIFS($D$2:D887,D887,$E$2:E887,E887,$A$2:A887,A887)=1,1,0)</f>
        <v>0</v>
      </c>
    </row>
    <row r="888" customFormat="false" ht="79.5" hidden="false" customHeight="true" outlineLevel="0" collapsed="false">
      <c r="A888" s="3" t="s">
        <v>186</v>
      </c>
      <c r="B888" s="3" t="s">
        <v>9</v>
      </c>
      <c r="C888" s="3" t="s">
        <v>1699</v>
      </c>
      <c r="D888" s="3" t="s">
        <v>37</v>
      </c>
      <c r="E888" s="3" t="s">
        <v>12</v>
      </c>
      <c r="F888" s="4" t="s">
        <v>1819</v>
      </c>
      <c r="G888" s="4" t="s">
        <v>1820</v>
      </c>
      <c r="H888" s="3" t="n">
        <f aca="false">IF(COUNTIFS($D$2:D888,D888,$E$2:E888,E888,$A$2:A888,A888)=1,1,0)</f>
        <v>0</v>
      </c>
    </row>
    <row r="889" customFormat="false" ht="45.75" hidden="false" customHeight="true" outlineLevel="0" collapsed="false">
      <c r="A889" s="3" t="s">
        <v>186</v>
      </c>
      <c r="B889" s="3" t="s">
        <v>9</v>
      </c>
      <c r="C889" s="3" t="s">
        <v>1699</v>
      </c>
      <c r="D889" s="3" t="s">
        <v>129</v>
      </c>
      <c r="E889" s="3" t="s">
        <v>12</v>
      </c>
      <c r="F889" s="4" t="s">
        <v>1821</v>
      </c>
      <c r="G889" s="4" t="s">
        <v>1822</v>
      </c>
      <c r="H889" s="3" t="n">
        <f aca="false">IF(COUNTIFS($D$2:D889,D889,$E$2:E889,E889,$A$2:A889,A889)=1,1,0)</f>
        <v>0</v>
      </c>
    </row>
    <row r="890" customFormat="false" ht="57" hidden="false" customHeight="true" outlineLevel="0" collapsed="false">
      <c r="A890" s="3" t="s">
        <v>186</v>
      </c>
      <c r="B890" s="3" t="s">
        <v>9</v>
      </c>
      <c r="C890" s="3" t="s">
        <v>1699</v>
      </c>
      <c r="D890" s="3" t="s">
        <v>129</v>
      </c>
      <c r="E890" s="3" t="s">
        <v>24</v>
      </c>
      <c r="F890" s="4" t="s">
        <v>1823</v>
      </c>
      <c r="G890" s="4" t="s">
        <v>1824</v>
      </c>
      <c r="H890" s="3" t="n">
        <f aca="false">IF(COUNTIFS($D$2:D890,D890,$E$2:E890,E890,$A$2:A890,A890)=1,1,0)</f>
        <v>1</v>
      </c>
    </row>
    <row r="891" customFormat="false" ht="68.25" hidden="false" customHeight="true" outlineLevel="0" collapsed="false">
      <c r="A891" s="3" t="s">
        <v>186</v>
      </c>
      <c r="B891" s="3" t="s">
        <v>9</v>
      </c>
      <c r="C891" s="3" t="s">
        <v>1699</v>
      </c>
      <c r="D891" s="3" t="s">
        <v>413</v>
      </c>
      <c r="E891" s="3" t="s">
        <v>59</v>
      </c>
      <c r="F891" s="4" t="s">
        <v>1825</v>
      </c>
      <c r="G891" s="4" t="s">
        <v>1826</v>
      </c>
      <c r="H891" s="3" t="n">
        <f aca="false">IF(COUNTIFS($D$2:D891,D891,$E$2:E891,E891,$A$2:A891,A891)=1,1,0)</f>
        <v>1</v>
      </c>
    </row>
    <row r="892" customFormat="false" ht="45.75" hidden="false" customHeight="true" outlineLevel="0" collapsed="false">
      <c r="A892" s="3" t="s">
        <v>207</v>
      </c>
      <c r="B892" s="3" t="s">
        <v>9</v>
      </c>
      <c r="C892" s="3" t="s">
        <v>1699</v>
      </c>
      <c r="D892" s="3" t="s">
        <v>129</v>
      </c>
      <c r="E892" s="3" t="s">
        <v>12</v>
      </c>
      <c r="F892" s="4" t="s">
        <v>1827</v>
      </c>
      <c r="G892" s="4" t="s">
        <v>1828</v>
      </c>
      <c r="H892" s="3" t="n">
        <f aca="false">IF(COUNTIFS($D$2:D892,D892,$E$2:E892,E892,$A$2:A892,A892)=1,1,0)</f>
        <v>1</v>
      </c>
    </row>
    <row r="893" customFormat="false" ht="23.25" hidden="false" customHeight="true" outlineLevel="0" collapsed="false">
      <c r="A893" s="3" t="s">
        <v>207</v>
      </c>
      <c r="B893" s="3" t="s">
        <v>9</v>
      </c>
      <c r="C893" s="3" t="s">
        <v>1699</v>
      </c>
      <c r="D893" s="3" t="s">
        <v>129</v>
      </c>
      <c r="E893" s="3" t="s">
        <v>12</v>
      </c>
      <c r="F893" s="4" t="s">
        <v>1829</v>
      </c>
      <c r="G893" s="4" t="s">
        <v>1830</v>
      </c>
      <c r="H893" s="3" t="n">
        <f aca="false">IF(COUNTIFS($D$2:D893,D893,$E$2:E893,E893,$A$2:A893,A893)=1,1,0)</f>
        <v>0</v>
      </c>
    </row>
    <row r="894" customFormat="false" ht="45.75" hidden="false" customHeight="true" outlineLevel="0" collapsed="false">
      <c r="A894" s="3" t="s">
        <v>207</v>
      </c>
      <c r="B894" s="3" t="s">
        <v>9</v>
      </c>
      <c r="C894" s="3" t="s">
        <v>1699</v>
      </c>
      <c r="D894" s="3" t="s">
        <v>168</v>
      </c>
      <c r="E894" s="3" t="s">
        <v>12</v>
      </c>
      <c r="F894" s="4" t="s">
        <v>1831</v>
      </c>
      <c r="G894" s="4" t="s">
        <v>1832</v>
      </c>
      <c r="H894" s="3" t="n">
        <f aca="false">IF(COUNTIFS($D$2:D894,D894,$E$2:E894,E894,$A$2:A894,A894)=1,1,0)</f>
        <v>0</v>
      </c>
    </row>
    <row r="895" customFormat="false" ht="57" hidden="false" customHeight="true" outlineLevel="0" collapsed="false">
      <c r="A895" s="3" t="s">
        <v>207</v>
      </c>
      <c r="B895" s="3" t="s">
        <v>9</v>
      </c>
      <c r="C895" s="3" t="s">
        <v>1699</v>
      </c>
      <c r="D895" s="3" t="s">
        <v>129</v>
      </c>
      <c r="E895" s="3" t="s">
        <v>12</v>
      </c>
      <c r="F895" s="4" t="s">
        <v>1833</v>
      </c>
      <c r="G895" s="4" t="s">
        <v>1834</v>
      </c>
      <c r="H895" s="3" t="n">
        <f aca="false">IF(COUNTIFS($D$2:D895,D895,$E$2:E895,E895,$A$2:A895,A895)=1,1,0)</f>
        <v>0</v>
      </c>
    </row>
    <row r="896" customFormat="false" ht="68.25" hidden="false" customHeight="true" outlineLevel="0" collapsed="false">
      <c r="A896" s="3" t="s">
        <v>207</v>
      </c>
      <c r="B896" s="3" t="s">
        <v>9</v>
      </c>
      <c r="C896" s="3" t="s">
        <v>1699</v>
      </c>
      <c r="D896" s="3" t="s">
        <v>19</v>
      </c>
      <c r="E896" s="3" t="s">
        <v>12</v>
      </c>
      <c r="F896" s="4" t="s">
        <v>1835</v>
      </c>
      <c r="G896" s="4" t="s">
        <v>1836</v>
      </c>
      <c r="H896" s="3" t="n">
        <f aca="false">IF(COUNTIFS($D$2:D896,D896,$E$2:E896,E896,$A$2:A896,A896)=1,1,0)</f>
        <v>0</v>
      </c>
    </row>
    <row r="897" customFormat="false" ht="45.75" hidden="false" customHeight="true" outlineLevel="0" collapsed="false">
      <c r="A897" s="3" t="s">
        <v>207</v>
      </c>
      <c r="B897" s="3" t="s">
        <v>9</v>
      </c>
      <c r="C897" s="3" t="s">
        <v>1699</v>
      </c>
      <c r="D897" s="3" t="s">
        <v>129</v>
      </c>
      <c r="E897" s="3" t="s">
        <v>12</v>
      </c>
      <c r="F897" s="4" t="s">
        <v>1837</v>
      </c>
      <c r="G897" s="4" t="s">
        <v>1838</v>
      </c>
      <c r="H897" s="3" t="n">
        <f aca="false">IF(COUNTIFS($D$2:D897,D897,$E$2:E897,E897,$A$2:A897,A897)=1,1,0)</f>
        <v>0</v>
      </c>
    </row>
    <row r="898" customFormat="false" ht="102" hidden="false" customHeight="true" outlineLevel="0" collapsed="false">
      <c r="A898" s="3" t="s">
        <v>207</v>
      </c>
      <c r="B898" s="3" t="s">
        <v>9</v>
      </c>
      <c r="C898" s="3" t="s">
        <v>1699</v>
      </c>
      <c r="D898" s="3" t="s">
        <v>168</v>
      </c>
      <c r="E898" s="3" t="s">
        <v>59</v>
      </c>
      <c r="F898" s="4" t="s">
        <v>1839</v>
      </c>
      <c r="G898" s="4" t="s">
        <v>1840</v>
      </c>
      <c r="H898" s="3" t="n">
        <f aca="false">IF(COUNTIFS($D$2:D898,D898,$E$2:E898,E898,$A$2:A898,A898)=1,1,0)</f>
        <v>1</v>
      </c>
    </row>
    <row r="899" customFormat="false" ht="45.75" hidden="false" customHeight="true" outlineLevel="0" collapsed="false">
      <c r="A899" s="3" t="s">
        <v>227</v>
      </c>
      <c r="B899" s="3" t="s">
        <v>9</v>
      </c>
      <c r="C899" s="3" t="s">
        <v>1699</v>
      </c>
      <c r="D899" s="3" t="s">
        <v>129</v>
      </c>
      <c r="E899" s="3" t="s">
        <v>12</v>
      </c>
      <c r="F899" s="4" t="s">
        <v>1841</v>
      </c>
      <c r="G899" s="4" t="s">
        <v>1842</v>
      </c>
      <c r="H899" s="3" t="n">
        <f aca="false">IF(COUNTIFS($D$2:D899,D899,$E$2:E899,E899,$A$2:A899,A899)=1,1,0)</f>
        <v>1</v>
      </c>
    </row>
    <row r="900" customFormat="false" ht="34.5" hidden="false" customHeight="true" outlineLevel="0" collapsed="false">
      <c r="A900" s="3" t="s">
        <v>227</v>
      </c>
      <c r="B900" s="3" t="s">
        <v>9</v>
      </c>
      <c r="C900" s="3" t="s">
        <v>1699</v>
      </c>
      <c r="D900" s="3" t="s">
        <v>129</v>
      </c>
      <c r="E900" s="3" t="s">
        <v>12</v>
      </c>
      <c r="F900" s="4" t="s">
        <v>1843</v>
      </c>
      <c r="G900" s="4" t="s">
        <v>1844</v>
      </c>
      <c r="H900" s="3" t="n">
        <f aca="false">IF(COUNTIFS($D$2:D900,D900,$E$2:E900,E900,$A$2:A900,A900)=1,1,0)</f>
        <v>0</v>
      </c>
    </row>
    <row r="901" customFormat="false" ht="45.75" hidden="false" customHeight="true" outlineLevel="0" collapsed="false">
      <c r="A901" s="3" t="s">
        <v>227</v>
      </c>
      <c r="B901" s="3" t="s">
        <v>9</v>
      </c>
      <c r="C901" s="3" t="s">
        <v>1699</v>
      </c>
      <c r="D901" s="3" t="s">
        <v>129</v>
      </c>
      <c r="E901" s="3" t="s">
        <v>12</v>
      </c>
      <c r="F901" s="4" t="s">
        <v>1845</v>
      </c>
      <c r="G901" s="4" t="s">
        <v>1846</v>
      </c>
      <c r="H901" s="3" t="n">
        <f aca="false">IF(COUNTIFS($D$2:D901,D901,$E$2:E901,E901,$A$2:A901,A901)=1,1,0)</f>
        <v>0</v>
      </c>
    </row>
    <row r="902" customFormat="false" ht="90.75" hidden="false" customHeight="true" outlineLevel="0" collapsed="false">
      <c r="A902" s="3" t="s">
        <v>227</v>
      </c>
      <c r="B902" s="3" t="s">
        <v>9</v>
      </c>
      <c r="C902" s="3" t="s">
        <v>1699</v>
      </c>
      <c r="D902" s="3" t="s">
        <v>431</v>
      </c>
      <c r="E902" s="3" t="s">
        <v>59</v>
      </c>
      <c r="F902" s="4" t="s">
        <v>1847</v>
      </c>
      <c r="G902" s="4" t="s">
        <v>1848</v>
      </c>
      <c r="H902" s="3" t="n">
        <f aca="false">IF(COUNTIFS($D$2:D902,D902,$E$2:E902,E902,$A$2:A902,A902)=1,1,0)</f>
        <v>0</v>
      </c>
    </row>
    <row r="903" customFormat="false" ht="68.25" hidden="false" customHeight="true" outlineLevel="0" collapsed="false">
      <c r="A903" s="3" t="s">
        <v>227</v>
      </c>
      <c r="B903" s="3" t="s">
        <v>9</v>
      </c>
      <c r="C903" s="3" t="s">
        <v>1699</v>
      </c>
      <c r="D903" s="3" t="s">
        <v>431</v>
      </c>
      <c r="E903" s="3" t="s">
        <v>59</v>
      </c>
      <c r="F903" s="4" t="s">
        <v>1849</v>
      </c>
      <c r="G903" s="4" t="s">
        <v>1850</v>
      </c>
      <c r="H903" s="3" t="n">
        <f aca="false">IF(COUNTIFS($D$2:D903,D903,$E$2:E903,E903,$A$2:A903,A903)=1,1,0)</f>
        <v>0</v>
      </c>
    </row>
    <row r="904" customFormat="false" ht="57" hidden="false" customHeight="true" outlineLevel="0" collapsed="false">
      <c r="A904" s="3" t="s">
        <v>227</v>
      </c>
      <c r="B904" s="3" t="s">
        <v>9</v>
      </c>
      <c r="C904" s="3" t="s">
        <v>1699</v>
      </c>
      <c r="D904" s="3" t="s">
        <v>473</v>
      </c>
      <c r="E904" s="3" t="s">
        <v>59</v>
      </c>
      <c r="F904" s="4" t="s">
        <v>1851</v>
      </c>
      <c r="G904" s="4" t="s">
        <v>1852</v>
      </c>
      <c r="H904" s="3" t="n">
        <f aca="false">IF(COUNTIFS($D$2:D904,D904,$E$2:E904,E904,$A$2:A904,A904)=1,1,0)</f>
        <v>1</v>
      </c>
    </row>
    <row r="905" customFormat="false" ht="57" hidden="false" customHeight="true" outlineLevel="0" collapsed="false">
      <c r="A905" s="3" t="s">
        <v>227</v>
      </c>
      <c r="B905" s="3" t="s">
        <v>9</v>
      </c>
      <c r="C905" s="3" t="s">
        <v>1699</v>
      </c>
      <c r="D905" s="3" t="s">
        <v>1271</v>
      </c>
      <c r="E905" s="3" t="s">
        <v>59</v>
      </c>
      <c r="F905" s="4" t="s">
        <v>1853</v>
      </c>
      <c r="G905" s="4" t="s">
        <v>1854</v>
      </c>
      <c r="H905" s="3" t="n">
        <f aca="false">IF(COUNTIFS($D$2:D905,D905,$E$2:E905,E905,$A$2:A905,A905)=1,1,0)</f>
        <v>0</v>
      </c>
    </row>
    <row r="906" customFormat="false" ht="45.75" hidden="false" customHeight="true" outlineLevel="0" collapsed="false">
      <c r="A906" s="3" t="s">
        <v>251</v>
      </c>
      <c r="B906" s="3" t="s">
        <v>9</v>
      </c>
      <c r="C906" s="3" t="s">
        <v>1699</v>
      </c>
      <c r="D906" s="3" t="s">
        <v>112</v>
      </c>
      <c r="E906" s="3" t="s">
        <v>12</v>
      </c>
      <c r="F906" s="4" t="s">
        <v>1855</v>
      </c>
      <c r="G906" s="4"/>
      <c r="H906" s="3" t="n">
        <f aca="false">IF(COUNTIFS($D$2:D906,D906,$E$2:E906,E906,$A$2:A906,A906)=1,1,0)</f>
        <v>0</v>
      </c>
    </row>
    <row r="907" customFormat="false" ht="34.5" hidden="false" customHeight="true" outlineLevel="0" collapsed="false">
      <c r="A907" s="3" t="s">
        <v>251</v>
      </c>
      <c r="B907" s="3" t="s">
        <v>9</v>
      </c>
      <c r="C907" s="3" t="s">
        <v>1699</v>
      </c>
      <c r="D907" s="3" t="s">
        <v>117</v>
      </c>
      <c r="E907" s="3" t="s">
        <v>59</v>
      </c>
      <c r="F907" s="4" t="s">
        <v>1856</v>
      </c>
      <c r="G907" s="4"/>
      <c r="H907" s="3" t="n">
        <f aca="false">IF(COUNTIFS($D$2:D907,D907,$E$2:E907,E907,$A$2:A907,A907)=1,1,0)</f>
        <v>1</v>
      </c>
    </row>
    <row r="908" customFormat="false" ht="34.5" hidden="false" customHeight="true" outlineLevel="0" collapsed="false">
      <c r="A908" s="3" t="s">
        <v>251</v>
      </c>
      <c r="B908" s="3" t="s">
        <v>9</v>
      </c>
      <c r="C908" s="3" t="s">
        <v>1699</v>
      </c>
      <c r="D908" s="3" t="s">
        <v>757</v>
      </c>
      <c r="E908" s="3" t="s">
        <v>59</v>
      </c>
      <c r="F908" s="4" t="s">
        <v>1857</v>
      </c>
      <c r="G908" s="4"/>
      <c r="H908" s="3" t="n">
        <f aca="false">IF(COUNTIFS($D$2:D908,D908,$E$2:E908,E908,$A$2:A908,A908)=1,1,0)</f>
        <v>0</v>
      </c>
    </row>
    <row r="909" customFormat="false" ht="34.5" hidden="false" customHeight="true" outlineLevel="0" collapsed="false">
      <c r="A909" s="3" t="s">
        <v>251</v>
      </c>
      <c r="B909" s="3" t="s">
        <v>9</v>
      </c>
      <c r="C909" s="3" t="s">
        <v>1699</v>
      </c>
      <c r="D909" s="3" t="s">
        <v>413</v>
      </c>
      <c r="E909" s="3" t="s">
        <v>59</v>
      </c>
      <c r="F909" s="4" t="s">
        <v>1858</v>
      </c>
      <c r="G909" s="4"/>
      <c r="H909" s="3" t="n">
        <f aca="false">IF(COUNTIFS($D$2:D909,D909,$E$2:E909,E909,$A$2:A909,A909)=1,1,0)</f>
        <v>0</v>
      </c>
    </row>
    <row r="910" customFormat="false" ht="90.75" hidden="false" customHeight="true" outlineLevel="0" collapsed="false">
      <c r="A910" s="3" t="s">
        <v>251</v>
      </c>
      <c r="B910" s="3" t="s">
        <v>9</v>
      </c>
      <c r="C910" s="3" t="s">
        <v>1699</v>
      </c>
      <c r="D910" s="3" t="s">
        <v>134</v>
      </c>
      <c r="E910" s="3" t="s">
        <v>12</v>
      </c>
      <c r="F910" s="4" t="s">
        <v>1859</v>
      </c>
      <c r="G910" s="4" t="s">
        <v>1860</v>
      </c>
      <c r="H910" s="3" t="n">
        <f aca="false">IF(COUNTIFS($D$2:D910,D910,$E$2:E910,E910,$A$2:A910,A910)=1,1,0)</f>
        <v>0</v>
      </c>
    </row>
    <row r="911" customFormat="false" ht="68.25" hidden="false" customHeight="true" outlineLevel="0" collapsed="false">
      <c r="A911" s="3" t="s">
        <v>251</v>
      </c>
      <c r="B911" s="3" t="s">
        <v>9</v>
      </c>
      <c r="C911" s="3" t="s">
        <v>1699</v>
      </c>
      <c r="D911" s="3" t="s">
        <v>1503</v>
      </c>
      <c r="E911" s="3" t="s">
        <v>96</v>
      </c>
      <c r="F911" s="4" t="s">
        <v>1861</v>
      </c>
      <c r="G911" s="4" t="s">
        <v>1862</v>
      </c>
      <c r="H911" s="3" t="n">
        <f aca="false">IF(COUNTIFS($D$2:D911,D911,$E$2:E911,E911,$A$2:A911,A911)=1,1,0)</f>
        <v>1</v>
      </c>
    </row>
    <row r="912" customFormat="false" ht="34.5" hidden="false" customHeight="true" outlineLevel="0" collapsed="false">
      <c r="A912" s="3" t="s">
        <v>1863</v>
      </c>
      <c r="B912" s="3" t="s">
        <v>9</v>
      </c>
      <c r="C912" s="3" t="s">
        <v>10</v>
      </c>
      <c r="D912" s="3" t="s">
        <v>11</v>
      </c>
      <c r="E912" s="3" t="s">
        <v>12</v>
      </c>
      <c r="F912" s="4" t="s">
        <v>1864</v>
      </c>
      <c r="G912" s="4" t="s">
        <v>1865</v>
      </c>
      <c r="H912" s="3" t="n">
        <f aca="false">IF(COUNTIFS($D$2:D912,D912,$E$2:E912,E912,$A$2:A912,A912)=1,1,0)</f>
        <v>1</v>
      </c>
    </row>
    <row r="913" customFormat="false" ht="68.25" hidden="false" customHeight="true" outlineLevel="0" collapsed="false">
      <c r="A913" s="3" t="s">
        <v>1863</v>
      </c>
      <c r="B913" s="3" t="s">
        <v>9</v>
      </c>
      <c r="C913" s="3" t="s">
        <v>10</v>
      </c>
      <c r="D913" s="3" t="s">
        <v>19</v>
      </c>
      <c r="E913" s="3" t="s">
        <v>12</v>
      </c>
      <c r="F913" s="4" t="s">
        <v>1866</v>
      </c>
      <c r="G913" s="4" t="s">
        <v>1867</v>
      </c>
      <c r="H913" s="3" t="n">
        <f aca="false">IF(COUNTIFS($D$2:D913,D913,$E$2:E913,E913,$A$2:A913,A913)=1,1,0)</f>
        <v>1</v>
      </c>
    </row>
    <row r="914" customFormat="false" ht="34.5" hidden="false" customHeight="true" outlineLevel="0" collapsed="false">
      <c r="A914" s="3" t="s">
        <v>1863</v>
      </c>
      <c r="B914" s="3" t="s">
        <v>9</v>
      </c>
      <c r="C914" s="3" t="s">
        <v>10</v>
      </c>
      <c r="D914" s="3" t="s">
        <v>19</v>
      </c>
      <c r="E914" s="3" t="s">
        <v>12</v>
      </c>
      <c r="F914" s="4" t="s">
        <v>1868</v>
      </c>
      <c r="G914" s="4" t="s">
        <v>1869</v>
      </c>
      <c r="H914" s="3" t="n">
        <f aca="false">IF(COUNTIFS($D$2:D914,D914,$E$2:E914,E914,$A$2:A914,A914)=1,1,0)</f>
        <v>0</v>
      </c>
    </row>
    <row r="915" customFormat="false" ht="34.5" hidden="false" customHeight="true" outlineLevel="0" collapsed="false">
      <c r="A915" s="3" t="s">
        <v>1863</v>
      </c>
      <c r="B915" s="3" t="s">
        <v>9</v>
      </c>
      <c r="C915" s="3" t="s">
        <v>10</v>
      </c>
      <c r="D915" s="3" t="s">
        <v>19</v>
      </c>
      <c r="E915" s="3" t="s">
        <v>12</v>
      </c>
      <c r="F915" s="4" t="s">
        <v>1870</v>
      </c>
      <c r="G915" s="4" t="s">
        <v>1871</v>
      </c>
      <c r="H915" s="3" t="n">
        <f aca="false">IF(COUNTIFS($D$2:D915,D915,$E$2:E915,E915,$A$2:A915,A915)=1,1,0)</f>
        <v>0</v>
      </c>
    </row>
    <row r="916" customFormat="false" ht="57" hidden="false" customHeight="true" outlineLevel="0" collapsed="false">
      <c r="A916" s="3" t="s">
        <v>1863</v>
      </c>
      <c r="B916" s="3" t="s">
        <v>9</v>
      </c>
      <c r="C916" s="3" t="s">
        <v>10</v>
      </c>
      <c r="D916" s="3" t="s">
        <v>19</v>
      </c>
      <c r="E916" s="3" t="s">
        <v>96</v>
      </c>
      <c r="F916" s="4" t="s">
        <v>1872</v>
      </c>
      <c r="G916" s="4" t="s">
        <v>1873</v>
      </c>
      <c r="H916" s="3" t="n">
        <f aca="false">IF(COUNTIFS($D$2:D916,D916,$E$2:E916,E916,$A$2:A916,A916)=1,1,0)</f>
        <v>1</v>
      </c>
    </row>
    <row r="917" customFormat="false" ht="57" hidden="false" customHeight="true" outlineLevel="0" collapsed="false">
      <c r="A917" s="3" t="s">
        <v>1863</v>
      </c>
      <c r="B917" s="3" t="s">
        <v>9</v>
      </c>
      <c r="C917" s="3" t="s">
        <v>10</v>
      </c>
      <c r="D917" s="3" t="s">
        <v>11</v>
      </c>
      <c r="E917" s="3" t="s">
        <v>12</v>
      </c>
      <c r="F917" s="4" t="s">
        <v>1874</v>
      </c>
      <c r="G917" s="4" t="s">
        <v>1875</v>
      </c>
      <c r="H917" s="3" t="n">
        <f aca="false">IF(COUNTIFS($D$2:D917,D917,$E$2:E917,E917,$A$2:A917,A917)=1,1,0)</f>
        <v>0</v>
      </c>
    </row>
    <row r="918" customFormat="false" ht="45.75" hidden="false" customHeight="true" outlineLevel="0" collapsed="false">
      <c r="A918" s="3" t="s">
        <v>1863</v>
      </c>
      <c r="B918" s="3" t="s">
        <v>9</v>
      </c>
      <c r="C918" s="3" t="s">
        <v>10</v>
      </c>
      <c r="D918" s="3" t="s">
        <v>112</v>
      </c>
      <c r="E918" s="3" t="s">
        <v>12</v>
      </c>
      <c r="F918" s="4" t="s">
        <v>1876</v>
      </c>
      <c r="G918" s="4" t="s">
        <v>1877</v>
      </c>
      <c r="H918" s="3" t="n">
        <f aca="false">IF(COUNTIFS($D$2:D918,D918,$E$2:E918,E918,$A$2:A918,A918)=1,1,0)</f>
        <v>1</v>
      </c>
    </row>
    <row r="919" customFormat="false" ht="34.5" hidden="false" customHeight="true" outlineLevel="0" collapsed="false">
      <c r="A919" s="3" t="s">
        <v>1863</v>
      </c>
      <c r="B919" s="3" t="s">
        <v>9</v>
      </c>
      <c r="C919" s="3" t="s">
        <v>10</v>
      </c>
      <c r="D919" s="3" t="s">
        <v>112</v>
      </c>
      <c r="E919" s="3" t="s">
        <v>96</v>
      </c>
      <c r="F919" s="4" t="s">
        <v>1878</v>
      </c>
      <c r="G919" s="4" t="s">
        <v>1879</v>
      </c>
      <c r="H919" s="3" t="n">
        <f aca="false">IF(COUNTIFS($D$2:D919,D919,$E$2:E919,E919,$A$2:A919,A919)=1,1,0)</f>
        <v>1</v>
      </c>
    </row>
    <row r="920" customFormat="false" ht="34.5" hidden="false" customHeight="true" outlineLevel="0" collapsed="false">
      <c r="A920" s="3" t="s">
        <v>1863</v>
      </c>
      <c r="B920" s="3" t="s">
        <v>9</v>
      </c>
      <c r="C920" s="3" t="s">
        <v>268</v>
      </c>
      <c r="D920" s="3" t="s">
        <v>87</v>
      </c>
      <c r="E920" s="3" t="s">
        <v>24</v>
      </c>
      <c r="F920" s="4" t="s">
        <v>1880</v>
      </c>
      <c r="G920" s="4" t="s">
        <v>1881</v>
      </c>
      <c r="H920" s="3" t="n">
        <f aca="false">IF(COUNTIFS($D$2:D920,D920,$E$2:E920,E920,$A$2:A920,A920)=1,1,0)</f>
        <v>1</v>
      </c>
    </row>
    <row r="921" customFormat="false" ht="45.75" hidden="false" customHeight="true" outlineLevel="0" collapsed="false">
      <c r="A921" s="3" t="s">
        <v>1863</v>
      </c>
      <c r="B921" s="3" t="s">
        <v>9</v>
      </c>
      <c r="C921" s="3" t="s">
        <v>268</v>
      </c>
      <c r="D921" s="3" t="s">
        <v>87</v>
      </c>
      <c r="E921" s="3" t="s">
        <v>24</v>
      </c>
      <c r="F921" s="4" t="s">
        <v>1882</v>
      </c>
      <c r="G921" s="4" t="s">
        <v>1883</v>
      </c>
      <c r="H921" s="3" t="n">
        <f aca="false">IF(COUNTIFS($D$2:D921,D921,$E$2:E921,E921,$A$2:A921,A921)=1,1,0)</f>
        <v>0</v>
      </c>
    </row>
    <row r="922" customFormat="false" ht="23.25" hidden="false" customHeight="true" outlineLevel="0" collapsed="false">
      <c r="A922" s="3" t="s">
        <v>1863</v>
      </c>
      <c r="B922" s="3" t="s">
        <v>9</v>
      </c>
      <c r="C922" s="3" t="s">
        <v>268</v>
      </c>
      <c r="D922" s="3" t="s">
        <v>87</v>
      </c>
      <c r="E922" s="3" t="s">
        <v>24</v>
      </c>
      <c r="F922" s="4" t="s">
        <v>1884</v>
      </c>
      <c r="G922" s="4" t="s">
        <v>1885</v>
      </c>
      <c r="H922" s="3" t="n">
        <f aca="false">IF(COUNTIFS($D$2:D922,D922,$E$2:E922,E922,$A$2:A922,A922)=1,1,0)</f>
        <v>0</v>
      </c>
    </row>
    <row r="923" customFormat="false" ht="45.75" hidden="false" customHeight="true" outlineLevel="0" collapsed="false">
      <c r="A923" s="3" t="s">
        <v>1863</v>
      </c>
      <c r="B923" s="3" t="s">
        <v>9</v>
      </c>
      <c r="C923" s="3" t="s">
        <v>268</v>
      </c>
      <c r="D923" s="3" t="s">
        <v>87</v>
      </c>
      <c r="E923" s="3" t="s">
        <v>24</v>
      </c>
      <c r="F923" s="4" t="s">
        <v>1886</v>
      </c>
      <c r="G923" s="4" t="s">
        <v>1887</v>
      </c>
      <c r="H923" s="3" t="n">
        <f aca="false">IF(COUNTIFS($D$2:D923,D923,$E$2:E923,E923,$A$2:A923,A923)=1,1,0)</f>
        <v>0</v>
      </c>
    </row>
    <row r="924" customFormat="false" ht="45.75" hidden="false" customHeight="true" outlineLevel="0" collapsed="false">
      <c r="A924" s="3" t="s">
        <v>1863</v>
      </c>
      <c r="B924" s="3" t="s">
        <v>9</v>
      </c>
      <c r="C924" s="3" t="s">
        <v>268</v>
      </c>
      <c r="D924" s="3" t="s">
        <v>87</v>
      </c>
      <c r="E924" s="3" t="s">
        <v>24</v>
      </c>
      <c r="F924" s="4" t="s">
        <v>1888</v>
      </c>
      <c r="G924" s="4" t="s">
        <v>1889</v>
      </c>
      <c r="H924" s="3" t="n">
        <f aca="false">IF(COUNTIFS($D$2:D924,D924,$E$2:E924,E924,$A$2:A924,A924)=1,1,0)</f>
        <v>0</v>
      </c>
    </row>
    <row r="925" customFormat="false" ht="45.75" hidden="false" customHeight="true" outlineLevel="0" collapsed="false">
      <c r="A925" s="3" t="s">
        <v>1863</v>
      </c>
      <c r="B925" s="3" t="s">
        <v>9</v>
      </c>
      <c r="C925" s="3" t="s">
        <v>268</v>
      </c>
      <c r="D925" s="3" t="s">
        <v>87</v>
      </c>
      <c r="E925" s="3" t="s">
        <v>12</v>
      </c>
      <c r="F925" s="4" t="s">
        <v>1890</v>
      </c>
      <c r="G925" s="4" t="s">
        <v>1891</v>
      </c>
      <c r="H925" s="3" t="n">
        <f aca="false">IF(COUNTIFS($D$2:D925,D925,$E$2:E925,E925,$A$2:A925,A925)=1,1,0)</f>
        <v>1</v>
      </c>
    </row>
    <row r="926" customFormat="false" ht="45.75" hidden="false" customHeight="true" outlineLevel="0" collapsed="false">
      <c r="A926" s="3" t="s">
        <v>1863</v>
      </c>
      <c r="B926" s="3" t="s">
        <v>9</v>
      </c>
      <c r="C926" s="3" t="s">
        <v>268</v>
      </c>
      <c r="D926" s="3" t="s">
        <v>87</v>
      </c>
      <c r="E926" s="3" t="s">
        <v>24</v>
      </c>
      <c r="F926" s="4" t="s">
        <v>1892</v>
      </c>
      <c r="G926" s="4" t="s">
        <v>1893</v>
      </c>
      <c r="H926" s="3" t="n">
        <f aca="false">IF(COUNTIFS($D$2:D926,D926,$E$2:E926,E926,$A$2:A926,A926)=1,1,0)</f>
        <v>0</v>
      </c>
    </row>
    <row r="927" customFormat="false" ht="45.75" hidden="false" customHeight="true" outlineLevel="0" collapsed="false">
      <c r="A927" s="3" t="s">
        <v>1863</v>
      </c>
      <c r="B927" s="3" t="s">
        <v>9</v>
      </c>
      <c r="C927" s="3" t="s">
        <v>410</v>
      </c>
      <c r="D927" s="3" t="s">
        <v>168</v>
      </c>
      <c r="E927" s="3" t="s">
        <v>12</v>
      </c>
      <c r="F927" s="4" t="s">
        <v>1894</v>
      </c>
      <c r="G927" s="4" t="s">
        <v>1895</v>
      </c>
      <c r="H927" s="3" t="n">
        <f aca="false">IF(COUNTIFS($D$2:D927,D927,$E$2:E927,E927,$A$2:A927,A927)=1,1,0)</f>
        <v>1</v>
      </c>
    </row>
    <row r="928" customFormat="false" ht="34.5" hidden="false" customHeight="true" outlineLevel="0" collapsed="false">
      <c r="A928" s="3" t="s">
        <v>1863</v>
      </c>
      <c r="B928" s="3" t="s">
        <v>9</v>
      </c>
      <c r="C928" s="3" t="s">
        <v>410</v>
      </c>
      <c r="D928" s="3" t="s">
        <v>168</v>
      </c>
      <c r="E928" s="3" t="s">
        <v>96</v>
      </c>
      <c r="F928" s="4" t="s">
        <v>1896</v>
      </c>
      <c r="G928" s="4" t="s">
        <v>1897</v>
      </c>
      <c r="H928" s="3" t="n">
        <f aca="false">IF(COUNTIFS($D$2:D928,D928,$E$2:E928,E928,$A$2:A928,A928)=1,1,0)</f>
        <v>1</v>
      </c>
    </row>
    <row r="929" customFormat="false" ht="34.5" hidden="false" customHeight="true" outlineLevel="0" collapsed="false">
      <c r="A929" s="3" t="s">
        <v>1863</v>
      </c>
      <c r="B929" s="3" t="s">
        <v>9</v>
      </c>
      <c r="C929" s="3" t="s">
        <v>410</v>
      </c>
      <c r="D929" s="3" t="s">
        <v>168</v>
      </c>
      <c r="E929" s="3" t="s">
        <v>12</v>
      </c>
      <c r="F929" s="4" t="s">
        <v>1898</v>
      </c>
      <c r="G929" s="4" t="s">
        <v>1899</v>
      </c>
      <c r="H929" s="3" t="n">
        <f aca="false">IF(COUNTIFS($D$2:D929,D929,$E$2:E929,E929,$A$2:A929,A929)=1,1,0)</f>
        <v>0</v>
      </c>
    </row>
    <row r="930" customFormat="false" ht="45.75" hidden="false" customHeight="true" outlineLevel="0" collapsed="false">
      <c r="A930" s="3" t="s">
        <v>1863</v>
      </c>
      <c r="B930" s="3" t="s">
        <v>9</v>
      </c>
      <c r="C930" s="3" t="s">
        <v>410</v>
      </c>
      <c r="D930" s="3" t="s">
        <v>168</v>
      </c>
      <c r="E930" s="3" t="s">
        <v>12</v>
      </c>
      <c r="F930" s="4" t="s">
        <v>1900</v>
      </c>
      <c r="G930" s="4" t="s">
        <v>1901</v>
      </c>
      <c r="H930" s="3" t="n">
        <f aca="false">IF(COUNTIFS($D$2:D930,D930,$E$2:E930,E930,$A$2:A930,A930)=1,1,0)</f>
        <v>0</v>
      </c>
    </row>
    <row r="931" customFormat="false" ht="45.75" hidden="false" customHeight="true" outlineLevel="0" collapsed="false">
      <c r="A931" s="3" t="s">
        <v>1863</v>
      </c>
      <c r="B931" s="3" t="s">
        <v>9</v>
      </c>
      <c r="C931" s="3" t="s">
        <v>410</v>
      </c>
      <c r="D931" s="3" t="s">
        <v>413</v>
      </c>
      <c r="E931" s="3" t="s">
        <v>12</v>
      </c>
      <c r="F931" s="4" t="s">
        <v>1902</v>
      </c>
      <c r="G931" s="4" t="s">
        <v>1903</v>
      </c>
      <c r="H931" s="3" t="n">
        <f aca="false">IF(COUNTIFS($D$2:D931,D931,$E$2:E931,E931,$A$2:A931,A931)=1,1,0)</f>
        <v>1</v>
      </c>
    </row>
    <row r="932" customFormat="false" ht="57" hidden="false" customHeight="true" outlineLevel="0" collapsed="false">
      <c r="A932" s="3" t="s">
        <v>1863</v>
      </c>
      <c r="B932" s="3" t="s">
        <v>9</v>
      </c>
      <c r="C932" s="3" t="s">
        <v>410</v>
      </c>
      <c r="D932" s="3" t="s">
        <v>168</v>
      </c>
      <c r="E932" s="3" t="s">
        <v>12</v>
      </c>
      <c r="F932" s="4" t="s">
        <v>1904</v>
      </c>
      <c r="G932" s="4" t="s">
        <v>1905</v>
      </c>
      <c r="H932" s="3" t="n">
        <f aca="false">IF(COUNTIFS($D$2:D932,D932,$E$2:E932,E932,$A$2:A932,A932)=1,1,0)</f>
        <v>0</v>
      </c>
    </row>
    <row r="933" customFormat="false" ht="90.75" hidden="false" customHeight="true" outlineLevel="0" collapsed="false">
      <c r="A933" s="3" t="s">
        <v>1863</v>
      </c>
      <c r="B933" s="3" t="s">
        <v>9</v>
      </c>
      <c r="C933" s="3" t="s">
        <v>410</v>
      </c>
      <c r="D933" s="3" t="s">
        <v>168</v>
      </c>
      <c r="E933" s="3" t="s">
        <v>12</v>
      </c>
      <c r="F933" s="4" t="s">
        <v>1906</v>
      </c>
      <c r="G933" s="4" t="s">
        <v>1907</v>
      </c>
      <c r="H933" s="3" t="n">
        <f aca="false">IF(COUNTIFS($D$2:D933,D933,$E$2:E933,E933,$A$2:A933,A933)=1,1,0)</f>
        <v>0</v>
      </c>
    </row>
    <row r="934" customFormat="false" ht="45.75" hidden="false" customHeight="true" outlineLevel="0" collapsed="false">
      <c r="A934" s="3" t="s">
        <v>1863</v>
      </c>
      <c r="B934" s="3" t="s">
        <v>9</v>
      </c>
      <c r="C934" s="3" t="s">
        <v>555</v>
      </c>
      <c r="D934" s="3" t="s">
        <v>556</v>
      </c>
      <c r="E934" s="3" t="s">
        <v>12</v>
      </c>
      <c r="F934" s="4" t="s">
        <v>1908</v>
      </c>
      <c r="G934" s="4" t="s">
        <v>1909</v>
      </c>
      <c r="H934" s="3" t="n">
        <f aca="false">IF(COUNTIFS($D$2:D934,D934,$E$2:E934,E934,$A$2:A934,A934)=1,1,0)</f>
        <v>1</v>
      </c>
    </row>
    <row r="935" customFormat="false" ht="68.25" hidden="false" customHeight="true" outlineLevel="0" collapsed="false">
      <c r="A935" s="3" t="s">
        <v>1863</v>
      </c>
      <c r="B935" s="3" t="s">
        <v>9</v>
      </c>
      <c r="C935" s="3" t="s">
        <v>555</v>
      </c>
      <c r="D935" s="3" t="s">
        <v>134</v>
      </c>
      <c r="E935" s="3" t="s">
        <v>12</v>
      </c>
      <c r="F935" s="4" t="s">
        <v>1910</v>
      </c>
      <c r="G935" s="4" t="s">
        <v>1911</v>
      </c>
      <c r="H935" s="3" t="n">
        <f aca="false">IF(COUNTIFS($D$2:D935,D935,$E$2:E935,E935,$A$2:A935,A935)=1,1,0)</f>
        <v>1</v>
      </c>
    </row>
    <row r="936" customFormat="false" ht="68.25" hidden="false" customHeight="true" outlineLevel="0" collapsed="false">
      <c r="A936" s="3" t="s">
        <v>1863</v>
      </c>
      <c r="B936" s="3" t="s">
        <v>9</v>
      </c>
      <c r="C936" s="3" t="s">
        <v>555</v>
      </c>
      <c r="D936" s="3" t="s">
        <v>413</v>
      </c>
      <c r="E936" s="3" t="s">
        <v>96</v>
      </c>
      <c r="F936" s="4" t="s">
        <v>1912</v>
      </c>
      <c r="G936" s="4" t="s">
        <v>1913</v>
      </c>
      <c r="H936" s="3" t="n">
        <f aca="false">IF(COUNTIFS($D$2:D936,D936,$E$2:E936,E936,$A$2:A936,A936)=1,1,0)</f>
        <v>1</v>
      </c>
    </row>
    <row r="937" customFormat="false" ht="34.5" hidden="false" customHeight="true" outlineLevel="0" collapsed="false">
      <c r="A937" s="3" t="s">
        <v>1863</v>
      </c>
      <c r="B937" s="3" t="s">
        <v>9</v>
      </c>
      <c r="C937" s="3" t="s">
        <v>555</v>
      </c>
      <c r="D937" s="3" t="s">
        <v>556</v>
      </c>
      <c r="E937" s="3" t="s">
        <v>12</v>
      </c>
      <c r="F937" s="4" t="s">
        <v>1914</v>
      </c>
      <c r="G937" s="4" t="s">
        <v>1915</v>
      </c>
      <c r="H937" s="3" t="n">
        <f aca="false">IF(COUNTIFS($D$2:D937,D937,$E$2:E937,E937,$A$2:A937,A937)=1,1,0)</f>
        <v>0</v>
      </c>
    </row>
    <row r="938" customFormat="false" ht="68.25" hidden="false" customHeight="true" outlineLevel="0" collapsed="false">
      <c r="A938" s="3" t="s">
        <v>1863</v>
      </c>
      <c r="B938" s="3" t="s">
        <v>9</v>
      </c>
      <c r="C938" s="3" t="s">
        <v>555</v>
      </c>
      <c r="D938" s="3" t="s">
        <v>556</v>
      </c>
      <c r="E938" s="3" t="s">
        <v>12</v>
      </c>
      <c r="F938" s="4" t="s">
        <v>1916</v>
      </c>
      <c r="G938" s="4" t="s">
        <v>1917</v>
      </c>
      <c r="H938" s="3" t="n">
        <f aca="false">IF(COUNTIFS($D$2:D938,D938,$E$2:E938,E938,$A$2:A938,A938)=1,1,0)</f>
        <v>0</v>
      </c>
    </row>
    <row r="939" customFormat="false" ht="34.5" hidden="false" customHeight="true" outlineLevel="0" collapsed="false">
      <c r="A939" s="3" t="s">
        <v>1863</v>
      </c>
      <c r="B939" s="3" t="s">
        <v>9</v>
      </c>
      <c r="C939" s="3" t="s">
        <v>756</v>
      </c>
      <c r="D939" s="3" t="s">
        <v>757</v>
      </c>
      <c r="E939" s="3" t="s">
        <v>12</v>
      </c>
      <c r="F939" s="4" t="s">
        <v>1918</v>
      </c>
      <c r="G939" s="4" t="s">
        <v>1919</v>
      </c>
      <c r="H939" s="3" t="n">
        <f aca="false">IF(COUNTIFS($D$2:D939,D939,$E$2:E939,E939,$A$2:A939,A939)=1,1,0)</f>
        <v>1</v>
      </c>
    </row>
    <row r="940" customFormat="false" ht="45.75" hidden="false" customHeight="true" outlineLevel="0" collapsed="false">
      <c r="A940" s="3" t="s">
        <v>1863</v>
      </c>
      <c r="B940" s="3" t="s">
        <v>9</v>
      </c>
      <c r="C940" s="3" t="s">
        <v>756</v>
      </c>
      <c r="D940" s="3" t="s">
        <v>757</v>
      </c>
      <c r="E940" s="3" t="s">
        <v>12</v>
      </c>
      <c r="F940" s="4" t="s">
        <v>1920</v>
      </c>
      <c r="G940" s="4" t="s">
        <v>1921</v>
      </c>
      <c r="H940" s="3" t="n">
        <f aca="false">IF(COUNTIFS($D$2:D940,D940,$E$2:E940,E940,$A$2:A940,A940)=1,1,0)</f>
        <v>0</v>
      </c>
    </row>
    <row r="941" customFormat="false" ht="68.25" hidden="false" customHeight="true" outlineLevel="0" collapsed="false">
      <c r="A941" s="3" t="s">
        <v>1863</v>
      </c>
      <c r="B941" s="3" t="s">
        <v>9</v>
      </c>
      <c r="C941" s="3" t="s">
        <v>756</v>
      </c>
      <c r="D941" s="3" t="s">
        <v>757</v>
      </c>
      <c r="E941" s="3" t="s">
        <v>222</v>
      </c>
      <c r="F941" s="4" t="s">
        <v>1922</v>
      </c>
      <c r="G941" s="4" t="s">
        <v>1923</v>
      </c>
      <c r="H941" s="3" t="n">
        <f aca="false">IF(COUNTIFS($D$2:D941,D941,$E$2:E941,E941,$A$2:A941,A941)=1,1,0)</f>
        <v>1</v>
      </c>
    </row>
    <row r="942" customFormat="false" ht="57" hidden="false" customHeight="true" outlineLevel="0" collapsed="false">
      <c r="A942" s="3" t="s">
        <v>1863</v>
      </c>
      <c r="B942" s="3" t="s">
        <v>9</v>
      </c>
      <c r="C942" s="3" t="s">
        <v>756</v>
      </c>
      <c r="D942" s="3" t="s">
        <v>556</v>
      </c>
      <c r="E942" s="3" t="s">
        <v>96</v>
      </c>
      <c r="F942" s="4" t="s">
        <v>1924</v>
      </c>
      <c r="G942" s="4" t="s">
        <v>1925</v>
      </c>
      <c r="H942" s="3" t="n">
        <f aca="false">IF(COUNTIFS($D$2:D942,D942,$E$2:E942,E942,$A$2:A942,A942)=1,1,0)</f>
        <v>1</v>
      </c>
    </row>
    <row r="943" customFormat="false" ht="57" hidden="false" customHeight="true" outlineLevel="0" collapsed="false">
      <c r="A943" s="3" t="s">
        <v>1863</v>
      </c>
      <c r="B943" s="3" t="s">
        <v>9</v>
      </c>
      <c r="C943" s="3" t="s">
        <v>756</v>
      </c>
      <c r="D943" s="3" t="s">
        <v>556</v>
      </c>
      <c r="E943" s="3" t="s">
        <v>59</v>
      </c>
      <c r="F943" s="4" t="s">
        <v>1926</v>
      </c>
      <c r="G943" s="4" t="s">
        <v>1927</v>
      </c>
      <c r="H943" s="3" t="n">
        <f aca="false">IF(COUNTIFS($D$2:D943,D943,$E$2:E943,E943,$A$2:A943,A943)=1,1,0)</f>
        <v>1</v>
      </c>
    </row>
    <row r="944" customFormat="false" ht="57" hidden="false" customHeight="true" outlineLevel="0" collapsed="false">
      <c r="A944" s="3" t="s">
        <v>1863</v>
      </c>
      <c r="B944" s="3" t="s">
        <v>9</v>
      </c>
      <c r="C944" s="3" t="s">
        <v>756</v>
      </c>
      <c r="D944" s="3" t="s">
        <v>19</v>
      </c>
      <c r="E944" s="3" t="s">
        <v>12</v>
      </c>
      <c r="F944" s="4" t="s">
        <v>1928</v>
      </c>
      <c r="G944" s="4" t="s">
        <v>1929</v>
      </c>
      <c r="H944" s="3" t="n">
        <f aca="false">IF(COUNTIFS($D$2:D944,D944,$E$2:E944,E944,$A$2:A944,A944)=1,1,0)</f>
        <v>0</v>
      </c>
    </row>
    <row r="945" customFormat="false" ht="79.5" hidden="false" customHeight="true" outlineLevel="0" collapsed="false">
      <c r="A945" s="3" t="s">
        <v>1863</v>
      </c>
      <c r="B945" s="3" t="s">
        <v>9</v>
      </c>
      <c r="C945" s="3" t="s">
        <v>911</v>
      </c>
      <c r="D945" s="3" t="s">
        <v>619</v>
      </c>
      <c r="E945" s="3" t="s">
        <v>12</v>
      </c>
      <c r="F945" s="4" t="s">
        <v>1930</v>
      </c>
      <c r="G945" s="4" t="s">
        <v>1931</v>
      </c>
      <c r="H945" s="3" t="n">
        <f aca="false">IF(COUNTIFS($D$2:D945,D945,$E$2:E945,E945,$A$2:A945,A945)=1,1,0)</f>
        <v>1</v>
      </c>
    </row>
    <row r="946" customFormat="false" ht="68.25" hidden="false" customHeight="true" outlineLevel="0" collapsed="false">
      <c r="A946" s="3" t="s">
        <v>1863</v>
      </c>
      <c r="B946" s="3" t="s">
        <v>9</v>
      </c>
      <c r="C946" s="3" t="s">
        <v>911</v>
      </c>
      <c r="D946" s="3" t="s">
        <v>619</v>
      </c>
      <c r="E946" s="3" t="s">
        <v>12</v>
      </c>
      <c r="F946" s="4" t="s">
        <v>1932</v>
      </c>
      <c r="G946" s="4" t="s">
        <v>1933</v>
      </c>
      <c r="H946" s="3" t="n">
        <f aca="false">IF(COUNTIFS($D$2:D946,D946,$E$2:E946,E946,$A$2:A946,A946)=1,1,0)</f>
        <v>0</v>
      </c>
    </row>
    <row r="947" customFormat="false" ht="90.75" hidden="false" customHeight="true" outlineLevel="0" collapsed="false">
      <c r="A947" s="3" t="s">
        <v>1863</v>
      </c>
      <c r="B947" s="3" t="s">
        <v>9</v>
      </c>
      <c r="C947" s="3" t="s">
        <v>911</v>
      </c>
      <c r="D947" s="3" t="s">
        <v>619</v>
      </c>
      <c r="E947" s="3" t="s">
        <v>59</v>
      </c>
      <c r="F947" s="4" t="s">
        <v>1934</v>
      </c>
      <c r="G947" s="4" t="s">
        <v>1935</v>
      </c>
      <c r="H947" s="3" t="n">
        <f aca="false">IF(COUNTIFS($D$2:D947,D947,$E$2:E947,E947,$A$2:A947,A947)=1,1,0)</f>
        <v>1</v>
      </c>
    </row>
    <row r="948" customFormat="false" ht="34.5" hidden="false" customHeight="true" outlineLevel="0" collapsed="false">
      <c r="A948" s="3" t="s">
        <v>1863</v>
      </c>
      <c r="B948" s="3" t="s">
        <v>9</v>
      </c>
      <c r="C948" s="3" t="s">
        <v>911</v>
      </c>
      <c r="D948" s="3" t="s">
        <v>619</v>
      </c>
      <c r="E948" s="3" t="s">
        <v>59</v>
      </c>
      <c r="F948" s="4" t="s">
        <v>1936</v>
      </c>
      <c r="G948" s="4" t="s">
        <v>1937</v>
      </c>
      <c r="H948" s="3" t="n">
        <f aca="false">IF(COUNTIFS($D$2:D948,D948,$E$2:E948,E948,$A$2:A948,A948)=1,1,0)</f>
        <v>0</v>
      </c>
    </row>
    <row r="949" customFormat="false" ht="79.5" hidden="false" customHeight="true" outlineLevel="0" collapsed="false">
      <c r="A949" s="3" t="s">
        <v>1863</v>
      </c>
      <c r="B949" s="3" t="s">
        <v>9</v>
      </c>
      <c r="C949" s="3" t="s">
        <v>1000</v>
      </c>
      <c r="D949" s="3" t="s">
        <v>952</v>
      </c>
      <c r="E949" s="3" t="s">
        <v>12</v>
      </c>
      <c r="F949" s="4" t="s">
        <v>1938</v>
      </c>
      <c r="G949" s="4" t="s">
        <v>1939</v>
      </c>
      <c r="H949" s="3" t="n">
        <f aca="false">IF(COUNTIFS($D$2:D949,D949,$E$2:E949,E949,$A$2:A949,A949)=1,1,0)</f>
        <v>1</v>
      </c>
    </row>
    <row r="950" customFormat="false" ht="79.5" hidden="false" customHeight="true" outlineLevel="0" collapsed="false">
      <c r="A950" s="3" t="s">
        <v>1863</v>
      </c>
      <c r="B950" s="3" t="s">
        <v>9</v>
      </c>
      <c r="C950" s="3" t="s">
        <v>1000</v>
      </c>
      <c r="D950" s="3" t="s">
        <v>952</v>
      </c>
      <c r="E950" s="3" t="s">
        <v>96</v>
      </c>
      <c r="F950" s="4" t="s">
        <v>1940</v>
      </c>
      <c r="G950" s="4" t="s">
        <v>1941</v>
      </c>
      <c r="H950" s="3" t="n">
        <f aca="false">IF(COUNTIFS($D$2:D950,D950,$E$2:E950,E950,$A$2:A950,A950)=1,1,0)</f>
        <v>1</v>
      </c>
    </row>
    <row r="951" customFormat="false" ht="45.75" hidden="false" customHeight="true" outlineLevel="0" collapsed="false">
      <c r="A951" s="3" t="s">
        <v>1863</v>
      </c>
      <c r="B951" s="3" t="s">
        <v>9</v>
      </c>
      <c r="C951" s="3" t="s">
        <v>1000</v>
      </c>
      <c r="D951" s="3" t="s">
        <v>952</v>
      </c>
      <c r="E951" s="3" t="s">
        <v>24</v>
      </c>
      <c r="F951" s="4" t="s">
        <v>1942</v>
      </c>
      <c r="G951" s="4" t="s">
        <v>1943</v>
      </c>
      <c r="H951" s="3" t="n">
        <f aca="false">IF(COUNTIFS($D$2:D951,D951,$E$2:E951,E951,$A$2:A951,A951)=1,1,0)</f>
        <v>1</v>
      </c>
    </row>
    <row r="952" customFormat="false" ht="57" hidden="false" customHeight="true" outlineLevel="0" collapsed="false">
      <c r="A952" s="3" t="s">
        <v>1863</v>
      </c>
      <c r="B952" s="3" t="s">
        <v>9</v>
      </c>
      <c r="C952" s="3" t="s">
        <v>1000</v>
      </c>
      <c r="D952" s="3" t="s">
        <v>952</v>
      </c>
      <c r="E952" s="3" t="s">
        <v>59</v>
      </c>
      <c r="F952" s="4" t="s">
        <v>1944</v>
      </c>
      <c r="G952" s="4" t="s">
        <v>1945</v>
      </c>
      <c r="H952" s="3" t="n">
        <f aca="false">IF(COUNTIFS($D$2:D952,D952,$E$2:E952,E952,$A$2:A952,A952)=1,1,0)</f>
        <v>1</v>
      </c>
    </row>
    <row r="953" customFormat="false" ht="34.5" hidden="false" customHeight="true" outlineLevel="0" collapsed="false">
      <c r="A953" s="3" t="s">
        <v>1863</v>
      </c>
      <c r="B953" s="3" t="s">
        <v>9</v>
      </c>
      <c r="C953" s="3" t="s">
        <v>1140</v>
      </c>
      <c r="D953" s="3" t="s">
        <v>413</v>
      </c>
      <c r="E953" s="3" t="s">
        <v>12</v>
      </c>
      <c r="F953" s="4" t="s">
        <v>1946</v>
      </c>
      <c r="G953" s="4" t="s">
        <v>1947</v>
      </c>
      <c r="H953" s="3" t="n">
        <f aca="false">IF(COUNTIFS($D$2:D953,D953,$E$2:E953,E953,$A$2:A953,A953)=1,1,0)</f>
        <v>0</v>
      </c>
    </row>
    <row r="954" customFormat="false" ht="79.5" hidden="false" customHeight="true" outlineLevel="0" collapsed="false">
      <c r="A954" s="3" t="s">
        <v>1863</v>
      </c>
      <c r="B954" s="3" t="s">
        <v>9</v>
      </c>
      <c r="C954" s="3" t="s">
        <v>1140</v>
      </c>
      <c r="D954" s="3" t="s">
        <v>413</v>
      </c>
      <c r="E954" s="3" t="s">
        <v>222</v>
      </c>
      <c r="F954" s="4" t="s">
        <v>1948</v>
      </c>
      <c r="G954" s="4" t="s">
        <v>1949</v>
      </c>
      <c r="H954" s="3" t="n">
        <f aca="false">IF(COUNTIFS($D$2:D954,D954,$E$2:E954,E954,$A$2:A954,A954)=1,1,0)</f>
        <v>1</v>
      </c>
    </row>
    <row r="955" customFormat="false" ht="102" hidden="false" customHeight="true" outlineLevel="0" collapsed="false">
      <c r="A955" s="3" t="s">
        <v>1863</v>
      </c>
      <c r="B955" s="3" t="s">
        <v>9</v>
      </c>
      <c r="C955" s="3" t="s">
        <v>1140</v>
      </c>
      <c r="D955" s="3" t="s">
        <v>473</v>
      </c>
      <c r="E955" s="3" t="s">
        <v>24</v>
      </c>
      <c r="F955" s="4" t="s">
        <v>1950</v>
      </c>
      <c r="G955" s="4" t="s">
        <v>1951</v>
      </c>
      <c r="H955" s="3" t="n">
        <f aca="false">IF(COUNTIFS($D$2:D955,D955,$E$2:E955,E955,$A$2:A955,A955)=1,1,0)</f>
        <v>1</v>
      </c>
    </row>
    <row r="956" customFormat="false" ht="45.75" hidden="false" customHeight="true" outlineLevel="0" collapsed="false">
      <c r="A956" s="3" t="s">
        <v>1863</v>
      </c>
      <c r="B956" s="3" t="s">
        <v>9</v>
      </c>
      <c r="C956" s="3" t="s">
        <v>1268</v>
      </c>
      <c r="D956" s="3" t="s">
        <v>117</v>
      </c>
      <c r="E956" s="3" t="s">
        <v>96</v>
      </c>
      <c r="F956" s="4" t="s">
        <v>1952</v>
      </c>
      <c r="G956" s="4" t="s">
        <v>1953</v>
      </c>
      <c r="H956" s="3" t="n">
        <f aca="false">IF(COUNTIFS($D$2:D956,D956,$E$2:E956,E956,$A$2:A956,A956)=1,1,0)</f>
        <v>1</v>
      </c>
    </row>
    <row r="957" customFormat="false" ht="79.5" hidden="false" customHeight="true" outlineLevel="0" collapsed="false">
      <c r="A957" s="3" t="s">
        <v>1863</v>
      </c>
      <c r="B957" s="3" t="s">
        <v>9</v>
      </c>
      <c r="C957" s="3" t="s">
        <v>1268</v>
      </c>
      <c r="D957" s="3" t="s">
        <v>117</v>
      </c>
      <c r="E957" s="3" t="s">
        <v>59</v>
      </c>
      <c r="F957" s="4" t="s">
        <v>1954</v>
      </c>
      <c r="G957" s="4" t="s">
        <v>1955</v>
      </c>
      <c r="H957" s="3" t="n">
        <f aca="false">IF(COUNTIFS($D$2:D957,D957,$E$2:E957,E957,$A$2:A957,A957)=1,1,0)</f>
        <v>1</v>
      </c>
    </row>
    <row r="958" customFormat="false" ht="79.5" hidden="false" customHeight="true" outlineLevel="0" collapsed="false">
      <c r="A958" s="3" t="s">
        <v>1863</v>
      </c>
      <c r="B958" s="3" t="s">
        <v>9</v>
      </c>
      <c r="C958" s="3" t="s">
        <v>1268</v>
      </c>
      <c r="D958" s="3" t="s">
        <v>1271</v>
      </c>
      <c r="E958" s="3" t="s">
        <v>96</v>
      </c>
      <c r="F958" s="4" t="s">
        <v>1956</v>
      </c>
      <c r="G958" s="4" t="s">
        <v>1957</v>
      </c>
      <c r="H958" s="3" t="n">
        <f aca="false">IF(COUNTIFS($D$2:D958,D958,$E$2:E958,E958,$A$2:A958,A958)=1,1,0)</f>
        <v>1</v>
      </c>
    </row>
    <row r="959" customFormat="false" ht="45.75" hidden="false" customHeight="true" outlineLevel="0" collapsed="false">
      <c r="A959" s="3" t="s">
        <v>1863</v>
      </c>
      <c r="B959" s="3" t="s">
        <v>9</v>
      </c>
      <c r="C959" s="3" t="s">
        <v>1268</v>
      </c>
      <c r="D959" s="3" t="s">
        <v>1271</v>
      </c>
      <c r="E959" s="3" t="s">
        <v>96</v>
      </c>
      <c r="F959" s="4" t="s">
        <v>1958</v>
      </c>
      <c r="G959" s="4" t="s">
        <v>1959</v>
      </c>
      <c r="H959" s="3" t="n">
        <f aca="false">IF(COUNTIFS($D$2:D959,D959,$E$2:E959,E959,$A$2:A959,A959)=1,1,0)</f>
        <v>0</v>
      </c>
    </row>
    <row r="960" customFormat="false" ht="90.75" hidden="false" customHeight="true" outlineLevel="0" collapsed="false">
      <c r="A960" s="3" t="s">
        <v>1863</v>
      </c>
      <c r="B960" s="3" t="s">
        <v>9</v>
      </c>
      <c r="C960" s="3" t="s">
        <v>1268</v>
      </c>
      <c r="D960" s="3" t="s">
        <v>1271</v>
      </c>
      <c r="E960" s="3" t="s">
        <v>96</v>
      </c>
      <c r="F960" s="4" t="s">
        <v>1960</v>
      </c>
      <c r="G960" s="4" t="s">
        <v>1961</v>
      </c>
      <c r="H960" s="3" t="n">
        <f aca="false">IF(COUNTIFS($D$2:D960,D960,$E$2:E960,E960,$A$2:A960,A960)=1,1,0)</f>
        <v>0</v>
      </c>
    </row>
    <row r="961" customFormat="false" ht="68.25" hidden="false" customHeight="true" outlineLevel="0" collapsed="false">
      <c r="A961" s="3" t="s">
        <v>1863</v>
      </c>
      <c r="B961" s="3" t="s">
        <v>9</v>
      </c>
      <c r="C961" s="3" t="s">
        <v>1268</v>
      </c>
      <c r="D961" s="3" t="s">
        <v>1271</v>
      </c>
      <c r="E961" s="3" t="s">
        <v>59</v>
      </c>
      <c r="F961" s="4" t="s">
        <v>1962</v>
      </c>
      <c r="G961" s="4" t="s">
        <v>1963</v>
      </c>
      <c r="H961" s="3" t="n">
        <f aca="false">IF(COUNTIFS($D$2:D961,D961,$E$2:E961,E961,$A$2:A961,A961)=1,1,0)</f>
        <v>1</v>
      </c>
    </row>
    <row r="962" customFormat="false" ht="45.75" hidden="false" customHeight="true" outlineLevel="0" collapsed="false">
      <c r="A962" s="3" t="s">
        <v>1863</v>
      </c>
      <c r="B962" s="3" t="s">
        <v>9</v>
      </c>
      <c r="C962" s="3" t="s">
        <v>1402</v>
      </c>
      <c r="D962" s="3" t="s">
        <v>27</v>
      </c>
      <c r="E962" s="3" t="s">
        <v>12</v>
      </c>
      <c r="F962" s="4" t="s">
        <v>1964</v>
      </c>
      <c r="G962" s="4" t="s">
        <v>1965</v>
      </c>
      <c r="H962" s="3" t="n">
        <f aca="false">IF(COUNTIFS($D$2:D962,D962,$E$2:E962,E962,$A$2:A962,A962)=1,1,0)</f>
        <v>1</v>
      </c>
    </row>
    <row r="963" customFormat="false" ht="79.5" hidden="false" customHeight="true" outlineLevel="0" collapsed="false">
      <c r="A963" s="3" t="s">
        <v>1863</v>
      </c>
      <c r="B963" s="3" t="s">
        <v>9</v>
      </c>
      <c r="C963" s="3" t="s">
        <v>1402</v>
      </c>
      <c r="D963" s="3" t="s">
        <v>470</v>
      </c>
      <c r="E963" s="3" t="s">
        <v>222</v>
      </c>
      <c r="F963" s="4" t="s">
        <v>1966</v>
      </c>
      <c r="G963" s="4" t="s">
        <v>1967</v>
      </c>
      <c r="H963" s="3" t="n">
        <f aca="false">IF(COUNTIFS($D$2:D963,D963,$E$2:E963,E963,$A$2:A963,A963)=1,1,0)</f>
        <v>1</v>
      </c>
    </row>
    <row r="964" customFormat="false" ht="45.75" hidden="false" customHeight="true" outlineLevel="0" collapsed="false">
      <c r="A964" s="3" t="s">
        <v>1863</v>
      </c>
      <c r="B964" s="3" t="s">
        <v>9</v>
      </c>
      <c r="C964" s="3" t="s">
        <v>1402</v>
      </c>
      <c r="D964" s="3" t="s">
        <v>470</v>
      </c>
      <c r="E964" s="3" t="s">
        <v>12</v>
      </c>
      <c r="F964" s="4" t="s">
        <v>1968</v>
      </c>
      <c r="G964" s="4" t="s">
        <v>1969</v>
      </c>
      <c r="H964" s="3" t="n">
        <f aca="false">IF(COUNTIFS($D$2:D964,D964,$E$2:E964,E964,$A$2:A964,A964)=1,1,0)</f>
        <v>1</v>
      </c>
    </row>
    <row r="965" customFormat="false" ht="68.25" hidden="false" customHeight="true" outlineLevel="0" collapsed="false">
      <c r="A965" s="3" t="s">
        <v>1863</v>
      </c>
      <c r="B965" s="3" t="s">
        <v>9</v>
      </c>
      <c r="C965" s="3" t="s">
        <v>1402</v>
      </c>
      <c r="D965" s="3" t="s">
        <v>19</v>
      </c>
      <c r="E965" s="3" t="s">
        <v>12</v>
      </c>
      <c r="F965" s="4" t="s">
        <v>1970</v>
      </c>
      <c r="G965" s="4" t="s">
        <v>1971</v>
      </c>
      <c r="H965" s="3" t="n">
        <f aca="false">IF(COUNTIFS($D$2:D965,D965,$E$2:E965,E965,$A$2:A965,A965)=1,1,0)</f>
        <v>0</v>
      </c>
    </row>
    <row r="966" customFormat="false" ht="45.75" hidden="false" customHeight="true" outlineLevel="0" collapsed="false">
      <c r="A966" s="3" t="s">
        <v>1863</v>
      </c>
      <c r="B966" s="3" t="s">
        <v>9</v>
      </c>
      <c r="C966" s="3" t="s">
        <v>1402</v>
      </c>
      <c r="D966" s="3" t="s">
        <v>19</v>
      </c>
      <c r="E966" s="3" t="s">
        <v>12</v>
      </c>
      <c r="F966" s="4" t="s">
        <v>1972</v>
      </c>
      <c r="G966" s="4" t="s">
        <v>1973</v>
      </c>
      <c r="H966" s="3" t="n">
        <f aca="false">IF(COUNTIFS($D$2:D966,D966,$E$2:E966,E966,$A$2:A966,A966)=1,1,0)</f>
        <v>0</v>
      </c>
    </row>
    <row r="967" customFormat="false" ht="102" hidden="false" customHeight="true" outlineLevel="0" collapsed="false">
      <c r="A967" s="3" t="s">
        <v>1863</v>
      </c>
      <c r="B967" s="3" t="s">
        <v>9</v>
      </c>
      <c r="C967" s="3" t="s">
        <v>1402</v>
      </c>
      <c r="D967" s="3" t="s">
        <v>556</v>
      </c>
      <c r="E967" s="3" t="s">
        <v>59</v>
      </c>
      <c r="F967" s="4" t="s">
        <v>1974</v>
      </c>
      <c r="G967" s="4" t="s">
        <v>1975</v>
      </c>
      <c r="H967" s="3" t="n">
        <f aca="false">IF(COUNTIFS($D$2:D967,D967,$E$2:E967,E967,$A$2:A967,A967)=1,1,0)</f>
        <v>0</v>
      </c>
    </row>
    <row r="968" customFormat="false" ht="90.75" hidden="false" customHeight="true" outlineLevel="0" collapsed="false">
      <c r="A968" s="3" t="s">
        <v>1863</v>
      </c>
      <c r="B968" s="3" t="s">
        <v>9</v>
      </c>
      <c r="C968" s="3" t="s">
        <v>1402</v>
      </c>
      <c r="D968" s="3" t="s">
        <v>1416</v>
      </c>
      <c r="E968" s="3" t="s">
        <v>96</v>
      </c>
      <c r="F968" s="4" t="s">
        <v>1976</v>
      </c>
      <c r="G968" s="4" t="s">
        <v>1977</v>
      </c>
      <c r="H968" s="3" t="n">
        <f aca="false">IF(COUNTIFS($D$2:D968,D968,$E$2:E968,E968,$A$2:A968,A968)=1,1,0)</f>
        <v>1</v>
      </c>
    </row>
    <row r="969" customFormat="false" ht="113.25" hidden="false" customHeight="true" outlineLevel="0" collapsed="false">
      <c r="A969" s="3" t="s">
        <v>1863</v>
      </c>
      <c r="B969" s="3" t="s">
        <v>9</v>
      </c>
      <c r="C969" s="3" t="s">
        <v>1402</v>
      </c>
      <c r="D969" s="3" t="s">
        <v>1411</v>
      </c>
      <c r="E969" s="3" t="s">
        <v>12</v>
      </c>
      <c r="F969" s="4" t="s">
        <v>1978</v>
      </c>
      <c r="G969" s="4" t="s">
        <v>1979</v>
      </c>
      <c r="H969" s="3" t="n">
        <f aca="false">IF(COUNTIFS($D$2:D969,D969,$E$2:E969,E969,$A$2:A969,A969)=1,1,0)</f>
        <v>1</v>
      </c>
    </row>
    <row r="970" customFormat="false" ht="90.75" hidden="false" customHeight="true" outlineLevel="0" collapsed="false">
      <c r="A970" s="3" t="s">
        <v>1863</v>
      </c>
      <c r="B970" s="3" t="s">
        <v>9</v>
      </c>
      <c r="C970" s="3" t="s">
        <v>1591</v>
      </c>
      <c r="D970" s="3" t="s">
        <v>234</v>
      </c>
      <c r="E970" s="3" t="s">
        <v>12</v>
      </c>
      <c r="F970" s="4" t="s">
        <v>1980</v>
      </c>
      <c r="G970" s="4" t="s">
        <v>1981</v>
      </c>
      <c r="H970" s="3" t="n">
        <f aca="false">IF(COUNTIFS($D$2:D970,D970,$E$2:E970,E970,$A$2:A970,A970)=1,1,0)</f>
        <v>1</v>
      </c>
    </row>
    <row r="971" customFormat="false" ht="57" hidden="false" customHeight="true" outlineLevel="0" collapsed="false">
      <c r="A971" s="3" t="s">
        <v>1863</v>
      </c>
      <c r="B971" s="3" t="s">
        <v>9</v>
      </c>
      <c r="C971" s="3" t="s">
        <v>1591</v>
      </c>
      <c r="D971" s="3" t="s">
        <v>234</v>
      </c>
      <c r="E971" s="3" t="s">
        <v>12</v>
      </c>
      <c r="F971" s="4" t="s">
        <v>1982</v>
      </c>
      <c r="G971" s="4" t="s">
        <v>1983</v>
      </c>
      <c r="H971" s="3" t="n">
        <f aca="false">IF(COUNTIFS($D$2:D971,D971,$E$2:E971,E971,$A$2:A971,A971)=1,1,0)</f>
        <v>0</v>
      </c>
    </row>
    <row r="972" customFormat="false" ht="57" hidden="false" customHeight="true" outlineLevel="0" collapsed="false">
      <c r="A972" s="3" t="s">
        <v>1863</v>
      </c>
      <c r="B972" s="3" t="s">
        <v>9</v>
      </c>
      <c r="C972" s="3" t="s">
        <v>1591</v>
      </c>
      <c r="D972" s="3" t="s">
        <v>1503</v>
      </c>
      <c r="E972" s="3" t="s">
        <v>12</v>
      </c>
      <c r="F972" s="4" t="s">
        <v>1984</v>
      </c>
      <c r="G972" s="4" t="s">
        <v>1985</v>
      </c>
      <c r="H972" s="3" t="n">
        <f aca="false">IF(COUNTIFS($D$2:D972,D972,$E$2:E972,E972,$A$2:A972,A972)=1,1,0)</f>
        <v>1</v>
      </c>
    </row>
    <row r="973" customFormat="false" ht="57" hidden="false" customHeight="true" outlineLevel="0" collapsed="false">
      <c r="A973" s="3" t="s">
        <v>1863</v>
      </c>
      <c r="B973" s="3" t="s">
        <v>9</v>
      </c>
      <c r="C973" s="3" t="s">
        <v>1699</v>
      </c>
      <c r="D973" s="3" t="s">
        <v>129</v>
      </c>
      <c r="E973" s="3" t="s">
        <v>12</v>
      </c>
      <c r="F973" s="4" t="s">
        <v>1986</v>
      </c>
      <c r="G973" s="4" t="s">
        <v>1987</v>
      </c>
      <c r="H973" s="3" t="n">
        <f aca="false">IF(COUNTIFS($D$2:D973,D973,$E$2:E973,E973,$A$2:A973,A973)=1,1,0)</f>
        <v>1</v>
      </c>
    </row>
    <row r="974" customFormat="false" ht="45.75" hidden="false" customHeight="true" outlineLevel="0" collapsed="false">
      <c r="A974" s="3" t="s">
        <v>1863</v>
      </c>
      <c r="B974" s="3" t="s">
        <v>9</v>
      </c>
      <c r="C974" s="3" t="s">
        <v>1699</v>
      </c>
      <c r="D974" s="3" t="s">
        <v>129</v>
      </c>
      <c r="E974" s="3" t="s">
        <v>24</v>
      </c>
      <c r="F974" s="4" t="s">
        <v>1988</v>
      </c>
      <c r="G974" s="4" t="s">
        <v>1989</v>
      </c>
      <c r="H974" s="3" t="n">
        <f aca="false">IF(COUNTIFS($D$2:D974,D974,$E$2:E974,E974,$A$2:A974,A974)=1,1,0)</f>
        <v>1</v>
      </c>
    </row>
    <row r="975" customFormat="false" ht="34.5" hidden="false" customHeight="true" outlineLevel="0" collapsed="false">
      <c r="A975" s="3" t="s">
        <v>1863</v>
      </c>
      <c r="B975" s="3" t="s">
        <v>9</v>
      </c>
      <c r="C975" s="3" t="s">
        <v>1699</v>
      </c>
      <c r="D975" s="3" t="s">
        <v>129</v>
      </c>
      <c r="E975" s="3" t="s">
        <v>24</v>
      </c>
      <c r="F975" s="4" t="s">
        <v>1990</v>
      </c>
      <c r="G975" s="4" t="s">
        <v>1991</v>
      </c>
      <c r="H975" s="3" t="n">
        <f aca="false">IF(COUNTIFS($D$2:D975,D975,$E$2:E975,E975,$A$2:A975,A975)=1,1,0)</f>
        <v>0</v>
      </c>
    </row>
    <row r="976" customFormat="false" ht="57" hidden="false" customHeight="true" outlineLevel="0" collapsed="false">
      <c r="A976" s="3" t="s">
        <v>1863</v>
      </c>
      <c r="B976" s="3" t="s">
        <v>9</v>
      </c>
      <c r="C976" s="3" t="s">
        <v>1699</v>
      </c>
      <c r="D976" s="3" t="s">
        <v>952</v>
      </c>
      <c r="E976" s="3" t="s">
        <v>59</v>
      </c>
      <c r="F976" s="4" t="s">
        <v>1992</v>
      </c>
      <c r="G976" s="4" t="s">
        <v>1993</v>
      </c>
      <c r="H976" s="3" t="n">
        <f aca="false">IF(COUNTIFS($D$2:D976,D976,$E$2:E976,E976,$A$2:A976,A976)=1,1,0)</f>
        <v>0</v>
      </c>
    </row>
    <row r="977" customFormat="false" ht="45.75" hidden="false" customHeight="true" outlineLevel="0" collapsed="false">
      <c r="A977" s="3" t="s">
        <v>1863</v>
      </c>
      <c r="B977" s="3" t="s">
        <v>9</v>
      </c>
      <c r="C977" s="3" t="s">
        <v>1699</v>
      </c>
      <c r="D977" s="3" t="s">
        <v>413</v>
      </c>
      <c r="E977" s="3" t="s">
        <v>59</v>
      </c>
      <c r="F977" s="4" t="s">
        <v>1994</v>
      </c>
      <c r="G977" s="4" t="s">
        <v>1995</v>
      </c>
      <c r="H977" s="3" t="n">
        <f aca="false">IF(COUNTIFS($D$2:D977,D977,$E$2:E977,E977,$A$2:A977,A977)=1,1,0)</f>
        <v>1</v>
      </c>
    </row>
    <row r="978" customFormat="false" ht="113.25" hidden="false" customHeight="true" outlineLevel="0" collapsed="false">
      <c r="A978" s="3" t="s">
        <v>1863</v>
      </c>
      <c r="B978" s="3" t="s">
        <v>9</v>
      </c>
      <c r="C978" s="3" t="s">
        <v>1699</v>
      </c>
      <c r="D978" s="3" t="s">
        <v>413</v>
      </c>
      <c r="E978" s="3" t="s">
        <v>96</v>
      </c>
      <c r="F978" s="4" t="s">
        <v>1996</v>
      </c>
      <c r="G978" s="4" t="s">
        <v>1997</v>
      </c>
      <c r="H978" s="3" t="n">
        <f aca="false">IF(COUNTIFS($D$2:D978,D978,$E$2:E978,E978,$A$2:A978,A978)=1,1,0)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2"/>
    <col collapsed="false" customWidth="true" hidden="false" outlineLevel="0" max="3" min="3" style="1" width="14"/>
    <col collapsed="false" customWidth="true" hidden="false" outlineLevel="0" max="4" min="4" style="1" width="40"/>
    <col collapsed="false" customWidth="true" hidden="false" outlineLevel="0" max="5" min="5" style="1" width="55"/>
    <col collapsed="false" customWidth="true" hidden="false" outlineLevel="0" max="6" min="6" style="1" width="45"/>
  </cols>
  <sheetData>
    <row r="1" customFormat="false" ht="15" hidden="false" customHeight="true" outlineLevel="0" collapsed="false">
      <c r="A1" s="2" t="s">
        <v>3</v>
      </c>
      <c r="B1" s="2" t="s">
        <v>4</v>
      </c>
      <c r="C1" s="2" t="s">
        <v>1998</v>
      </c>
      <c r="D1" s="2" t="s">
        <v>1999</v>
      </c>
      <c r="E1" s="2" t="s">
        <v>2000</v>
      </c>
      <c r="F1" s="2" t="s">
        <v>2001</v>
      </c>
    </row>
    <row r="2" customFormat="false" ht="68.25" hidden="false" customHeight="true" outlineLevel="0" collapsed="false">
      <c r="A2" s="3" t="s">
        <v>413</v>
      </c>
      <c r="B2" s="3" t="s">
        <v>96</v>
      </c>
      <c r="C2" s="5" t="n">
        <f aca="false">SUMIFS('Raw Atomic Data (Pro)'!$H$2:$H$978,'Raw Atomic Data (Pro)'!$D$2:$D$978,A2,'Raw Atomic Data (Pro)'!$E$2:$E$978,B2)</f>
        <v>9</v>
      </c>
      <c r="D2" s="4" t="s">
        <v>2002</v>
      </c>
      <c r="E2" s="4" t="s">
        <v>2003</v>
      </c>
      <c r="F2" s="4" t="s">
        <v>426</v>
      </c>
    </row>
    <row r="3" customFormat="false" ht="57" hidden="false" customHeight="true" outlineLevel="0" collapsed="false">
      <c r="A3" s="3" t="s">
        <v>757</v>
      </c>
      <c r="B3" s="3" t="s">
        <v>59</v>
      </c>
      <c r="C3" s="5" t="n">
        <f aca="false">SUMIFS('Raw Atomic Data (Pro)'!$H$2:$H$978,'Raw Atomic Data (Pro)'!$D$2:$D$978,A3,'Raw Atomic Data (Pro)'!$E$2:$E$978,B3)</f>
        <v>7</v>
      </c>
      <c r="D3" s="4" t="s">
        <v>2004</v>
      </c>
      <c r="E3" s="4" t="s">
        <v>2005</v>
      </c>
      <c r="F3" s="4" t="s">
        <v>763</v>
      </c>
    </row>
    <row r="4" customFormat="false" ht="34.5" hidden="false" customHeight="true" outlineLevel="0" collapsed="false">
      <c r="A4" s="3" t="s">
        <v>757</v>
      </c>
      <c r="B4" s="3" t="s">
        <v>222</v>
      </c>
      <c r="C4" s="5" t="n">
        <f aca="false">SUMIFS('Raw Atomic Data (Pro)'!$H$2:$H$978,'Raw Atomic Data (Pro)'!$D$2:$D$978,A4,'Raw Atomic Data (Pro)'!$E$2:$E$978,B4)</f>
        <v>6</v>
      </c>
      <c r="D4" s="4" t="s">
        <v>2006</v>
      </c>
      <c r="E4" s="4" t="s">
        <v>2007</v>
      </c>
      <c r="F4" s="4" t="s">
        <v>785</v>
      </c>
    </row>
    <row r="5" customFormat="false" ht="90.75" hidden="false" customHeight="true" outlineLevel="0" collapsed="false">
      <c r="A5" s="3" t="s">
        <v>757</v>
      </c>
      <c r="B5" s="3" t="s">
        <v>96</v>
      </c>
      <c r="C5" s="5" t="n">
        <f aca="false">SUMIFS('Raw Atomic Data (Pro)'!$H$2:$H$978,'Raw Atomic Data (Pro)'!$D$2:$D$978,A5,'Raw Atomic Data (Pro)'!$E$2:$E$978,B5)</f>
        <v>5</v>
      </c>
      <c r="D5" s="4" t="s">
        <v>2008</v>
      </c>
      <c r="E5" s="4" t="s">
        <v>2009</v>
      </c>
      <c r="F5" s="4" t="s">
        <v>805</v>
      </c>
    </row>
    <row r="6" customFormat="false" ht="79.5" hidden="false" customHeight="true" outlineLevel="0" collapsed="false">
      <c r="A6" s="3" t="s">
        <v>619</v>
      </c>
      <c r="B6" s="3" t="s">
        <v>222</v>
      </c>
      <c r="C6" s="5" t="n">
        <f aca="false">SUMIFS('Raw Atomic Data (Pro)'!$H$2:$H$978,'Raw Atomic Data (Pro)'!$D$2:$D$978,A6,'Raw Atomic Data (Pro)'!$E$2:$E$978,B6)</f>
        <v>5</v>
      </c>
      <c r="D6" s="4" t="s">
        <v>2010</v>
      </c>
      <c r="E6" s="4" t="s">
        <v>2011</v>
      </c>
      <c r="F6" s="4" t="s">
        <v>913</v>
      </c>
    </row>
    <row r="7" customFormat="false" ht="79.5" hidden="false" customHeight="true" outlineLevel="0" collapsed="false">
      <c r="A7" s="3" t="s">
        <v>413</v>
      </c>
      <c r="B7" s="3" t="s">
        <v>59</v>
      </c>
      <c r="C7" s="5" t="n">
        <f aca="false">SUMIFS('Raw Atomic Data (Pro)'!$H$2:$H$978,'Raw Atomic Data (Pro)'!$D$2:$D$978,A7,'Raw Atomic Data (Pro)'!$E$2:$E$978,B7)</f>
        <v>5</v>
      </c>
      <c r="D7" s="4" t="s">
        <v>2012</v>
      </c>
      <c r="E7" s="4" t="s">
        <v>2013</v>
      </c>
      <c r="F7" s="4" t="s">
        <v>1257</v>
      </c>
    </row>
    <row r="8" customFormat="false" ht="45.75" hidden="false" customHeight="true" outlineLevel="0" collapsed="false">
      <c r="A8" s="3" t="s">
        <v>117</v>
      </c>
      <c r="B8" s="3" t="s">
        <v>59</v>
      </c>
      <c r="C8" s="5" t="n">
        <f aca="false">SUMIFS('Raw Atomic Data (Pro)'!$H$2:$H$978,'Raw Atomic Data (Pro)'!$D$2:$D$978,A8,'Raw Atomic Data (Pro)'!$E$2:$E$978,B8)</f>
        <v>5</v>
      </c>
      <c r="D8" s="4" t="s">
        <v>2014</v>
      </c>
      <c r="E8" s="4" t="s">
        <v>2015</v>
      </c>
      <c r="F8" s="4" t="s">
        <v>1434</v>
      </c>
    </row>
    <row r="9" customFormat="false" ht="68.25" hidden="false" customHeight="true" outlineLevel="0" collapsed="false">
      <c r="A9" s="3" t="s">
        <v>19</v>
      </c>
      <c r="B9" s="3" t="s">
        <v>96</v>
      </c>
      <c r="C9" s="5" t="n">
        <f aca="false">SUMIFS('Raw Atomic Data (Pro)'!$H$2:$H$978,'Raw Atomic Data (Pro)'!$D$2:$D$978,A9,'Raw Atomic Data (Pro)'!$E$2:$E$978,B9)</f>
        <v>4</v>
      </c>
      <c r="D9" s="4" t="s">
        <v>2016</v>
      </c>
      <c r="E9" s="4" t="s">
        <v>2017</v>
      </c>
      <c r="F9" s="4" t="s">
        <v>98</v>
      </c>
    </row>
    <row r="10" customFormat="false" ht="57" hidden="false" customHeight="true" outlineLevel="0" collapsed="false">
      <c r="A10" s="3" t="s">
        <v>473</v>
      </c>
      <c r="B10" s="3" t="s">
        <v>96</v>
      </c>
      <c r="C10" s="5" t="n">
        <f aca="false">SUMIFS('Raw Atomic Data (Pro)'!$H$2:$H$978,'Raw Atomic Data (Pro)'!$D$2:$D$978,A10,'Raw Atomic Data (Pro)'!$E$2:$E$978,B10)</f>
        <v>4</v>
      </c>
      <c r="D10" s="4" t="s">
        <v>2018</v>
      </c>
      <c r="E10" s="4" t="s">
        <v>2019</v>
      </c>
      <c r="F10" s="4" t="s">
        <v>586</v>
      </c>
    </row>
    <row r="11" customFormat="false" ht="45.75" hidden="false" customHeight="true" outlineLevel="0" collapsed="false">
      <c r="A11" s="3" t="s">
        <v>619</v>
      </c>
      <c r="B11" s="3" t="s">
        <v>59</v>
      </c>
      <c r="C11" s="5" t="n">
        <f aca="false">SUMIFS('Raw Atomic Data (Pro)'!$H$2:$H$978,'Raw Atomic Data (Pro)'!$D$2:$D$978,A11,'Raw Atomic Data (Pro)'!$E$2:$E$978,B11)</f>
        <v>4</v>
      </c>
      <c r="D11" s="4" t="s">
        <v>2020</v>
      </c>
      <c r="E11" s="4" t="s">
        <v>2021</v>
      </c>
      <c r="F11" s="4" t="s">
        <v>929</v>
      </c>
    </row>
    <row r="12" customFormat="false" ht="57" hidden="false" customHeight="true" outlineLevel="0" collapsed="false">
      <c r="A12" s="3" t="s">
        <v>416</v>
      </c>
      <c r="B12" s="3" t="s">
        <v>222</v>
      </c>
      <c r="C12" s="5" t="n">
        <f aca="false">SUMIFS('Raw Atomic Data (Pro)'!$H$2:$H$978,'Raw Atomic Data (Pro)'!$D$2:$D$978,A12,'Raw Atomic Data (Pro)'!$E$2:$E$978,B12)</f>
        <v>4</v>
      </c>
      <c r="D12" s="4" t="s">
        <v>2022</v>
      </c>
      <c r="E12" s="4" t="s">
        <v>2023</v>
      </c>
      <c r="F12" s="4" t="s">
        <v>1156</v>
      </c>
    </row>
    <row r="13" customFormat="false" ht="57" hidden="false" customHeight="true" outlineLevel="0" collapsed="false">
      <c r="A13" s="3" t="s">
        <v>413</v>
      </c>
      <c r="B13" s="3" t="s">
        <v>222</v>
      </c>
      <c r="C13" s="5" t="n">
        <f aca="false">SUMIFS('Raw Atomic Data (Pro)'!$H$2:$H$978,'Raw Atomic Data (Pro)'!$D$2:$D$978,A13,'Raw Atomic Data (Pro)'!$E$2:$E$978,B13)</f>
        <v>4</v>
      </c>
      <c r="D13" s="4" t="s">
        <v>2024</v>
      </c>
      <c r="E13" s="4" t="s">
        <v>2025</v>
      </c>
      <c r="F13" s="4" t="s">
        <v>1168</v>
      </c>
    </row>
    <row r="14" customFormat="false" ht="45.75" hidden="false" customHeight="true" outlineLevel="0" collapsed="false">
      <c r="A14" s="3" t="s">
        <v>1271</v>
      </c>
      <c r="B14" s="3" t="s">
        <v>96</v>
      </c>
      <c r="C14" s="5" t="n">
        <f aca="false">SUMIFS('Raw Atomic Data (Pro)'!$H$2:$H$978,'Raw Atomic Data (Pro)'!$D$2:$D$978,A14,'Raw Atomic Data (Pro)'!$E$2:$E$978,B14)</f>
        <v>4</v>
      </c>
      <c r="D14" s="4" t="s">
        <v>2026</v>
      </c>
      <c r="E14" s="4" t="s">
        <v>2027</v>
      </c>
      <c r="F14" s="4" t="s">
        <v>1281</v>
      </c>
    </row>
    <row r="15" customFormat="false" ht="68.25" hidden="false" customHeight="true" outlineLevel="0" collapsed="false">
      <c r="A15" s="3" t="s">
        <v>129</v>
      </c>
      <c r="B15" s="3" t="s">
        <v>59</v>
      </c>
      <c r="C15" s="5" t="n">
        <f aca="false">SUMIFS('Raw Atomic Data (Pro)'!$H$2:$H$978,'Raw Atomic Data (Pro)'!$D$2:$D$978,A15,'Raw Atomic Data (Pro)'!$E$2:$E$978,B15)</f>
        <v>4</v>
      </c>
      <c r="D15" s="4" t="s">
        <v>2028</v>
      </c>
      <c r="E15" s="4" t="s">
        <v>2029</v>
      </c>
      <c r="F15" s="4" t="s">
        <v>1707</v>
      </c>
    </row>
    <row r="16" customFormat="false" ht="45.75" hidden="false" customHeight="true" outlineLevel="0" collapsed="false">
      <c r="A16" s="3" t="s">
        <v>444</v>
      </c>
      <c r="B16" s="3" t="s">
        <v>59</v>
      </c>
      <c r="C16" s="5" t="n">
        <f aca="false">SUMIFS('Raw Atomic Data (Pro)'!$H$2:$H$978,'Raw Atomic Data (Pro)'!$D$2:$D$978,A16,'Raw Atomic Data (Pro)'!$E$2:$E$978,B16)</f>
        <v>3</v>
      </c>
      <c r="D16" s="4" t="s">
        <v>2030</v>
      </c>
      <c r="E16" s="4" t="s">
        <v>2031</v>
      </c>
      <c r="F16" s="4" t="s">
        <v>452</v>
      </c>
    </row>
    <row r="17" customFormat="false" ht="68.25" hidden="false" customHeight="true" outlineLevel="0" collapsed="false">
      <c r="A17" s="3" t="s">
        <v>486</v>
      </c>
      <c r="B17" s="3" t="s">
        <v>222</v>
      </c>
      <c r="C17" s="5" t="n">
        <f aca="false">SUMIFS('Raw Atomic Data (Pro)'!$H$2:$H$978,'Raw Atomic Data (Pro)'!$D$2:$D$978,A17,'Raw Atomic Data (Pro)'!$E$2:$E$978,B17)</f>
        <v>3</v>
      </c>
      <c r="D17" s="4" t="s">
        <v>2032</v>
      </c>
      <c r="E17" s="4" t="s">
        <v>2033</v>
      </c>
      <c r="F17" s="4" t="s">
        <v>490</v>
      </c>
    </row>
    <row r="18" customFormat="false" ht="57" hidden="false" customHeight="true" outlineLevel="0" collapsed="false">
      <c r="A18" s="3" t="s">
        <v>952</v>
      </c>
      <c r="B18" s="3" t="s">
        <v>222</v>
      </c>
      <c r="C18" s="5" t="n">
        <f aca="false">SUMIFS('Raw Atomic Data (Pro)'!$H$2:$H$978,'Raw Atomic Data (Pro)'!$D$2:$D$978,A18,'Raw Atomic Data (Pro)'!$E$2:$E$978,B18)</f>
        <v>3</v>
      </c>
      <c r="D18" s="4" t="s">
        <v>2034</v>
      </c>
      <c r="E18" s="4" t="s">
        <v>2035</v>
      </c>
      <c r="F18" s="4" t="s">
        <v>1031</v>
      </c>
    </row>
    <row r="19" customFormat="false" ht="45.75" hidden="false" customHeight="true" outlineLevel="0" collapsed="false">
      <c r="A19" s="3" t="s">
        <v>470</v>
      </c>
      <c r="B19" s="3" t="s">
        <v>222</v>
      </c>
      <c r="C19" s="5" t="n">
        <f aca="false">SUMIFS('Raw Atomic Data (Pro)'!$H$2:$H$978,'Raw Atomic Data (Pro)'!$D$2:$D$978,A19,'Raw Atomic Data (Pro)'!$E$2:$E$978,B19)</f>
        <v>3</v>
      </c>
      <c r="D19" s="4" t="s">
        <v>2036</v>
      </c>
      <c r="E19" s="4" t="s">
        <v>2037</v>
      </c>
      <c r="F19" s="4" t="s">
        <v>1422</v>
      </c>
    </row>
    <row r="20" customFormat="false" ht="45.75" hidden="false" customHeight="true" outlineLevel="0" collapsed="false">
      <c r="A20" s="3" t="s">
        <v>1411</v>
      </c>
      <c r="B20" s="3" t="s">
        <v>59</v>
      </c>
      <c r="C20" s="5" t="n">
        <f aca="false">SUMIFS('Raw Atomic Data (Pro)'!$H$2:$H$978,'Raw Atomic Data (Pro)'!$D$2:$D$978,A20,'Raw Atomic Data (Pro)'!$E$2:$E$978,B20)</f>
        <v>3</v>
      </c>
      <c r="D20" s="4" t="s">
        <v>2038</v>
      </c>
      <c r="E20" s="4" t="s">
        <v>2039</v>
      </c>
      <c r="F20" s="4" t="s">
        <v>1458</v>
      </c>
    </row>
    <row r="21" customFormat="false" ht="57" hidden="false" customHeight="true" outlineLevel="0" collapsed="false">
      <c r="A21" s="3" t="s">
        <v>168</v>
      </c>
      <c r="B21" s="3" t="s">
        <v>59</v>
      </c>
      <c r="C21" s="5" t="n">
        <f aca="false">SUMIFS('Raw Atomic Data (Pro)'!$H$2:$H$978,'Raw Atomic Data (Pro)'!$D$2:$D$978,A21,'Raw Atomic Data (Pro)'!$E$2:$E$978,B21)</f>
        <v>3</v>
      </c>
      <c r="D21" s="4" t="s">
        <v>2034</v>
      </c>
      <c r="E21" s="4" t="s">
        <v>2040</v>
      </c>
      <c r="F21" s="4" t="s">
        <v>1476</v>
      </c>
    </row>
    <row r="22" customFormat="false" ht="57" hidden="false" customHeight="true" outlineLevel="0" collapsed="false">
      <c r="A22" s="3" t="s">
        <v>117</v>
      </c>
      <c r="B22" s="3" t="s">
        <v>96</v>
      </c>
      <c r="C22" s="5" t="n">
        <f aca="false">SUMIFS('Raw Atomic Data (Pro)'!$H$2:$H$978,'Raw Atomic Data (Pro)'!$D$2:$D$978,A22,'Raw Atomic Data (Pro)'!$E$2:$E$978,B22)</f>
        <v>3</v>
      </c>
      <c r="D22" s="4" t="s">
        <v>2041</v>
      </c>
      <c r="E22" s="4" t="s">
        <v>2042</v>
      </c>
      <c r="F22" s="4" t="s">
        <v>1566</v>
      </c>
    </row>
    <row r="23" customFormat="false" ht="34.5" hidden="false" customHeight="true" outlineLevel="0" collapsed="false">
      <c r="A23" s="3" t="s">
        <v>37</v>
      </c>
      <c r="B23" s="3" t="s">
        <v>96</v>
      </c>
      <c r="C23" s="5" t="n">
        <f aca="false">SUMIFS('Raw Atomic Data (Pro)'!$H$2:$H$978,'Raw Atomic Data (Pro)'!$D$2:$D$978,A23,'Raw Atomic Data (Pro)'!$E$2:$E$978,B23)</f>
        <v>2</v>
      </c>
      <c r="D23" s="4" t="s">
        <v>2043</v>
      </c>
      <c r="E23" s="4" t="s">
        <v>2044</v>
      </c>
      <c r="F23" s="4" t="s">
        <v>198</v>
      </c>
    </row>
    <row r="24" customFormat="false" ht="45.75" hidden="false" customHeight="true" outlineLevel="0" collapsed="false">
      <c r="A24" s="3" t="s">
        <v>470</v>
      </c>
      <c r="B24" s="3" t="s">
        <v>96</v>
      </c>
      <c r="C24" s="5" t="n">
        <f aca="false">SUMIFS('Raw Atomic Data (Pro)'!$H$2:$H$978,'Raw Atomic Data (Pro)'!$D$2:$D$978,A24,'Raw Atomic Data (Pro)'!$E$2:$E$978,B24)</f>
        <v>2</v>
      </c>
      <c r="D24" s="4" t="s">
        <v>2045</v>
      </c>
      <c r="E24" s="4" t="s">
        <v>2046</v>
      </c>
      <c r="F24" s="4" t="s">
        <v>472</v>
      </c>
    </row>
    <row r="25" customFormat="false" ht="79.5" hidden="false" customHeight="true" outlineLevel="0" collapsed="false">
      <c r="A25" s="3" t="s">
        <v>168</v>
      </c>
      <c r="B25" s="3" t="s">
        <v>96</v>
      </c>
      <c r="C25" s="5" t="n">
        <f aca="false">SUMIFS('Raw Atomic Data (Pro)'!$H$2:$H$978,'Raw Atomic Data (Pro)'!$D$2:$D$978,A25,'Raw Atomic Data (Pro)'!$E$2:$E$978,B25)</f>
        <v>2</v>
      </c>
      <c r="D25" s="4" t="s">
        <v>2047</v>
      </c>
      <c r="E25" s="4" t="s">
        <v>2048</v>
      </c>
      <c r="F25" s="4" t="s">
        <v>516</v>
      </c>
    </row>
    <row r="26" customFormat="false" ht="45.75" hidden="false" customHeight="true" outlineLevel="0" collapsed="false">
      <c r="A26" s="3" t="s">
        <v>168</v>
      </c>
      <c r="B26" s="3" t="s">
        <v>222</v>
      </c>
      <c r="C26" s="5" t="n">
        <f aca="false">SUMIFS('Raw Atomic Data (Pro)'!$H$2:$H$978,'Raw Atomic Data (Pro)'!$D$2:$D$978,A26,'Raw Atomic Data (Pro)'!$E$2:$E$978,B26)</f>
        <v>2</v>
      </c>
      <c r="D26" s="4" t="s">
        <v>2049</v>
      </c>
      <c r="E26" s="4" t="s">
        <v>2050</v>
      </c>
      <c r="F26" s="4" t="s">
        <v>540</v>
      </c>
    </row>
    <row r="27" customFormat="false" ht="57" hidden="false" customHeight="true" outlineLevel="0" collapsed="false">
      <c r="A27" s="3" t="s">
        <v>473</v>
      </c>
      <c r="B27" s="3" t="s">
        <v>59</v>
      </c>
      <c r="C27" s="5" t="n">
        <f aca="false">SUMIFS('Raw Atomic Data (Pro)'!$H$2:$H$978,'Raw Atomic Data (Pro)'!$D$2:$D$978,A27,'Raw Atomic Data (Pro)'!$E$2:$E$978,B27)</f>
        <v>2</v>
      </c>
      <c r="D27" s="4" t="s">
        <v>2051</v>
      </c>
      <c r="E27" s="4" t="s">
        <v>2052</v>
      </c>
      <c r="F27" s="4" t="s">
        <v>588</v>
      </c>
    </row>
    <row r="28" customFormat="false" ht="79.5" hidden="false" customHeight="true" outlineLevel="0" collapsed="false">
      <c r="A28" s="3" t="s">
        <v>619</v>
      </c>
      <c r="B28" s="3" t="s">
        <v>96</v>
      </c>
      <c r="C28" s="5" t="n">
        <f aca="false">SUMIFS('Raw Atomic Data (Pro)'!$H$2:$H$978,'Raw Atomic Data (Pro)'!$D$2:$D$978,A28,'Raw Atomic Data (Pro)'!$E$2:$E$978,B28)</f>
        <v>2</v>
      </c>
      <c r="D28" s="4" t="s">
        <v>2053</v>
      </c>
      <c r="E28" s="4" t="s">
        <v>2054</v>
      </c>
      <c r="F28" s="4" t="s">
        <v>671</v>
      </c>
    </row>
    <row r="29" customFormat="false" ht="57" hidden="false" customHeight="true" outlineLevel="0" collapsed="false">
      <c r="A29" s="3" t="s">
        <v>473</v>
      </c>
      <c r="B29" s="3" t="s">
        <v>222</v>
      </c>
      <c r="C29" s="5" t="n">
        <f aca="false">SUMIFS('Raw Atomic Data (Pro)'!$H$2:$H$978,'Raw Atomic Data (Pro)'!$D$2:$D$978,A29,'Raw Atomic Data (Pro)'!$E$2:$E$978,B29)</f>
        <v>2</v>
      </c>
      <c r="D29" s="4" t="s">
        <v>2055</v>
      </c>
      <c r="E29" s="4" t="s">
        <v>2056</v>
      </c>
      <c r="F29" s="4" t="s">
        <v>751</v>
      </c>
    </row>
    <row r="30" customFormat="false" ht="57" hidden="false" customHeight="true" outlineLevel="0" collapsed="false">
      <c r="A30" s="3" t="s">
        <v>486</v>
      </c>
      <c r="B30" s="3" t="s">
        <v>96</v>
      </c>
      <c r="C30" s="5" t="n">
        <f aca="false">SUMIFS('Raw Atomic Data (Pro)'!$H$2:$H$978,'Raw Atomic Data (Pro)'!$D$2:$D$978,A30,'Raw Atomic Data (Pro)'!$E$2:$E$978,B30)</f>
        <v>2</v>
      </c>
      <c r="D30" s="4" t="s">
        <v>2057</v>
      </c>
      <c r="E30" s="4" t="s">
        <v>2058</v>
      </c>
      <c r="F30" s="4" t="s">
        <v>767</v>
      </c>
    </row>
    <row r="31" customFormat="false" ht="68.25" hidden="false" customHeight="true" outlineLevel="0" collapsed="false">
      <c r="A31" s="3" t="s">
        <v>816</v>
      </c>
      <c r="B31" s="3" t="s">
        <v>96</v>
      </c>
      <c r="C31" s="5" t="n">
        <f aca="false">SUMIFS('Raw Atomic Data (Pro)'!$H$2:$H$978,'Raw Atomic Data (Pro)'!$D$2:$D$978,A31,'Raw Atomic Data (Pro)'!$E$2:$E$978,B31)</f>
        <v>2</v>
      </c>
      <c r="D31" s="4" t="s">
        <v>2059</v>
      </c>
      <c r="E31" s="4" t="s">
        <v>2060</v>
      </c>
      <c r="F31" s="4" t="s">
        <v>818</v>
      </c>
    </row>
    <row r="32" customFormat="false" ht="68.25" hidden="false" customHeight="true" outlineLevel="0" collapsed="false">
      <c r="A32" s="3" t="s">
        <v>556</v>
      </c>
      <c r="B32" s="3" t="s">
        <v>59</v>
      </c>
      <c r="C32" s="5" t="n">
        <f aca="false">SUMIFS('Raw Atomic Data (Pro)'!$H$2:$H$978,'Raw Atomic Data (Pro)'!$D$2:$D$978,A32,'Raw Atomic Data (Pro)'!$E$2:$E$978,B32)</f>
        <v>2</v>
      </c>
      <c r="D32" s="4" t="s">
        <v>2061</v>
      </c>
      <c r="E32" s="4" t="s">
        <v>2062</v>
      </c>
      <c r="F32" s="4" t="s">
        <v>896</v>
      </c>
    </row>
    <row r="33" customFormat="false" ht="57" hidden="false" customHeight="true" outlineLevel="0" collapsed="false">
      <c r="A33" s="3" t="s">
        <v>556</v>
      </c>
      <c r="B33" s="3" t="s">
        <v>96</v>
      </c>
      <c r="C33" s="5" t="n">
        <f aca="false">SUMIFS('Raw Atomic Data (Pro)'!$H$2:$H$978,'Raw Atomic Data (Pro)'!$D$2:$D$978,A33,'Raw Atomic Data (Pro)'!$E$2:$E$978,B33)</f>
        <v>2</v>
      </c>
      <c r="D33" s="4" t="s">
        <v>2061</v>
      </c>
      <c r="E33" s="4" t="s">
        <v>2063</v>
      </c>
      <c r="F33" s="4" t="s">
        <v>898</v>
      </c>
    </row>
    <row r="34" customFormat="false" ht="68.25" hidden="false" customHeight="true" outlineLevel="0" collapsed="false">
      <c r="A34" s="3" t="s">
        <v>444</v>
      </c>
      <c r="B34" s="3" t="s">
        <v>96</v>
      </c>
      <c r="C34" s="5" t="n">
        <f aca="false">SUMIFS('Raw Atomic Data (Pro)'!$H$2:$H$978,'Raw Atomic Data (Pro)'!$D$2:$D$978,A34,'Raw Atomic Data (Pro)'!$E$2:$E$978,B34)</f>
        <v>2</v>
      </c>
      <c r="D34" s="4" t="s">
        <v>2064</v>
      </c>
      <c r="E34" s="4" t="s">
        <v>2065</v>
      </c>
      <c r="F34" s="4" t="s">
        <v>923</v>
      </c>
    </row>
    <row r="35" customFormat="false" ht="57" hidden="false" customHeight="true" outlineLevel="0" collapsed="false">
      <c r="A35" s="3" t="s">
        <v>1003</v>
      </c>
      <c r="B35" s="3" t="s">
        <v>59</v>
      </c>
      <c r="C35" s="5" t="n">
        <f aca="false">SUMIFS('Raw Atomic Data (Pro)'!$H$2:$H$978,'Raw Atomic Data (Pro)'!$D$2:$D$978,A35,'Raw Atomic Data (Pro)'!$E$2:$E$978,B35)</f>
        <v>2</v>
      </c>
      <c r="D35" s="4" t="s">
        <v>2066</v>
      </c>
      <c r="E35" s="4" t="s">
        <v>2067</v>
      </c>
      <c r="F35" s="4" t="s">
        <v>1021</v>
      </c>
    </row>
    <row r="36" customFormat="false" ht="45.75" hidden="false" customHeight="true" outlineLevel="0" collapsed="false">
      <c r="A36" s="3" t="s">
        <v>952</v>
      </c>
      <c r="B36" s="3" t="s">
        <v>96</v>
      </c>
      <c r="C36" s="5" t="n">
        <f aca="false">SUMIFS('Raw Atomic Data (Pro)'!$H$2:$H$978,'Raw Atomic Data (Pro)'!$D$2:$D$978,A36,'Raw Atomic Data (Pro)'!$E$2:$E$978,B36)</f>
        <v>2</v>
      </c>
      <c r="D36" s="4" t="s">
        <v>2068</v>
      </c>
      <c r="E36" s="4" t="s">
        <v>2069</v>
      </c>
      <c r="F36" s="4" t="s">
        <v>1035</v>
      </c>
    </row>
    <row r="37" customFormat="false" ht="45.75" hidden="false" customHeight="true" outlineLevel="0" collapsed="false">
      <c r="A37" s="3" t="s">
        <v>1003</v>
      </c>
      <c r="B37" s="3" t="s">
        <v>96</v>
      </c>
      <c r="C37" s="5" t="n">
        <f aca="false">SUMIFS('Raw Atomic Data (Pro)'!$H$2:$H$978,'Raw Atomic Data (Pro)'!$D$2:$D$978,A37,'Raw Atomic Data (Pro)'!$E$2:$E$978,B37)</f>
        <v>2</v>
      </c>
      <c r="D37" s="4" t="s">
        <v>2070</v>
      </c>
      <c r="E37" s="4" t="s">
        <v>2071</v>
      </c>
      <c r="F37" s="4" t="s">
        <v>1049</v>
      </c>
    </row>
    <row r="38" customFormat="false" ht="57" hidden="false" customHeight="true" outlineLevel="0" collapsed="false">
      <c r="A38" s="3" t="s">
        <v>816</v>
      </c>
      <c r="B38" s="3" t="s">
        <v>59</v>
      </c>
      <c r="C38" s="5" t="n">
        <f aca="false">SUMIFS('Raw Atomic Data (Pro)'!$H$2:$H$978,'Raw Atomic Data (Pro)'!$D$2:$D$978,A38,'Raw Atomic Data (Pro)'!$E$2:$E$978,B38)</f>
        <v>2</v>
      </c>
      <c r="D38" s="4" t="s">
        <v>2072</v>
      </c>
      <c r="E38" s="4" t="s">
        <v>2073</v>
      </c>
      <c r="F38" s="4" t="s">
        <v>1061</v>
      </c>
    </row>
    <row r="39" customFormat="false" ht="45.75" hidden="false" customHeight="true" outlineLevel="0" collapsed="false">
      <c r="A39" s="3" t="s">
        <v>1271</v>
      </c>
      <c r="B39" s="3" t="s">
        <v>59</v>
      </c>
      <c r="C39" s="5" t="n">
        <f aca="false">SUMIFS('Raw Atomic Data (Pro)'!$H$2:$H$978,'Raw Atomic Data (Pro)'!$D$2:$D$978,A39,'Raw Atomic Data (Pro)'!$E$2:$E$978,B39)</f>
        <v>2</v>
      </c>
      <c r="D39" s="4" t="s">
        <v>2061</v>
      </c>
      <c r="E39" s="4" t="s">
        <v>2074</v>
      </c>
      <c r="F39" s="4" t="s">
        <v>1380</v>
      </c>
    </row>
    <row r="40" customFormat="false" ht="57" hidden="false" customHeight="true" outlineLevel="0" collapsed="false">
      <c r="A40" s="3" t="s">
        <v>1411</v>
      </c>
      <c r="B40" s="3" t="s">
        <v>96</v>
      </c>
      <c r="C40" s="5" t="n">
        <f aca="false">SUMIFS('Raw Atomic Data (Pro)'!$H$2:$H$978,'Raw Atomic Data (Pro)'!$D$2:$D$978,A40,'Raw Atomic Data (Pro)'!$E$2:$E$978,B40)</f>
        <v>2</v>
      </c>
      <c r="D40" s="4" t="s">
        <v>2049</v>
      </c>
      <c r="E40" s="4" t="s">
        <v>2075</v>
      </c>
      <c r="F40" s="4" t="s">
        <v>1466</v>
      </c>
    </row>
    <row r="41" customFormat="false" ht="57" hidden="false" customHeight="true" outlineLevel="0" collapsed="false">
      <c r="A41" s="3" t="s">
        <v>1503</v>
      </c>
      <c r="B41" s="3" t="s">
        <v>96</v>
      </c>
      <c r="C41" s="5" t="n">
        <f aca="false">SUMIFS('Raw Atomic Data (Pro)'!$H$2:$H$978,'Raw Atomic Data (Pro)'!$D$2:$D$978,A41,'Raw Atomic Data (Pro)'!$E$2:$E$978,B41)</f>
        <v>2</v>
      </c>
      <c r="D41" s="4" t="s">
        <v>2076</v>
      </c>
      <c r="E41" s="4" t="s">
        <v>2077</v>
      </c>
      <c r="F41" s="4" t="s">
        <v>1507</v>
      </c>
    </row>
    <row r="42" customFormat="false" ht="45.75" hidden="false" customHeight="true" outlineLevel="0" collapsed="false">
      <c r="A42" s="3" t="s">
        <v>457</v>
      </c>
      <c r="B42" s="3" t="s">
        <v>59</v>
      </c>
      <c r="C42" s="5" t="n">
        <f aca="false">SUMIFS('Raw Atomic Data (Pro)'!$H$2:$H$978,'Raw Atomic Data (Pro)'!$D$2:$D$978,A42,'Raw Atomic Data (Pro)'!$E$2:$E$978,B42)</f>
        <v>2</v>
      </c>
      <c r="D42" s="4" t="s">
        <v>2078</v>
      </c>
      <c r="E42" s="4" t="s">
        <v>2079</v>
      </c>
      <c r="F42" s="4" t="s">
        <v>1765</v>
      </c>
    </row>
    <row r="43" customFormat="false" ht="45.75" hidden="false" customHeight="true" outlineLevel="0" collapsed="false">
      <c r="A43" s="3" t="s">
        <v>11</v>
      </c>
      <c r="B43" s="3" t="s">
        <v>59</v>
      </c>
      <c r="C43" s="5" t="n">
        <f aca="false">SUMIFS('Raw Atomic Data (Pro)'!$H$2:$H$978,'Raw Atomic Data (Pro)'!$D$2:$D$978,A43,'Raw Atomic Data (Pro)'!$E$2:$E$978,B43)</f>
        <v>1</v>
      </c>
      <c r="D43" s="4" t="s">
        <v>54</v>
      </c>
      <c r="E43" s="4" t="s">
        <v>2080</v>
      </c>
      <c r="F43" s="4" t="s">
        <v>61</v>
      </c>
    </row>
    <row r="44" customFormat="false" ht="79.5" hidden="false" customHeight="true" outlineLevel="0" collapsed="false">
      <c r="A44" s="3" t="s">
        <v>19</v>
      </c>
      <c r="B44" s="3" t="s">
        <v>222</v>
      </c>
      <c r="C44" s="5" t="n">
        <f aca="false">SUMIFS('Raw Atomic Data (Pro)'!$H$2:$H$978,'Raw Atomic Data (Pro)'!$D$2:$D$978,A44,'Raw Atomic Data (Pro)'!$E$2:$E$978,B44)</f>
        <v>1</v>
      </c>
      <c r="D44" s="4" t="s">
        <v>207</v>
      </c>
      <c r="E44" s="4" t="s">
        <v>2081</v>
      </c>
      <c r="F44" s="4" t="s">
        <v>224</v>
      </c>
    </row>
    <row r="45" customFormat="false" ht="79.5" hidden="false" customHeight="true" outlineLevel="0" collapsed="false">
      <c r="A45" s="3" t="s">
        <v>87</v>
      </c>
      <c r="B45" s="3" t="s">
        <v>59</v>
      </c>
      <c r="C45" s="5" t="n">
        <f aca="false">SUMIFS('Raw Atomic Data (Pro)'!$H$2:$H$978,'Raw Atomic Data (Pro)'!$D$2:$D$978,A45,'Raw Atomic Data (Pro)'!$E$2:$E$978,B45)</f>
        <v>1</v>
      </c>
      <c r="D45" s="4" t="s">
        <v>150</v>
      </c>
      <c r="E45" s="4" t="s">
        <v>2082</v>
      </c>
      <c r="F45" s="4" t="s">
        <v>350</v>
      </c>
    </row>
    <row r="46" customFormat="false" ht="57" hidden="false" customHeight="true" outlineLevel="0" collapsed="false">
      <c r="A46" s="3" t="s">
        <v>431</v>
      </c>
      <c r="B46" s="3" t="s">
        <v>96</v>
      </c>
      <c r="C46" s="5" t="n">
        <f aca="false">SUMIFS('Raw Atomic Data (Pro)'!$H$2:$H$978,'Raw Atomic Data (Pro)'!$D$2:$D$978,A46,'Raw Atomic Data (Pro)'!$E$2:$E$978,B46)</f>
        <v>1</v>
      </c>
      <c r="D46" s="4" t="s">
        <v>227</v>
      </c>
      <c r="E46" s="4" t="s">
        <v>2083</v>
      </c>
      <c r="F46" s="4" t="s">
        <v>536</v>
      </c>
    </row>
    <row r="47" customFormat="false" ht="57" hidden="false" customHeight="true" outlineLevel="0" collapsed="false">
      <c r="A47" s="3" t="s">
        <v>431</v>
      </c>
      <c r="B47" s="3" t="s">
        <v>59</v>
      </c>
      <c r="C47" s="5" t="n">
        <f aca="false">SUMIFS('Raw Atomic Data (Pro)'!$H$2:$H$978,'Raw Atomic Data (Pro)'!$D$2:$D$978,A47,'Raw Atomic Data (Pro)'!$E$2:$E$978,B47)</f>
        <v>1</v>
      </c>
      <c r="D47" s="4" t="s">
        <v>227</v>
      </c>
      <c r="E47" s="4" t="s">
        <v>2084</v>
      </c>
      <c r="F47" s="4" t="s">
        <v>538</v>
      </c>
    </row>
    <row r="48" customFormat="false" ht="68.25" hidden="false" customHeight="true" outlineLevel="0" collapsed="false">
      <c r="A48" s="3" t="s">
        <v>431</v>
      </c>
      <c r="B48" s="3" t="s">
        <v>222</v>
      </c>
      <c r="C48" s="5" t="n">
        <f aca="false">SUMIFS('Raw Atomic Data (Pro)'!$H$2:$H$978,'Raw Atomic Data (Pro)'!$D$2:$D$978,A48,'Raw Atomic Data (Pro)'!$E$2:$E$978,B48)</f>
        <v>1</v>
      </c>
      <c r="D48" s="4" t="s">
        <v>227</v>
      </c>
      <c r="E48" s="4" t="s">
        <v>2085</v>
      </c>
      <c r="F48" s="4" t="s">
        <v>544</v>
      </c>
    </row>
    <row r="49" customFormat="false" ht="45.75" hidden="false" customHeight="true" outlineLevel="0" collapsed="false">
      <c r="A49" s="3" t="s">
        <v>134</v>
      </c>
      <c r="B49" s="3" t="s">
        <v>96</v>
      </c>
      <c r="C49" s="5" t="n">
        <f aca="false">SUMIFS('Raw Atomic Data (Pro)'!$H$2:$H$978,'Raw Atomic Data (Pro)'!$D$2:$D$978,A49,'Raw Atomic Data (Pro)'!$E$2:$E$978,B49)</f>
        <v>1</v>
      </c>
      <c r="D49" s="4" t="s">
        <v>171</v>
      </c>
      <c r="E49" s="4" t="s">
        <v>2086</v>
      </c>
      <c r="F49" s="4" t="s">
        <v>677</v>
      </c>
    </row>
    <row r="50" customFormat="false" ht="34.5" hidden="false" customHeight="true" outlineLevel="0" collapsed="false">
      <c r="A50" s="3" t="s">
        <v>134</v>
      </c>
      <c r="B50" s="3" t="s">
        <v>59</v>
      </c>
      <c r="C50" s="5" t="n">
        <f aca="false">SUMIFS('Raw Atomic Data (Pro)'!$H$2:$H$978,'Raw Atomic Data (Pro)'!$D$2:$D$978,A50,'Raw Atomic Data (Pro)'!$E$2:$E$978,B50)</f>
        <v>1</v>
      </c>
      <c r="D50" s="4" t="s">
        <v>171</v>
      </c>
      <c r="E50" s="4" t="s">
        <v>2087</v>
      </c>
      <c r="F50" s="4" t="s">
        <v>679</v>
      </c>
    </row>
    <row r="51" customFormat="false" ht="45.75" hidden="false" customHeight="true" outlineLevel="0" collapsed="false">
      <c r="A51" s="3" t="s">
        <v>556</v>
      </c>
      <c r="B51" s="3" t="s">
        <v>222</v>
      </c>
      <c r="C51" s="5" t="n">
        <f aca="false">SUMIFS('Raw Atomic Data (Pro)'!$H$2:$H$978,'Raw Atomic Data (Pro)'!$D$2:$D$978,A51,'Raw Atomic Data (Pro)'!$E$2:$E$978,B51)</f>
        <v>1</v>
      </c>
      <c r="D51" s="4" t="s">
        <v>251</v>
      </c>
      <c r="E51" s="4" t="s">
        <v>2088</v>
      </c>
      <c r="F51" s="4" t="s">
        <v>749</v>
      </c>
    </row>
    <row r="52" customFormat="false" ht="45.75" hidden="false" customHeight="true" outlineLevel="0" collapsed="false">
      <c r="A52" s="3" t="s">
        <v>486</v>
      </c>
      <c r="B52" s="3" t="s">
        <v>59</v>
      </c>
      <c r="C52" s="5" t="n">
        <f aca="false">SUMIFS('Raw Atomic Data (Pro)'!$H$2:$H$978,'Raw Atomic Data (Pro)'!$D$2:$D$978,A52,'Raw Atomic Data (Pro)'!$E$2:$E$978,B52)</f>
        <v>1</v>
      </c>
      <c r="D52" s="4" t="s">
        <v>32</v>
      </c>
      <c r="E52" s="4" t="s">
        <v>2089</v>
      </c>
      <c r="F52" s="4" t="s">
        <v>769</v>
      </c>
    </row>
    <row r="53" customFormat="false" ht="90.75" hidden="false" customHeight="true" outlineLevel="0" collapsed="false">
      <c r="A53" s="3" t="s">
        <v>87</v>
      </c>
      <c r="B53" s="3" t="s">
        <v>96</v>
      </c>
      <c r="C53" s="5" t="n">
        <f aca="false">SUMIFS('Raw Atomic Data (Pro)'!$H$2:$H$978,'Raw Atomic Data (Pro)'!$D$2:$D$978,A53,'Raw Atomic Data (Pro)'!$E$2:$E$978,B53)</f>
        <v>1</v>
      </c>
      <c r="D53" s="4" t="s">
        <v>8</v>
      </c>
      <c r="E53" s="4" t="s">
        <v>2090</v>
      </c>
      <c r="F53" s="4" t="s">
        <v>1011</v>
      </c>
    </row>
    <row r="54" customFormat="false" ht="79.5" hidden="false" customHeight="true" outlineLevel="0" collapsed="false">
      <c r="A54" s="3" t="s">
        <v>1003</v>
      </c>
      <c r="B54" s="3" t="s">
        <v>222</v>
      </c>
      <c r="C54" s="5" t="n">
        <f aca="false">SUMIFS('Raw Atomic Data (Pro)'!$H$2:$H$978,'Raw Atomic Data (Pro)'!$D$2:$D$978,A54,'Raw Atomic Data (Pro)'!$E$2:$E$978,B54)</f>
        <v>1</v>
      </c>
      <c r="D54" s="4" t="s">
        <v>72</v>
      </c>
      <c r="E54" s="4" t="s">
        <v>2091</v>
      </c>
      <c r="F54" s="4" t="s">
        <v>1051</v>
      </c>
    </row>
    <row r="55" customFormat="false" ht="68.25" hidden="false" customHeight="true" outlineLevel="0" collapsed="false">
      <c r="A55" s="3" t="s">
        <v>69</v>
      </c>
      <c r="B55" s="3" t="s">
        <v>96</v>
      </c>
      <c r="C55" s="5" t="n">
        <f aca="false">SUMIFS('Raw Atomic Data (Pro)'!$H$2:$H$978,'Raw Atomic Data (Pro)'!$D$2:$D$978,A55,'Raw Atomic Data (Pro)'!$E$2:$E$978,B55)</f>
        <v>1</v>
      </c>
      <c r="D55" s="4" t="s">
        <v>207</v>
      </c>
      <c r="E55" s="4" t="s">
        <v>2092</v>
      </c>
      <c r="F55" s="4" t="s">
        <v>1118</v>
      </c>
    </row>
    <row r="56" customFormat="false" ht="57" hidden="false" customHeight="true" outlineLevel="0" collapsed="false">
      <c r="A56" s="3" t="s">
        <v>1271</v>
      </c>
      <c r="B56" s="3" t="s">
        <v>222</v>
      </c>
      <c r="C56" s="5" t="n">
        <f aca="false">SUMIFS('Raw Atomic Data (Pro)'!$H$2:$H$978,'Raw Atomic Data (Pro)'!$D$2:$D$978,A56,'Raw Atomic Data (Pro)'!$E$2:$E$978,B56)</f>
        <v>1</v>
      </c>
      <c r="D56" s="4" t="s">
        <v>251</v>
      </c>
      <c r="E56" s="4" t="s">
        <v>2093</v>
      </c>
      <c r="F56" s="4" t="s">
        <v>1395</v>
      </c>
    </row>
    <row r="57" customFormat="false" ht="34.5" hidden="false" customHeight="true" outlineLevel="0" collapsed="false">
      <c r="A57" s="3" t="s">
        <v>1416</v>
      </c>
      <c r="B57" s="3" t="s">
        <v>59</v>
      </c>
      <c r="C57" s="5" t="n">
        <f aca="false">SUMIFS('Raw Atomic Data (Pro)'!$H$2:$H$978,'Raw Atomic Data (Pro)'!$D$2:$D$978,A57,'Raw Atomic Data (Pro)'!$E$2:$E$978,B57)</f>
        <v>1</v>
      </c>
      <c r="D57" s="4" t="s">
        <v>54</v>
      </c>
      <c r="E57" s="4" t="s">
        <v>2094</v>
      </c>
      <c r="F57" s="4" t="s">
        <v>1446</v>
      </c>
    </row>
    <row r="58" customFormat="false" ht="68.25" hidden="false" customHeight="true" outlineLevel="0" collapsed="false">
      <c r="A58" s="3" t="s">
        <v>117</v>
      </c>
      <c r="B58" s="3" t="s">
        <v>222</v>
      </c>
      <c r="C58" s="5" t="n">
        <f aca="false">SUMIFS('Raw Atomic Data (Pro)'!$H$2:$H$978,'Raw Atomic Data (Pro)'!$D$2:$D$978,A58,'Raw Atomic Data (Pro)'!$E$2:$E$978,B58)</f>
        <v>1</v>
      </c>
      <c r="D58" s="4" t="s">
        <v>72</v>
      </c>
      <c r="E58" s="4" t="s">
        <v>2095</v>
      </c>
      <c r="F58" s="4" t="s">
        <v>1462</v>
      </c>
    </row>
    <row r="59" customFormat="false" ht="34.5" hidden="false" customHeight="true" outlineLevel="0" collapsed="false">
      <c r="A59" s="3" t="s">
        <v>1503</v>
      </c>
      <c r="B59" s="3" t="s">
        <v>59</v>
      </c>
      <c r="C59" s="5" t="n">
        <f aca="false">SUMIFS('Raw Atomic Data (Pro)'!$H$2:$H$978,'Raw Atomic Data (Pro)'!$D$2:$D$978,A59,'Raw Atomic Data (Pro)'!$E$2:$E$978,B59)</f>
        <v>1</v>
      </c>
      <c r="D59" s="4" t="s">
        <v>150</v>
      </c>
      <c r="E59" s="4" t="s">
        <v>2096</v>
      </c>
      <c r="F59" s="4" t="s">
        <v>1509</v>
      </c>
    </row>
    <row r="60" customFormat="false" ht="79.5" hidden="false" customHeight="true" outlineLevel="0" collapsed="false">
      <c r="A60" s="3" t="s">
        <v>27</v>
      </c>
      <c r="B60" s="3" t="s">
        <v>96</v>
      </c>
      <c r="C60" s="5" t="n">
        <f aca="false">SUMIFS('Raw Atomic Data (Pro)'!$H$2:$H$978,'Raw Atomic Data (Pro)'!$D$2:$D$978,A60,'Raw Atomic Data (Pro)'!$E$2:$E$978,B60)</f>
        <v>1</v>
      </c>
      <c r="D60" s="4" t="s">
        <v>54</v>
      </c>
      <c r="E60" s="4" t="s">
        <v>2097</v>
      </c>
      <c r="F60" s="4" t="s">
        <v>1739</v>
      </c>
    </row>
    <row r="61" customFormat="false" ht="45.75" hidden="false" customHeight="true" outlineLevel="0" collapsed="false">
      <c r="A61" s="3" t="s">
        <v>112</v>
      </c>
      <c r="B61" s="3" t="s">
        <v>96</v>
      </c>
      <c r="C61" s="5" t="n">
        <f aca="false">SUMIFS('Raw Atomic Data (Pro)'!$H$2:$H$978,'Raw Atomic Data (Pro)'!$D$2:$D$978,A61,'Raw Atomic Data (Pro)'!$E$2:$E$978,B61)</f>
        <v>1</v>
      </c>
      <c r="D61" s="4" t="s">
        <v>1863</v>
      </c>
      <c r="E61" s="4" t="s">
        <v>2098</v>
      </c>
      <c r="F61" s="4" t="s">
        <v>1879</v>
      </c>
    </row>
    <row r="62" customFormat="false" ht="68.25" hidden="false" customHeight="true" outlineLevel="0" collapsed="false">
      <c r="A62" s="3" t="s">
        <v>952</v>
      </c>
      <c r="B62" s="3" t="s">
        <v>59</v>
      </c>
      <c r="C62" s="5" t="n">
        <f aca="false">SUMIFS('Raw Atomic Data (Pro)'!$H$2:$H$978,'Raw Atomic Data (Pro)'!$D$2:$D$978,A62,'Raw Atomic Data (Pro)'!$E$2:$E$978,B62)</f>
        <v>1</v>
      </c>
      <c r="D62" s="4" t="s">
        <v>1863</v>
      </c>
      <c r="E62" s="4" t="s">
        <v>2099</v>
      </c>
      <c r="F62" s="4" t="s">
        <v>1945</v>
      </c>
    </row>
    <row r="63" customFormat="false" ht="102" hidden="false" customHeight="true" outlineLevel="0" collapsed="false">
      <c r="A63" s="3" t="s">
        <v>1416</v>
      </c>
      <c r="B63" s="3" t="s">
        <v>96</v>
      </c>
      <c r="C63" s="5" t="n">
        <f aca="false">SUMIFS('Raw Atomic Data (Pro)'!$H$2:$H$978,'Raw Atomic Data (Pro)'!$D$2:$D$978,A63,'Raw Atomic Data (Pro)'!$E$2:$E$978,B63)</f>
        <v>1</v>
      </c>
      <c r="D63" s="4" t="s">
        <v>1863</v>
      </c>
      <c r="E63" s="4" t="s">
        <v>2100</v>
      </c>
      <c r="F63" s="4" t="s">
        <v>1977</v>
      </c>
    </row>
    <row r="65" customFormat="false" ht="15" hidden="false" customHeight="true" outlineLevel="0" collapsed="false">
      <c r="A65" s="6" t="s">
        <v>2101</v>
      </c>
      <c r="B65" s="6"/>
      <c r="C65" s="6"/>
      <c r="D65" s="6"/>
      <c r="E65" s="6"/>
      <c r="F65" s="6"/>
    </row>
  </sheetData>
  <mergeCells count="1">
    <mergeCell ref="A65:F6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34"/>
    <col collapsed="false" customWidth="true" hidden="false" outlineLevel="0" max="3" min="3" style="1" width="30"/>
    <col collapsed="false" customWidth="true" hidden="false" outlineLevel="0" max="4" min="4" style="1" width="34"/>
    <col collapsed="false" customWidth="true" hidden="false" outlineLevel="0" max="5" min="5" style="1" width="55"/>
  </cols>
  <sheetData>
    <row r="1" customFormat="false" ht="15" hidden="false" customHeight="true" outlineLevel="0" collapsed="false">
      <c r="A1" s="2" t="s">
        <v>0</v>
      </c>
      <c r="B1" s="2" t="s">
        <v>2102</v>
      </c>
      <c r="C1" s="2" t="s">
        <v>2103</v>
      </c>
      <c r="D1" s="2" t="s">
        <v>2104</v>
      </c>
      <c r="E1" s="2" t="s">
        <v>2105</v>
      </c>
    </row>
    <row r="2" customFormat="false" ht="23.25" hidden="false" customHeight="true" outlineLevel="0" collapsed="false">
      <c r="A2" s="7" t="s">
        <v>8</v>
      </c>
      <c r="B2" s="4" t="s">
        <v>2106</v>
      </c>
      <c r="C2" s="3" t="s">
        <v>2107</v>
      </c>
      <c r="D2" s="4" t="s">
        <v>2108</v>
      </c>
      <c r="E2" s="4" t="s">
        <v>2109</v>
      </c>
    </row>
    <row r="3" customFormat="false" ht="34.5" hidden="false" customHeight="true" outlineLevel="0" collapsed="false">
      <c r="A3" s="7" t="s">
        <v>32</v>
      </c>
      <c r="B3" s="4" t="s">
        <v>2110</v>
      </c>
      <c r="C3" s="3" t="s">
        <v>2111</v>
      </c>
      <c r="D3" s="4" t="s">
        <v>2111</v>
      </c>
      <c r="E3" s="4" t="s">
        <v>2112</v>
      </c>
    </row>
    <row r="4" customFormat="false" ht="23.25" hidden="false" customHeight="true" outlineLevel="0" collapsed="false">
      <c r="A4" s="7" t="s">
        <v>54</v>
      </c>
      <c r="B4" s="4" t="s">
        <v>2113</v>
      </c>
      <c r="C4" s="3" t="s">
        <v>2114</v>
      </c>
      <c r="D4" s="4" t="s">
        <v>2115</v>
      </c>
      <c r="E4" s="4" t="s">
        <v>2116</v>
      </c>
    </row>
    <row r="5" customFormat="false" ht="23.25" hidden="false" customHeight="true" outlineLevel="0" collapsed="false">
      <c r="A5" s="7" t="s">
        <v>1863</v>
      </c>
      <c r="B5" s="4" t="s">
        <v>2117</v>
      </c>
      <c r="C5" s="3" t="s">
        <v>2107</v>
      </c>
      <c r="D5" s="4" t="s">
        <v>2118</v>
      </c>
      <c r="E5" s="4" t="s">
        <v>2119</v>
      </c>
    </row>
    <row r="6" customFormat="false" ht="34.5" hidden="false" customHeight="true" outlineLevel="0" collapsed="false">
      <c r="A6" s="7" t="s">
        <v>72</v>
      </c>
      <c r="B6" s="4" t="s">
        <v>2120</v>
      </c>
      <c r="C6" s="3" t="s">
        <v>2121</v>
      </c>
      <c r="D6" s="4" t="s">
        <v>2122</v>
      </c>
      <c r="E6" s="4" t="s">
        <v>2123</v>
      </c>
    </row>
    <row r="7" customFormat="false" ht="23.25" hidden="false" customHeight="true" outlineLevel="0" collapsed="false">
      <c r="A7" s="7" t="s">
        <v>99</v>
      </c>
      <c r="B7" s="4" t="s">
        <v>2110</v>
      </c>
      <c r="C7" s="3" t="s">
        <v>2111</v>
      </c>
      <c r="D7" s="4" t="s">
        <v>2111</v>
      </c>
      <c r="E7" s="4" t="s">
        <v>2124</v>
      </c>
    </row>
    <row r="8" customFormat="false" ht="15" hidden="false" customHeight="true" outlineLevel="0" collapsed="false">
      <c r="A8" s="7" t="s">
        <v>120</v>
      </c>
      <c r="B8" s="4" t="s">
        <v>2110</v>
      </c>
      <c r="C8" s="3" t="s">
        <v>2111</v>
      </c>
      <c r="D8" s="4" t="s">
        <v>2111</v>
      </c>
      <c r="E8" s="4" t="s">
        <v>1333</v>
      </c>
    </row>
    <row r="9" customFormat="false" ht="23.25" hidden="false" customHeight="true" outlineLevel="0" collapsed="false">
      <c r="A9" s="7" t="s">
        <v>143</v>
      </c>
      <c r="B9" s="4" t="s">
        <v>2125</v>
      </c>
      <c r="C9" s="3" t="s">
        <v>2111</v>
      </c>
      <c r="D9" s="4" t="s">
        <v>2111</v>
      </c>
      <c r="E9" s="4" t="s">
        <v>2126</v>
      </c>
    </row>
    <row r="10" customFormat="false" ht="15" hidden="false" customHeight="true" outlineLevel="0" collapsed="false">
      <c r="A10" s="7" t="s">
        <v>150</v>
      </c>
      <c r="B10" s="4" t="s">
        <v>2127</v>
      </c>
      <c r="C10" s="3" t="s">
        <v>2111</v>
      </c>
      <c r="D10" s="4" t="s">
        <v>2111</v>
      </c>
      <c r="E10" s="4" t="s">
        <v>2128</v>
      </c>
    </row>
    <row r="11" customFormat="false" ht="45.75" hidden="false" customHeight="true" outlineLevel="0" collapsed="false">
      <c r="A11" s="7" t="s">
        <v>171</v>
      </c>
      <c r="B11" s="4" t="s">
        <v>2129</v>
      </c>
      <c r="C11" s="3" t="s">
        <v>2107</v>
      </c>
      <c r="D11" s="4" t="s">
        <v>2130</v>
      </c>
      <c r="E11" s="4" t="s">
        <v>2131</v>
      </c>
    </row>
    <row r="12" customFormat="false" ht="34.5" hidden="false" customHeight="true" outlineLevel="0" collapsed="false">
      <c r="A12" s="7" t="s">
        <v>186</v>
      </c>
      <c r="B12" s="4" t="s">
        <v>2132</v>
      </c>
      <c r="C12" s="3" t="s">
        <v>2111</v>
      </c>
      <c r="D12" s="4" t="s">
        <v>2111</v>
      </c>
      <c r="E12" s="4" t="s">
        <v>2133</v>
      </c>
    </row>
    <row r="13" customFormat="false" ht="23.25" hidden="false" customHeight="true" outlineLevel="0" collapsed="false">
      <c r="A13" s="7" t="s">
        <v>207</v>
      </c>
      <c r="B13" s="4" t="s">
        <v>2110</v>
      </c>
      <c r="C13" s="3" t="s">
        <v>2111</v>
      </c>
      <c r="D13" s="4" t="s">
        <v>2111</v>
      </c>
      <c r="E13" s="4" t="s">
        <v>2134</v>
      </c>
    </row>
    <row r="14" customFormat="false" ht="23.25" hidden="false" customHeight="true" outlineLevel="0" collapsed="false">
      <c r="A14" s="7" t="s">
        <v>227</v>
      </c>
      <c r="B14" s="4" t="s">
        <v>2135</v>
      </c>
      <c r="C14" s="3" t="s">
        <v>2107</v>
      </c>
      <c r="D14" s="4" t="s">
        <v>2136</v>
      </c>
      <c r="E14" s="4" t="s">
        <v>2137</v>
      </c>
    </row>
    <row r="15" customFormat="false" ht="23.25" hidden="false" customHeight="true" outlineLevel="0" collapsed="false">
      <c r="A15" s="7" t="s">
        <v>251</v>
      </c>
      <c r="B15" s="4" t="s">
        <v>2138</v>
      </c>
      <c r="C15" s="3" t="s">
        <v>2139</v>
      </c>
      <c r="D15" s="4" t="s">
        <v>2140</v>
      </c>
      <c r="E15" s="4" t="s">
        <v>2141</v>
      </c>
    </row>
    <row r="18" customFormat="false" ht="15" hidden="false" customHeight="true" outlineLevel="0" collapsed="false">
      <c r="A18" s="7" t="s">
        <v>2142</v>
      </c>
    </row>
    <row r="19" customFormat="false" ht="15" hidden="false" customHeight="true" outlineLevel="0" collapsed="false">
      <c r="A19" s="3" t="s">
        <v>2110</v>
      </c>
      <c r="B19" s="7" t="n">
        <f aca="false">COUNTIF($B$2:$B$15,"*No leakage*")</f>
        <v>5</v>
      </c>
    </row>
    <row r="20" customFormat="false" ht="15" hidden="false" customHeight="true" outlineLevel="0" collapsed="false">
      <c r="A20" s="3" t="s">
        <v>2143</v>
      </c>
      <c r="B20" s="7" t="n">
        <f aca="false">COUNTIF($B$2:$B$15,"*Some leakage*")</f>
        <v>3</v>
      </c>
    </row>
    <row r="21" customFormat="false" ht="15" hidden="false" customHeight="true" outlineLevel="0" collapsed="false">
      <c r="A21" s="3" t="s">
        <v>2144</v>
      </c>
      <c r="B21" s="7" t="n">
        <f aca="false">COUNTIF($B$2:$B$15,"*Partial leakage*")</f>
        <v>1</v>
      </c>
    </row>
    <row r="22" customFormat="false" ht="15" hidden="false" customHeight="true" outlineLevel="0" collapsed="false">
      <c r="A22" s="3" t="s">
        <v>2145</v>
      </c>
      <c r="B22" s="7" t="n">
        <f aca="false">COUNTIF($B$2:$B$15,"*Recurring leakage*")</f>
        <v>1</v>
      </c>
    </row>
    <row r="23" customFormat="false" ht="15" hidden="false" customHeight="true" outlineLevel="0" collapsed="false">
      <c r="A23" s="3" t="s">
        <v>2146</v>
      </c>
      <c r="B23" s="7" t="n">
        <f aca="false">COUNTIF($B$2:$B$15,"*Declined*")</f>
        <v>2</v>
      </c>
    </row>
    <row r="24" customFormat="false" ht="15" hidden="false" customHeight="true" outlineLevel="0" collapsed="false">
      <c r="A24" s="3" t="s">
        <v>2147</v>
      </c>
      <c r="B24" s="7" t="n">
        <f aca="false">COUNTIF($B$2:$B$15,"*Unclear*")</f>
        <v>1</v>
      </c>
    </row>
    <row r="25" customFormat="false" ht="15" hidden="false" customHeight="true" outlineLevel="0" collapsed="false">
      <c r="A25" s="3" t="s">
        <v>2148</v>
      </c>
      <c r="B25" s="7" t="n">
        <f aca="false">COUNTIF($B$2:$B$15,"*No stated instance*")</f>
        <v>1</v>
      </c>
    </row>
    <row r="26" customFormat="false" ht="15" hidden="false" customHeight="true" outlineLevel="0" collapsed="false">
      <c r="A26" s="7" t="s">
        <v>2149</v>
      </c>
      <c r="B26" s="7" t="n">
        <f aca="false">SUM(B19:B25)</f>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12"/>
    <col collapsed="false" customWidth="true" hidden="false" outlineLevel="0" max="3" min="3" style="1" width="24"/>
    <col collapsed="false" customWidth="true" hidden="false" outlineLevel="0" max="4" min="4" style="1" width="65"/>
    <col collapsed="false" customWidth="true" hidden="false" outlineLevel="0" max="5" min="5" style="1" width="55"/>
  </cols>
  <sheetData>
    <row r="1" customFormat="false" ht="15" hidden="false" customHeight="true" outlineLevel="0" collapsed="false">
      <c r="A1" s="2" t="s">
        <v>0</v>
      </c>
      <c r="B1" s="2" t="s">
        <v>4</v>
      </c>
      <c r="C1" s="2" t="s">
        <v>2</v>
      </c>
      <c r="D1" s="2" t="s">
        <v>5</v>
      </c>
      <c r="E1" s="2" t="s">
        <v>6</v>
      </c>
    </row>
    <row r="2" customFormat="false" ht="23.25" hidden="false" customHeight="true" outlineLevel="0" collapsed="false">
      <c r="A2" s="3" t="s">
        <v>227</v>
      </c>
      <c r="B2" s="3" t="s">
        <v>12</v>
      </c>
      <c r="C2" s="3" t="s">
        <v>10</v>
      </c>
      <c r="D2" s="4" t="s">
        <v>235</v>
      </c>
      <c r="E2" s="4" t="s">
        <v>236</v>
      </c>
    </row>
    <row r="3" customFormat="false" ht="34.5" hidden="false" customHeight="true" outlineLevel="0" collapsed="false">
      <c r="A3" s="3" t="s">
        <v>171</v>
      </c>
      <c r="B3" s="3" t="s">
        <v>12</v>
      </c>
      <c r="C3" s="3" t="s">
        <v>410</v>
      </c>
      <c r="D3" s="4" t="s">
        <v>509</v>
      </c>
      <c r="E3" s="4" t="s">
        <v>510</v>
      </c>
    </row>
    <row r="4" customFormat="false" ht="68.25" hidden="false" customHeight="true" outlineLevel="0" collapsed="false">
      <c r="A4" s="3" t="s">
        <v>72</v>
      </c>
      <c r="B4" s="3" t="s">
        <v>12</v>
      </c>
      <c r="C4" s="3" t="s">
        <v>1402</v>
      </c>
      <c r="D4" s="4" t="s">
        <v>1455</v>
      </c>
      <c r="E4" s="4" t="s">
        <v>1456</v>
      </c>
    </row>
    <row r="5" customFormat="false" ht="45.75" hidden="false" customHeight="true" outlineLevel="0" collapsed="false">
      <c r="A5" s="3" t="s">
        <v>8</v>
      </c>
      <c r="B5" s="3" t="s">
        <v>12</v>
      </c>
      <c r="C5" s="3" t="s">
        <v>1591</v>
      </c>
      <c r="D5" s="4" t="s">
        <v>1592</v>
      </c>
      <c r="E5" s="4" t="s">
        <v>1593</v>
      </c>
    </row>
    <row r="6" customFormat="false" ht="45.75" hidden="false" customHeight="true" outlineLevel="0" collapsed="false">
      <c r="A6" s="3" t="s">
        <v>8</v>
      </c>
      <c r="B6" s="3" t="s">
        <v>12</v>
      </c>
      <c r="C6" s="3" t="s">
        <v>1591</v>
      </c>
      <c r="D6" s="4" t="s">
        <v>1596</v>
      </c>
      <c r="E6" s="4" t="s">
        <v>1597</v>
      </c>
    </row>
    <row r="7" customFormat="false" ht="23.25" hidden="false" customHeight="true" outlineLevel="0" collapsed="false">
      <c r="A7" s="3" t="s">
        <v>32</v>
      </c>
      <c r="B7" s="3" t="s">
        <v>12</v>
      </c>
      <c r="C7" s="3" t="s">
        <v>1591</v>
      </c>
      <c r="D7" s="4" t="s">
        <v>1602</v>
      </c>
      <c r="E7" s="4" t="s">
        <v>1603</v>
      </c>
    </row>
    <row r="8" customFormat="false" ht="68.25" hidden="false" customHeight="true" outlineLevel="0" collapsed="false">
      <c r="A8" s="3" t="s">
        <v>32</v>
      </c>
      <c r="B8" s="3" t="s">
        <v>24</v>
      </c>
      <c r="C8" s="3" t="s">
        <v>1591</v>
      </c>
      <c r="D8" s="4" t="s">
        <v>1604</v>
      </c>
      <c r="E8" s="4" t="s">
        <v>1605</v>
      </c>
    </row>
    <row r="9" customFormat="false" ht="45.75" hidden="false" customHeight="true" outlineLevel="0" collapsed="false">
      <c r="A9" s="3" t="s">
        <v>32</v>
      </c>
      <c r="B9" s="3" t="s">
        <v>24</v>
      </c>
      <c r="C9" s="3" t="s">
        <v>1591</v>
      </c>
      <c r="D9" s="4" t="s">
        <v>1606</v>
      </c>
      <c r="E9" s="4" t="s">
        <v>1607</v>
      </c>
    </row>
    <row r="10" customFormat="false" ht="45.75" hidden="false" customHeight="true" outlineLevel="0" collapsed="false">
      <c r="A10" s="3" t="s">
        <v>32</v>
      </c>
      <c r="B10" s="3" t="s">
        <v>24</v>
      </c>
      <c r="C10" s="3" t="s">
        <v>1591</v>
      </c>
      <c r="D10" s="4" t="s">
        <v>1608</v>
      </c>
      <c r="E10" s="4" t="s">
        <v>1609</v>
      </c>
    </row>
    <row r="11" customFormat="false" ht="57" hidden="false" customHeight="true" outlineLevel="0" collapsed="false">
      <c r="A11" s="3" t="s">
        <v>54</v>
      </c>
      <c r="B11" s="3" t="s">
        <v>12</v>
      </c>
      <c r="C11" s="3" t="s">
        <v>1591</v>
      </c>
      <c r="D11" s="4" t="s">
        <v>1610</v>
      </c>
      <c r="E11" s="4" t="s">
        <v>1611</v>
      </c>
    </row>
    <row r="12" customFormat="false" ht="34.5" hidden="false" customHeight="true" outlineLevel="0" collapsed="false">
      <c r="A12" s="3" t="s">
        <v>72</v>
      </c>
      <c r="B12" s="3" t="s">
        <v>12</v>
      </c>
      <c r="C12" s="3" t="s">
        <v>1591</v>
      </c>
      <c r="D12" s="4" t="s">
        <v>1616</v>
      </c>
      <c r="E12" s="4" t="s">
        <v>1617</v>
      </c>
    </row>
    <row r="13" customFormat="false" ht="23.25" hidden="false" customHeight="true" outlineLevel="0" collapsed="false">
      <c r="A13" s="3" t="s">
        <v>72</v>
      </c>
      <c r="B13" s="3" t="s">
        <v>12</v>
      </c>
      <c r="C13" s="3" t="s">
        <v>1591</v>
      </c>
      <c r="D13" s="4" t="s">
        <v>1618</v>
      </c>
      <c r="E13" s="4" t="s">
        <v>1619</v>
      </c>
    </row>
    <row r="14" customFormat="false" ht="45.75" hidden="false" customHeight="true" outlineLevel="0" collapsed="false">
      <c r="A14" s="3" t="s">
        <v>72</v>
      </c>
      <c r="B14" s="3" t="s">
        <v>12</v>
      </c>
      <c r="C14" s="3" t="s">
        <v>1591</v>
      </c>
      <c r="D14" s="4" t="s">
        <v>1620</v>
      </c>
      <c r="E14" s="4" t="s">
        <v>1621</v>
      </c>
    </row>
    <row r="15" customFormat="false" ht="68.25" hidden="false" customHeight="true" outlineLevel="0" collapsed="false">
      <c r="A15" s="3" t="s">
        <v>72</v>
      </c>
      <c r="B15" s="3" t="s">
        <v>12</v>
      </c>
      <c r="C15" s="3" t="s">
        <v>1591</v>
      </c>
      <c r="D15" s="4" t="s">
        <v>1622</v>
      </c>
      <c r="E15" s="4" t="s">
        <v>1623</v>
      </c>
    </row>
    <row r="16" customFormat="false" ht="34.5" hidden="false" customHeight="true" outlineLevel="0" collapsed="false">
      <c r="A16" s="3" t="s">
        <v>72</v>
      </c>
      <c r="B16" s="3" t="s">
        <v>12</v>
      </c>
      <c r="C16" s="3" t="s">
        <v>1591</v>
      </c>
      <c r="D16" s="4" t="s">
        <v>1624</v>
      </c>
      <c r="E16" s="4" t="s">
        <v>1625</v>
      </c>
    </row>
    <row r="17" customFormat="false" ht="45.75" hidden="false" customHeight="true" outlineLevel="0" collapsed="false">
      <c r="A17" s="3" t="s">
        <v>99</v>
      </c>
      <c r="B17" s="3" t="s">
        <v>12</v>
      </c>
      <c r="C17" s="3" t="s">
        <v>1591</v>
      </c>
      <c r="D17" s="4" t="s">
        <v>1626</v>
      </c>
      <c r="E17" s="4" t="s">
        <v>1627</v>
      </c>
    </row>
    <row r="18" customFormat="false" ht="34.5" hidden="false" customHeight="true" outlineLevel="0" collapsed="false">
      <c r="A18" s="3" t="s">
        <v>120</v>
      </c>
      <c r="B18" s="3" t="s">
        <v>12</v>
      </c>
      <c r="C18" s="3" t="s">
        <v>1591</v>
      </c>
      <c r="D18" s="4" t="s">
        <v>1634</v>
      </c>
      <c r="E18" s="4" t="s">
        <v>1333</v>
      </c>
    </row>
    <row r="19" customFormat="false" ht="68.25" hidden="false" customHeight="true" outlineLevel="0" collapsed="false">
      <c r="A19" s="3" t="s">
        <v>143</v>
      </c>
      <c r="B19" s="3" t="s">
        <v>12</v>
      </c>
      <c r="C19" s="3" t="s">
        <v>1591</v>
      </c>
      <c r="D19" s="4" t="s">
        <v>1643</v>
      </c>
      <c r="E19" s="4" t="s">
        <v>1644</v>
      </c>
    </row>
    <row r="20" customFormat="false" ht="23.25" hidden="false" customHeight="true" outlineLevel="0" collapsed="false">
      <c r="A20" s="3" t="s">
        <v>150</v>
      </c>
      <c r="B20" s="3" t="s">
        <v>12</v>
      </c>
      <c r="C20" s="3" t="s">
        <v>1591</v>
      </c>
      <c r="D20" s="4" t="s">
        <v>1645</v>
      </c>
      <c r="E20" s="4" t="s">
        <v>1646</v>
      </c>
    </row>
    <row r="21" customFormat="false" ht="45.75" hidden="false" customHeight="true" outlineLevel="0" collapsed="false">
      <c r="A21" s="3" t="s">
        <v>171</v>
      </c>
      <c r="B21" s="3" t="s">
        <v>12</v>
      </c>
      <c r="C21" s="3" t="s">
        <v>1591</v>
      </c>
      <c r="D21" s="4" t="s">
        <v>1657</v>
      </c>
      <c r="E21" s="4" t="s">
        <v>1658</v>
      </c>
    </row>
    <row r="22" customFormat="false" ht="34.5" hidden="false" customHeight="true" outlineLevel="0" collapsed="false">
      <c r="A22" s="3" t="s">
        <v>207</v>
      </c>
      <c r="B22" s="3" t="s">
        <v>12</v>
      </c>
      <c r="C22" s="3" t="s">
        <v>1591</v>
      </c>
      <c r="D22" s="4" t="s">
        <v>1672</v>
      </c>
      <c r="E22" s="4" t="s">
        <v>1673</v>
      </c>
    </row>
    <row r="23" customFormat="false" ht="23.25" hidden="false" customHeight="true" outlineLevel="0" collapsed="false">
      <c r="A23" s="3" t="s">
        <v>207</v>
      </c>
      <c r="B23" s="3" t="s">
        <v>12</v>
      </c>
      <c r="C23" s="3" t="s">
        <v>1591</v>
      </c>
      <c r="D23" s="4" t="s">
        <v>1676</v>
      </c>
      <c r="E23" s="4" t="s">
        <v>1677</v>
      </c>
    </row>
    <row r="24" customFormat="false" ht="68.25" hidden="false" customHeight="true" outlineLevel="0" collapsed="false">
      <c r="A24" s="3" t="s">
        <v>227</v>
      </c>
      <c r="B24" s="3" t="s">
        <v>12</v>
      </c>
      <c r="C24" s="3" t="s">
        <v>1591</v>
      </c>
      <c r="D24" s="4" t="s">
        <v>1682</v>
      </c>
      <c r="E24" s="4" t="s">
        <v>1683</v>
      </c>
    </row>
    <row r="25" customFormat="false" ht="57" hidden="false" customHeight="true" outlineLevel="0" collapsed="false">
      <c r="A25" s="3" t="s">
        <v>251</v>
      </c>
      <c r="B25" s="3" t="s">
        <v>12</v>
      </c>
      <c r="C25" s="3" t="s">
        <v>1591</v>
      </c>
      <c r="D25" s="4" t="s">
        <v>1695</v>
      </c>
      <c r="E25" s="4" t="s">
        <v>1696</v>
      </c>
    </row>
    <row r="26" customFormat="false" ht="34.5" hidden="false" customHeight="true" outlineLevel="0" collapsed="false">
      <c r="A26" s="3" t="s">
        <v>54</v>
      </c>
      <c r="B26" s="3" t="s">
        <v>24</v>
      </c>
      <c r="C26" s="3" t="s">
        <v>1699</v>
      </c>
      <c r="D26" s="4" t="s">
        <v>1732</v>
      </c>
      <c r="E26" s="4" t="s">
        <v>1733</v>
      </c>
    </row>
    <row r="27" customFormat="false" ht="34.5" hidden="false" customHeight="true" outlineLevel="0" collapsed="false">
      <c r="A27" s="3" t="s">
        <v>54</v>
      </c>
      <c r="B27" s="3" t="s">
        <v>24</v>
      </c>
      <c r="C27" s="3" t="s">
        <v>1699</v>
      </c>
      <c r="D27" s="4" t="s">
        <v>1736</v>
      </c>
      <c r="E27" s="4" t="s">
        <v>1737</v>
      </c>
    </row>
    <row r="28" customFormat="false" ht="34.5" hidden="false" customHeight="true" outlineLevel="0" collapsed="false">
      <c r="A28" s="3" t="s">
        <v>171</v>
      </c>
      <c r="B28" s="3" t="s">
        <v>24</v>
      </c>
      <c r="C28" s="3" t="s">
        <v>1699</v>
      </c>
      <c r="D28" s="4" t="s">
        <v>1810</v>
      </c>
      <c r="E28" s="4" t="s">
        <v>1811</v>
      </c>
    </row>
    <row r="29" customFormat="false" ht="90.75" hidden="false" customHeight="true" outlineLevel="0" collapsed="false">
      <c r="A29" s="3" t="s">
        <v>1863</v>
      </c>
      <c r="B29" s="3" t="s">
        <v>12</v>
      </c>
      <c r="C29" s="3" t="s">
        <v>1591</v>
      </c>
      <c r="D29" s="4" t="s">
        <v>1980</v>
      </c>
      <c r="E29" s="4" t="s">
        <v>1981</v>
      </c>
    </row>
    <row r="30" customFormat="false" ht="57" hidden="false" customHeight="true" outlineLevel="0" collapsed="false">
      <c r="A30" s="3" t="s">
        <v>1863</v>
      </c>
      <c r="B30" s="3" t="s">
        <v>12</v>
      </c>
      <c r="C30" s="3" t="s">
        <v>1591</v>
      </c>
      <c r="D30" s="4" t="s">
        <v>1982</v>
      </c>
      <c r="E30" s="4" t="s">
        <v>1983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80"/>
  </cols>
  <sheetData>
    <row r="1" customFormat="false" ht="15" hidden="false" customHeight="true" outlineLevel="0" collapsed="false">
      <c r="A1" s="2" t="s">
        <v>3</v>
      </c>
      <c r="B1" s="2" t="s">
        <v>2150</v>
      </c>
    </row>
    <row r="2" customFormat="false" ht="23.25" hidden="false" customHeight="true" outlineLevel="0" collapsed="false">
      <c r="A2" s="7" t="s">
        <v>11</v>
      </c>
      <c r="B2" s="4" t="s">
        <v>2151</v>
      </c>
    </row>
    <row r="3" customFormat="false" ht="23.25" hidden="false" customHeight="true" outlineLevel="0" collapsed="false">
      <c r="A3" s="7" t="s">
        <v>87</v>
      </c>
      <c r="B3" s="4" t="s">
        <v>2152</v>
      </c>
    </row>
    <row r="4" customFormat="false" ht="23.25" hidden="false" customHeight="true" outlineLevel="0" collapsed="false">
      <c r="A4" s="7" t="s">
        <v>19</v>
      </c>
      <c r="B4" s="4" t="s">
        <v>2153</v>
      </c>
    </row>
    <row r="5" customFormat="false" ht="23.25" hidden="false" customHeight="true" outlineLevel="0" collapsed="false">
      <c r="A5" s="7" t="s">
        <v>27</v>
      </c>
      <c r="B5" s="4" t="s">
        <v>2154</v>
      </c>
    </row>
    <row r="6" customFormat="false" ht="15" hidden="false" customHeight="true" outlineLevel="0" collapsed="false">
      <c r="A6" s="7" t="s">
        <v>168</v>
      </c>
      <c r="B6" s="4" t="s">
        <v>2155</v>
      </c>
    </row>
    <row r="7" customFormat="false" ht="23.25" hidden="false" customHeight="true" outlineLevel="0" collapsed="false">
      <c r="A7" s="7" t="s">
        <v>431</v>
      </c>
      <c r="B7" s="4" t="s">
        <v>2156</v>
      </c>
    </row>
    <row r="8" customFormat="false" ht="15" hidden="false" customHeight="true" outlineLevel="0" collapsed="false">
      <c r="A8" s="7" t="s">
        <v>556</v>
      </c>
      <c r="B8" s="4" t="s">
        <v>2157</v>
      </c>
    </row>
    <row r="9" customFormat="false" ht="23.25" hidden="false" customHeight="true" outlineLevel="0" collapsed="false">
      <c r="A9" s="7" t="s">
        <v>134</v>
      </c>
      <c r="B9" s="4" t="s">
        <v>2158</v>
      </c>
    </row>
    <row r="10" customFormat="false" ht="23.25" hidden="false" customHeight="true" outlineLevel="0" collapsed="false">
      <c r="A10" s="7" t="s">
        <v>473</v>
      </c>
      <c r="B10" s="4" t="s">
        <v>2159</v>
      </c>
    </row>
    <row r="11" customFormat="false" ht="23.25" hidden="false" customHeight="true" outlineLevel="0" collapsed="false">
      <c r="A11" s="7" t="s">
        <v>757</v>
      </c>
      <c r="B11" s="4" t="s">
        <v>2160</v>
      </c>
    </row>
    <row r="12" customFormat="false" ht="23.25" hidden="false" customHeight="true" outlineLevel="0" collapsed="false">
      <c r="A12" s="7" t="s">
        <v>486</v>
      </c>
      <c r="B12" s="4" t="s">
        <v>2161</v>
      </c>
    </row>
    <row r="13" customFormat="false" ht="15" hidden="false" customHeight="true" outlineLevel="0" collapsed="false">
      <c r="A13" s="7" t="s">
        <v>444</v>
      </c>
      <c r="B13" s="4" t="s">
        <v>2162</v>
      </c>
    </row>
    <row r="14" customFormat="false" ht="23.25" hidden="false" customHeight="true" outlineLevel="0" collapsed="false">
      <c r="A14" s="7" t="s">
        <v>619</v>
      </c>
      <c r="B14" s="4" t="s">
        <v>2163</v>
      </c>
    </row>
    <row r="15" customFormat="false" ht="23.25" hidden="false" customHeight="true" outlineLevel="0" collapsed="false">
      <c r="A15" s="7" t="s">
        <v>1003</v>
      </c>
      <c r="B15" s="4" t="s">
        <v>2164</v>
      </c>
    </row>
    <row r="16" customFormat="false" ht="23.25" hidden="false" customHeight="true" outlineLevel="0" collapsed="false">
      <c r="A16" s="7" t="s">
        <v>413</v>
      </c>
      <c r="B16" s="4" t="s">
        <v>2165</v>
      </c>
    </row>
    <row r="17" customFormat="false" ht="23.25" hidden="false" customHeight="true" outlineLevel="0" collapsed="false">
      <c r="A17" s="7" t="s">
        <v>416</v>
      </c>
      <c r="B17" s="4" t="s">
        <v>2166</v>
      </c>
    </row>
    <row r="18" customFormat="false" ht="15" hidden="false" customHeight="true" outlineLevel="0" collapsed="false">
      <c r="A18" s="7" t="s">
        <v>1271</v>
      </c>
      <c r="B18" s="4" t="s">
        <v>2167</v>
      </c>
    </row>
    <row r="19" customFormat="false" ht="15" hidden="false" customHeight="true" outlineLevel="0" collapsed="false">
      <c r="A19" s="7" t="s">
        <v>1411</v>
      </c>
      <c r="B19" s="4" t="s">
        <v>2168</v>
      </c>
    </row>
    <row r="20" customFormat="false" ht="15" hidden="false" customHeight="true" outlineLevel="0" collapsed="false">
      <c r="A20" s="7" t="s">
        <v>470</v>
      </c>
      <c r="B20" s="4" t="s">
        <v>2169</v>
      </c>
    </row>
    <row r="21" customFormat="false" ht="15" hidden="false" customHeight="true" outlineLevel="0" collapsed="false">
      <c r="A21" s="7" t="s">
        <v>117</v>
      </c>
      <c r="B21" s="4" t="s">
        <v>2170</v>
      </c>
    </row>
    <row r="22" customFormat="false" ht="15" hidden="false" customHeight="true" outlineLevel="0" collapsed="false">
      <c r="A22" s="7" t="s">
        <v>1416</v>
      </c>
      <c r="B22" s="4" t="s">
        <v>2171</v>
      </c>
    </row>
    <row r="23" customFormat="false" ht="23.25" hidden="false" customHeight="true" outlineLevel="0" collapsed="false">
      <c r="A23" s="7" t="s">
        <v>234</v>
      </c>
      <c r="B23" s="4" t="s">
        <v>2172</v>
      </c>
    </row>
    <row r="24" customFormat="false" ht="23.25" hidden="false" customHeight="true" outlineLevel="0" collapsed="false">
      <c r="A24" s="7" t="s">
        <v>112</v>
      </c>
      <c r="B24" s="4" t="s">
        <v>2173</v>
      </c>
    </row>
    <row r="25" customFormat="false" ht="15" hidden="false" customHeight="true" outlineLevel="0" collapsed="false">
      <c r="A25" s="7" t="s">
        <v>1503</v>
      </c>
      <c r="B25" s="4" t="s">
        <v>2174</v>
      </c>
    </row>
    <row r="26" customFormat="false" ht="15" hidden="false" customHeight="true" outlineLevel="0" collapsed="false">
      <c r="A26" s="7" t="s">
        <v>37</v>
      </c>
      <c r="B26" s="4" t="s">
        <v>2175</v>
      </c>
    </row>
    <row r="27" customFormat="false" ht="15" hidden="false" customHeight="true" outlineLevel="0" collapsed="false">
      <c r="A27" s="7" t="s">
        <v>69</v>
      </c>
      <c r="B27" s="4" t="s">
        <v>2176</v>
      </c>
    </row>
    <row r="28" customFormat="false" ht="15" hidden="false" customHeight="true" outlineLevel="0" collapsed="false">
      <c r="A28" s="7" t="s">
        <v>129</v>
      </c>
      <c r="B28" s="4" t="s">
        <v>2177</v>
      </c>
    </row>
    <row r="29" customFormat="false" ht="23.25" hidden="false" customHeight="true" outlineLevel="0" collapsed="false">
      <c r="A29" s="7" t="s">
        <v>816</v>
      </c>
      <c r="B29" s="4" t="s">
        <v>2178</v>
      </c>
    </row>
    <row r="30" customFormat="false" ht="15" hidden="false" customHeight="true" outlineLevel="0" collapsed="false">
      <c r="A30" s="7" t="s">
        <v>457</v>
      </c>
      <c r="B30" s="4" t="s">
        <v>2179</v>
      </c>
    </row>
    <row r="31" customFormat="false" ht="23.25" hidden="false" customHeight="true" outlineLevel="0" collapsed="false">
      <c r="A31" s="7" t="s">
        <v>952</v>
      </c>
      <c r="B31" s="4" t="s">
        <v>2180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42"/>
    <col collapsed="false" customWidth="true" hidden="false" outlineLevel="0" max="3" min="3" style="1" width="12"/>
    <col collapsed="false" customWidth="true" hidden="false" outlineLevel="0" max="4" min="4" style="1" width="16"/>
    <col collapsed="false" customWidth="true" hidden="false" outlineLevel="0" max="5" min="5" style="1" width="34"/>
    <col collapsed="false" customWidth="true" hidden="false" outlineLevel="0" max="6" min="6" style="1" width="26"/>
    <col collapsed="false" customWidth="true" hidden="false" outlineLevel="0" max="7" min="7" style="1" width="55"/>
    <col collapsed="false" customWidth="true" hidden="false" outlineLevel="0" max="8" min="8" style="1" width="45"/>
    <col collapsed="false" customWidth="true" hidden="true" outlineLevel="0" max="19" min="10" style="1" width="13"/>
  </cols>
  <sheetData>
    <row r="1" customFormat="false" ht="64.5" hidden="false" customHeight="true" outlineLevel="0" collapsed="false">
      <c r="A1" s="8" t="s">
        <v>2181</v>
      </c>
      <c r="B1" s="8" t="s">
        <v>2182</v>
      </c>
      <c r="C1" s="8" t="s">
        <v>2183</v>
      </c>
      <c r="J1" s="9" t="s">
        <v>2184</v>
      </c>
      <c r="K1" s="9" t="s">
        <v>2185</v>
      </c>
      <c r="L1" s="9" t="s">
        <v>2186</v>
      </c>
      <c r="M1" s="9" t="s">
        <v>2187</v>
      </c>
      <c r="N1" s="9" t="s">
        <v>2188</v>
      </c>
      <c r="O1" s="9" t="s">
        <v>2189</v>
      </c>
      <c r="P1" s="9" t="s">
        <v>2190</v>
      </c>
      <c r="Q1" s="9" t="s">
        <v>2191</v>
      </c>
      <c r="R1" s="9" t="s">
        <v>2192</v>
      </c>
      <c r="S1" s="9" t="s">
        <v>2193</v>
      </c>
    </row>
    <row r="2" customFormat="false" ht="370.5" hidden="false" customHeight="true" outlineLevel="0" collapsed="false">
      <c r="A2" s="10" t="s">
        <v>410</v>
      </c>
      <c r="B2" s="4" t="s">
        <v>2194</v>
      </c>
      <c r="C2" s="4" t="s">
        <v>2195</v>
      </c>
      <c r="J2" s="1" t="str">
        <f aca="false">'Raw Atomic Data (Pro)'!A2</f>
        <v>Ami</v>
      </c>
      <c r="K2" s="1" t="str">
        <f aca="false">'Raw Atomic Data (Pro)'!C2</f>
        <v>Context and provider model</v>
      </c>
      <c r="L2" s="1" t="str">
        <f aca="false">'Raw Atomic Data (Pro)'!D2</f>
        <v>provider-background</v>
      </c>
      <c r="M2" s="1" t="str">
        <f aca="false">'Raw Atomic Data (Pro)'!E2</f>
        <v>fact</v>
      </c>
      <c r="N2" s="1" t="n">
        <f aca="false">IF(OR(M2="friction",M2="need",M2="workaround"),1,0)</f>
        <v>0</v>
      </c>
      <c r="O2" s="1" t="n">
        <f aca="false">IF(COUNTIFS($K$2:K2,K2,$L$2:L2,L2,$M$2:M2,M2,$J$2:J2,J2)=1,1,0)</f>
        <v>1</v>
      </c>
      <c r="P2" s="1" t="n">
        <f aca="false">IF(AND(N2=1,S2=1,COUNTIFS($L$2:L2,L2,$J$2:J2,J2,$N$2:N2,1,$S$2:S2,1)=1),1,0)</f>
        <v>0</v>
      </c>
      <c r="Q2" s="1" t="n">
        <f aca="false">IF(AND(N2=1,S2=1,COUNTIFS($L$2:L2,L2,$K$2:K2,K2,$N$2:N2,1,$S$2:S2,1)=1),1,0)</f>
        <v>0</v>
      </c>
      <c r="R2" s="1" t="n">
        <f aca="false">IF(AND(N2=1,COUNTIFS($K$2:K2,K2,$L$2:L2,L2,$J$2:J2,J2,$N$2:N2,1)=1),1,0)</f>
        <v>0</v>
      </c>
      <c r="S2" s="1" t="n">
        <f aca="false">IF(AND(K2&lt;&gt;"Context and provider model",K2&lt;&gt;"Motivation"),1,0)</f>
        <v>0</v>
      </c>
    </row>
    <row r="3" customFormat="false" ht="68.25" hidden="false" customHeight="true" outlineLevel="0" collapsed="false">
      <c r="A3" s="10" t="s">
        <v>555</v>
      </c>
      <c r="B3" s="4" t="s">
        <v>2196</v>
      </c>
      <c r="C3" s="4" t="s">
        <v>2197</v>
      </c>
      <c r="J3" s="1" t="str">
        <f aca="false">'Raw Atomic Data (Pro)'!A3</f>
        <v>Ami</v>
      </c>
      <c r="K3" s="1" t="str">
        <f aca="false">'Raw Atomic Data (Pro)'!C3</f>
        <v>Context and provider model</v>
      </c>
      <c r="L3" s="1" t="str">
        <f aca="false">'Raw Atomic Data (Pro)'!D3</f>
        <v>provider-background</v>
      </c>
      <c r="M3" s="1" t="str">
        <f aca="false">'Raw Atomic Data (Pro)'!E3</f>
        <v>fact</v>
      </c>
      <c r="N3" s="1" t="n">
        <f aca="false">IF(OR(M3="friction",M3="need",M3="workaround"),1,0)</f>
        <v>0</v>
      </c>
      <c r="O3" s="1" t="n">
        <f aca="false">IF(COUNTIFS($K$2:K3,K3,$L$2:L3,L3,$M$2:M3,M3,$J$2:J3,J3)=1,1,0)</f>
        <v>0</v>
      </c>
      <c r="P3" s="1" t="n">
        <f aca="false">IF(AND(N3=1,S3=1,COUNTIFS($L$2:L3,L3,$J$2:J3,J3,$N$2:N3,1,$S$2:S3,1)=1),1,0)</f>
        <v>0</v>
      </c>
      <c r="Q3" s="1" t="n">
        <f aca="false">IF(AND(N3=1,S3=1,COUNTIFS($L$2:L3,L3,$K$2:K3,K3,$N$2:N3,1,$S$2:S3,1)=1),1,0)</f>
        <v>0</v>
      </c>
      <c r="R3" s="1" t="n">
        <f aca="false">IF(AND(N3=1,COUNTIFS($K$2:K3,K3,$L$2:L3,L3,$J$2:J3,J3,$N$2:N3,1)=1),1,0)</f>
        <v>0</v>
      </c>
      <c r="S3" s="1" t="n">
        <f aca="false">IF(AND(K3&lt;&gt;"Context and provider model",K3&lt;&gt;"Motivation"),1,0)</f>
        <v>0</v>
      </c>
    </row>
    <row r="4" customFormat="false" ht="68.25" hidden="false" customHeight="true" outlineLevel="0" collapsed="false">
      <c r="A4" s="10" t="s">
        <v>756</v>
      </c>
      <c r="B4" s="4" t="s">
        <v>2198</v>
      </c>
      <c r="C4" s="4" t="s">
        <v>2197</v>
      </c>
      <c r="J4" s="1" t="str">
        <f aca="false">'Raw Atomic Data (Pro)'!A4</f>
        <v>Ami</v>
      </c>
      <c r="K4" s="1" t="str">
        <f aca="false">'Raw Atomic Data (Pro)'!C4</f>
        <v>Context and provider model</v>
      </c>
      <c r="L4" s="1" t="str">
        <f aca="false">'Raw Atomic Data (Pro)'!D4</f>
        <v>provider-background</v>
      </c>
      <c r="M4" s="1" t="str">
        <f aca="false">'Raw Atomic Data (Pro)'!E4</f>
        <v>fact</v>
      </c>
      <c r="N4" s="1" t="n">
        <f aca="false">IF(OR(M4="friction",M4="need",M4="workaround"),1,0)</f>
        <v>0</v>
      </c>
      <c r="O4" s="1" t="n">
        <f aca="false">IF(COUNTIFS($K$2:K4,K4,$L$2:L4,L4,$M$2:M4,M4,$J$2:J4,J4)=1,1,0)</f>
        <v>0</v>
      </c>
      <c r="P4" s="1" t="n">
        <f aca="false">IF(AND(N4=1,S4=1,COUNTIFS($L$2:L4,L4,$J$2:J4,J4,$N$2:N4,1,$S$2:S4,1)=1),1,0)</f>
        <v>0</v>
      </c>
      <c r="Q4" s="1" t="n">
        <f aca="false">IF(AND(N4=1,S4=1,COUNTIFS($L$2:L4,L4,$K$2:K4,K4,$N$2:N4,1,$S$2:S4,1)=1),1,0)</f>
        <v>0</v>
      </c>
      <c r="R4" s="1" t="n">
        <f aca="false">IF(AND(N4=1,COUNTIFS($K$2:K4,K4,$L$2:L4,L4,$J$2:J4,J4,$N$2:N4,1)=1),1,0)</f>
        <v>0</v>
      </c>
      <c r="S4" s="1" t="n">
        <f aca="false">IF(AND(K4&lt;&gt;"Context and provider model",K4&lt;&gt;"Motivation"),1,0)</f>
        <v>0</v>
      </c>
    </row>
    <row r="5" customFormat="false" ht="68.25" hidden="false" customHeight="true" outlineLevel="0" collapsed="false">
      <c r="A5" s="10" t="s">
        <v>911</v>
      </c>
      <c r="B5" s="4" t="s">
        <v>2199</v>
      </c>
      <c r="C5" s="4" t="s">
        <v>2197</v>
      </c>
      <c r="J5" s="1" t="str">
        <f aca="false">'Raw Atomic Data (Pro)'!A5</f>
        <v>Ami</v>
      </c>
      <c r="K5" s="1" t="str">
        <f aca="false">'Raw Atomic Data (Pro)'!C5</f>
        <v>Context and provider model</v>
      </c>
      <c r="L5" s="1" t="str">
        <f aca="false">'Raw Atomic Data (Pro)'!D5</f>
        <v>business-model-fit</v>
      </c>
      <c r="M5" s="1" t="str">
        <f aca="false">'Raw Atomic Data (Pro)'!E5</f>
        <v>fact</v>
      </c>
      <c r="N5" s="1" t="n">
        <f aca="false">IF(OR(M5="friction",M5="need",M5="workaround"),1,0)</f>
        <v>0</v>
      </c>
      <c r="O5" s="1" t="n">
        <f aca="false">IF(COUNTIFS($K$2:K5,K5,$L$2:L5,L5,$M$2:M5,M5,$J$2:J5,J5)=1,1,0)</f>
        <v>1</v>
      </c>
      <c r="P5" s="1" t="n">
        <f aca="false">IF(AND(N5=1,S5=1,COUNTIFS($L$2:L5,L5,$J$2:J5,J5,$N$2:N5,1,$S$2:S5,1)=1),1,0)</f>
        <v>0</v>
      </c>
      <c r="Q5" s="1" t="n">
        <f aca="false">IF(AND(N5=1,S5=1,COUNTIFS($L$2:L5,L5,$K$2:K5,K5,$N$2:N5,1,$S$2:S5,1)=1),1,0)</f>
        <v>0</v>
      </c>
      <c r="R5" s="1" t="n">
        <f aca="false">IF(AND(N5=1,COUNTIFS($K$2:K5,K5,$L$2:L5,L5,$J$2:J5,J5,$N$2:N5,1)=1),1,0)</f>
        <v>0</v>
      </c>
      <c r="S5" s="1" t="n">
        <f aca="false">IF(AND(K5&lt;&gt;"Context and provider model",K5&lt;&gt;"Motivation"),1,0)</f>
        <v>0</v>
      </c>
    </row>
    <row r="6" customFormat="false" ht="68.25" hidden="false" customHeight="true" outlineLevel="0" collapsed="false">
      <c r="A6" s="10" t="s">
        <v>1000</v>
      </c>
      <c r="B6" s="4" t="s">
        <v>2200</v>
      </c>
      <c r="C6" s="4" t="s">
        <v>2197</v>
      </c>
      <c r="J6" s="1" t="str">
        <f aca="false">'Raw Atomic Data (Pro)'!A6</f>
        <v>Ami</v>
      </c>
      <c r="K6" s="1" t="str">
        <f aca="false">'Raw Atomic Data (Pro)'!C6</f>
        <v>Context and provider model</v>
      </c>
      <c r="L6" s="1" t="str">
        <f aca="false">'Raw Atomic Data (Pro)'!D6</f>
        <v>provider-background</v>
      </c>
      <c r="M6" s="1" t="str">
        <f aca="false">'Raw Atomic Data (Pro)'!E6</f>
        <v>fact</v>
      </c>
      <c r="N6" s="1" t="n">
        <f aca="false">IF(OR(M6="friction",M6="need",M6="workaround"),1,0)</f>
        <v>0</v>
      </c>
      <c r="O6" s="1" t="n">
        <f aca="false">IF(COUNTIFS($K$2:K6,K6,$L$2:L6,L6,$M$2:M6,M6,$J$2:J6,J6)=1,1,0)</f>
        <v>0</v>
      </c>
      <c r="P6" s="1" t="n">
        <f aca="false">IF(AND(N6=1,S6=1,COUNTIFS($L$2:L6,L6,$J$2:J6,J6,$N$2:N6,1,$S$2:S6,1)=1),1,0)</f>
        <v>0</v>
      </c>
      <c r="Q6" s="1" t="n">
        <f aca="false">IF(AND(N6=1,S6=1,COUNTIFS($L$2:L6,L6,$K$2:K6,K6,$N$2:N6,1,$S$2:S6,1)=1),1,0)</f>
        <v>0</v>
      </c>
      <c r="R6" s="1" t="n">
        <f aca="false">IF(AND(N6=1,COUNTIFS($K$2:K6,K6,$L$2:L6,L6,$J$2:J6,J6,$N$2:N6,1)=1),1,0)</f>
        <v>0</v>
      </c>
      <c r="S6" s="1" t="n">
        <f aca="false">IF(AND(K6&lt;&gt;"Context and provider model",K6&lt;&gt;"Motivation"),1,0)</f>
        <v>0</v>
      </c>
    </row>
    <row r="7" customFormat="false" ht="404.25" hidden="false" customHeight="true" outlineLevel="0" collapsed="false">
      <c r="A7" s="10" t="s">
        <v>1140</v>
      </c>
      <c r="B7" s="4" t="s">
        <v>2201</v>
      </c>
      <c r="C7" s="4" t="s">
        <v>2202</v>
      </c>
      <c r="J7" s="1" t="str">
        <f aca="false">'Raw Atomic Data (Pro)'!A7</f>
        <v>Ami</v>
      </c>
      <c r="K7" s="1" t="str">
        <f aca="false">'Raw Atomic Data (Pro)'!C7</f>
        <v>Context and provider model</v>
      </c>
      <c r="L7" s="1" t="str">
        <f aca="false">'Raw Atomic Data (Pro)'!D7</f>
        <v>business-model-fit</v>
      </c>
      <c r="M7" s="1" t="str">
        <f aca="false">'Raw Atomic Data (Pro)'!E7</f>
        <v>value-statement</v>
      </c>
      <c r="N7" s="1" t="n">
        <f aca="false">IF(OR(M7="friction",M7="need",M7="workaround"),1,0)</f>
        <v>0</v>
      </c>
      <c r="O7" s="1" t="n">
        <f aca="false">IF(COUNTIFS($K$2:K7,K7,$L$2:L7,L7,$M$2:M7,M7,$J$2:J7,J7)=1,1,0)</f>
        <v>1</v>
      </c>
      <c r="P7" s="1" t="n">
        <f aca="false">IF(AND(N7=1,S7=1,COUNTIFS($L$2:L7,L7,$J$2:J7,J7,$N$2:N7,1,$S$2:S7,1)=1),1,0)</f>
        <v>0</v>
      </c>
      <c r="Q7" s="1" t="n">
        <f aca="false">IF(AND(N7=1,S7=1,COUNTIFS($L$2:L7,L7,$K$2:K7,K7,$N$2:N7,1,$S$2:S7,1)=1),1,0)</f>
        <v>0</v>
      </c>
      <c r="R7" s="1" t="n">
        <f aca="false">IF(AND(N7=1,COUNTIFS($K$2:K7,K7,$L$2:L7,L7,$J$2:J7,J7,$N$2:N7,1)=1),1,0)</f>
        <v>0</v>
      </c>
      <c r="S7" s="1" t="n">
        <f aca="false">IF(AND(K7&lt;&gt;"Context and provider model",K7&lt;&gt;"Motivation"),1,0)</f>
        <v>0</v>
      </c>
    </row>
    <row r="8" customFormat="false" ht="68.25" hidden="false" customHeight="true" outlineLevel="0" collapsed="false">
      <c r="A8" s="10" t="s">
        <v>1268</v>
      </c>
      <c r="B8" s="4" t="s">
        <v>2203</v>
      </c>
      <c r="C8" s="4" t="s">
        <v>2197</v>
      </c>
      <c r="J8" s="1" t="str">
        <f aca="false">'Raw Atomic Data (Pro)'!A8</f>
        <v>Ami</v>
      </c>
      <c r="K8" s="1" t="str">
        <f aca="false">'Raw Atomic Data (Pro)'!C8</f>
        <v>Context and provider model</v>
      </c>
      <c r="L8" s="1" t="str">
        <f aca="false">'Raw Atomic Data (Pro)'!D8</f>
        <v>onboarding-signup-process</v>
      </c>
      <c r="M8" s="1" t="str">
        <f aca="false">'Raw Atomic Data (Pro)'!E8</f>
        <v>value-statement</v>
      </c>
      <c r="N8" s="1" t="n">
        <f aca="false">IF(OR(M8="friction",M8="need",M8="workaround"),1,0)</f>
        <v>0</v>
      </c>
      <c r="O8" s="1" t="n">
        <f aca="false">IF(COUNTIFS($K$2:K8,K8,$L$2:L8,L8,$M$2:M8,M8,$J$2:J8,J8)=1,1,0)</f>
        <v>1</v>
      </c>
      <c r="P8" s="1" t="n">
        <f aca="false">IF(AND(N8=1,S8=1,COUNTIFS($L$2:L8,L8,$J$2:J8,J8,$N$2:N8,1,$S$2:S8,1)=1),1,0)</f>
        <v>0</v>
      </c>
      <c r="Q8" s="1" t="n">
        <f aca="false">IF(AND(N8=1,S8=1,COUNTIFS($L$2:L8,L8,$K$2:K8,K8,$N$2:N8,1,$S$2:S8,1)=1),1,0)</f>
        <v>0</v>
      </c>
      <c r="R8" s="1" t="n">
        <f aca="false">IF(AND(N8=1,COUNTIFS($K$2:K8,K8,$L$2:L8,L8,$J$2:J8,J8,$N$2:N8,1)=1),1,0)</f>
        <v>0</v>
      </c>
      <c r="S8" s="1" t="n">
        <f aca="false">IF(AND(K8&lt;&gt;"Context and provider model",K8&lt;&gt;"Motivation"),1,0)</f>
        <v>0</v>
      </c>
    </row>
    <row r="9" customFormat="false" ht="471" hidden="false" customHeight="true" outlineLevel="0" collapsed="false">
      <c r="A9" s="10" t="s">
        <v>1402</v>
      </c>
      <c r="B9" s="4" t="s">
        <v>2204</v>
      </c>
      <c r="C9" s="4" t="s">
        <v>2205</v>
      </c>
      <c r="J9" s="1" t="str">
        <f aca="false">'Raw Atomic Data (Pro)'!A9</f>
        <v>Ami</v>
      </c>
      <c r="K9" s="1" t="str">
        <f aca="false">'Raw Atomic Data (Pro)'!C9</f>
        <v>Context and provider model</v>
      </c>
      <c r="L9" s="1" t="str">
        <f aca="false">'Raw Atomic Data (Pro)'!D9</f>
        <v>onboarding-signup-process</v>
      </c>
      <c r="M9" s="1" t="str">
        <f aca="false">'Raw Atomic Data (Pro)'!E9</f>
        <v>value-statement</v>
      </c>
      <c r="N9" s="1" t="n">
        <f aca="false">IF(OR(M9="friction",M9="need",M9="workaround"),1,0)</f>
        <v>0</v>
      </c>
      <c r="O9" s="1" t="n">
        <f aca="false">IF(COUNTIFS($K$2:K9,K9,$L$2:L9,L9,$M$2:M9,M9,$J$2:J9,J9)=1,1,0)</f>
        <v>0</v>
      </c>
      <c r="P9" s="1" t="n">
        <f aca="false">IF(AND(N9=1,S9=1,COUNTIFS($L$2:L9,L9,$J$2:J9,J9,$N$2:N9,1,$S$2:S9,1)=1),1,0)</f>
        <v>0</v>
      </c>
      <c r="Q9" s="1" t="n">
        <f aca="false">IF(AND(N9=1,S9=1,COUNTIFS($L$2:L9,L9,$K$2:K9,K9,$N$2:N9,1,$S$2:S9,1)=1),1,0)</f>
        <v>0</v>
      </c>
      <c r="R9" s="1" t="n">
        <f aca="false">IF(AND(N9=1,COUNTIFS($K$2:K9,K9,$L$2:L9,L9,$J$2:J9,J9,$N$2:N9,1)=1),1,0)</f>
        <v>0</v>
      </c>
      <c r="S9" s="1" t="n">
        <f aca="false">IF(AND(K9&lt;&gt;"Context and provider model",K9&lt;&gt;"Motivation"),1,0)</f>
        <v>0</v>
      </c>
    </row>
    <row r="10" customFormat="false" ht="729" hidden="false" customHeight="true" outlineLevel="0" collapsed="false">
      <c r="A10" s="10" t="s">
        <v>1591</v>
      </c>
      <c r="B10" s="4" t="s">
        <v>2206</v>
      </c>
      <c r="C10" s="4" t="str">
        <f aca="false">"This is where the off-platform-clients-leakage theme is most concentrated (23 of 29 tagged rows) and where per-participant leakage status is summarized. Across the 14 Pro providers: "&amp;'Leakage - By Participant'!B19&amp;" report no leakage, "&amp;'Leakage - By Participant'!B20&amp;" some leakage, "&amp;'Leakage - By Participant'!B21&amp;" partial leakage (~10% of clients, one participant), "&amp;'Leakage - By Participant'!B22&amp;" recurring leakage, "&amp;'Leakage - By Participant'!B23&amp;" explicitly declined a client request to move off-platform, "&amp;'Leakage - By Participant'!B24&amp;" unclear/unconfirmed (garbled transcript), and "&amp;'Leakage - By Participant'!B25&amp;" no stated instance. Full detail: 'Leakage - By Participant' sheet. IMPORTANT: leakage is a cross-cutting condition of the client relationship, not a single-stage event -- the same theme is also tagged in Client acquisition, Payments and earnings, and Growth and future plans (see those stages' notes in this column)."</f>
        <v>This is where the off-platform-clients-leakage theme is most concentrated (23 of 29 tagged rows) and where per-participant leakage status is summarized. Across the 14 Pro providers: 5 report no leakage, 3 some leakage, 1 partial leakage (~10% of clients, one participant), 1 recurring leakage, 2 explicitly declined a client request to move off-platform, 1 unclear/unconfirmed (garbled transcript), and 1 no stated instance. Full detail: 'Leakage - By Participant' sheet. IMPORTANT: leakage is a cross-cutting condition of the client relationship, not a single-stage event -- the same theme is also tagged in Client acquisition, Payments and earnings, and Growth and future plans (see those stages' notes in this column).</v>
      </c>
      <c r="J10" s="1" t="str">
        <f aca="false">'Raw Atomic Data (Pro)'!A10</f>
        <v>Andrew</v>
      </c>
      <c r="K10" s="1" t="str">
        <f aca="false">'Raw Atomic Data (Pro)'!C10</f>
        <v>Context and provider model</v>
      </c>
      <c r="L10" s="1" t="str">
        <f aca="false">'Raw Atomic Data (Pro)'!D10</f>
        <v>business-model-fit</v>
      </c>
      <c r="M10" s="1" t="str">
        <f aca="false">'Raw Atomic Data (Pro)'!E10</f>
        <v>fact</v>
      </c>
      <c r="N10" s="1" t="n">
        <f aca="false">IF(OR(M10="friction",M10="need",M10="workaround"),1,0)</f>
        <v>0</v>
      </c>
      <c r="O10" s="1" t="n">
        <f aca="false">IF(COUNTIFS($K$2:K10,K10,$L$2:L10,L10,$M$2:M10,M10,$J$2:J10,J10)=1,1,0)</f>
        <v>1</v>
      </c>
      <c r="P10" s="1" t="n">
        <f aca="false">IF(AND(N10=1,S10=1,COUNTIFS($L$2:L10,L10,$J$2:J10,J10,$N$2:N10,1,$S$2:S10,1)=1),1,0)</f>
        <v>0</v>
      </c>
      <c r="Q10" s="1" t="n">
        <f aca="false">IF(AND(N10=1,S10=1,COUNTIFS($L$2:L10,L10,$K$2:K10,K10,$N$2:N10,1,$S$2:S10,1)=1),1,0)</f>
        <v>0</v>
      </c>
      <c r="R10" s="1" t="n">
        <f aca="false">IF(AND(N10=1,COUNTIFS($K$2:K10,K10,$L$2:L10,L10,$J$2:J10,J10,$N$2:N10,1)=1),1,0)</f>
        <v>0</v>
      </c>
      <c r="S10" s="1" t="n">
        <f aca="false">IF(AND(K10&lt;&gt;"Context and provider model",K10&lt;&gt;"Motivation"),1,0)</f>
        <v>0</v>
      </c>
    </row>
    <row r="11" customFormat="false" ht="504.75" hidden="false" customHeight="true" outlineLevel="0" collapsed="false">
      <c r="A11" s="10" t="s">
        <v>1699</v>
      </c>
      <c r="B11" s="4" t="s">
        <v>2207</v>
      </c>
      <c r="C11" s="4" t="s">
        <v>2208</v>
      </c>
      <c r="J11" s="1" t="str">
        <f aca="false">'Raw Atomic Data (Pro)'!A11</f>
        <v>Andrew</v>
      </c>
      <c r="K11" s="1" t="str">
        <f aca="false">'Raw Atomic Data (Pro)'!C11</f>
        <v>Context and provider model</v>
      </c>
      <c r="L11" s="1" t="str">
        <f aca="false">'Raw Atomic Data (Pro)'!D11</f>
        <v>provider-background</v>
      </c>
      <c r="M11" s="1" t="str">
        <f aca="false">'Raw Atomic Data (Pro)'!E11</f>
        <v>fact</v>
      </c>
      <c r="N11" s="1" t="n">
        <f aca="false">IF(OR(M11="friction",M11="need",M11="workaround"),1,0)</f>
        <v>0</v>
      </c>
      <c r="O11" s="1" t="n">
        <f aca="false">IF(COUNTIFS($K$2:K11,K11,$L$2:L11,L11,$M$2:M11,M11,$J$2:J11,J11)=1,1,0)</f>
        <v>1</v>
      </c>
      <c r="P11" s="1" t="n">
        <f aca="false">IF(AND(N11=1,S11=1,COUNTIFS($L$2:L11,L11,$J$2:J11,J11,$N$2:N11,1,$S$2:S11,1)=1),1,0)</f>
        <v>0</v>
      </c>
      <c r="Q11" s="1" t="n">
        <f aca="false">IF(AND(N11=1,S11=1,COUNTIFS($L$2:L11,L11,$K$2:K11,K11,$N$2:N11,1,$S$2:S11,1)=1),1,0)</f>
        <v>0</v>
      </c>
      <c r="R11" s="1" t="n">
        <f aca="false">IF(AND(N11=1,COUNTIFS($K$2:K11,K11,$L$2:L11,L11,$J$2:J11,J11,$N$2:N11,1)=1),1,0)</f>
        <v>0</v>
      </c>
      <c r="S11" s="1" t="n">
        <f aca="false">IF(AND(K11&lt;&gt;"Context and provider model",K11&lt;&gt;"Motivation"),1,0)</f>
        <v>0</v>
      </c>
    </row>
    <row r="12" customFormat="false" ht="15" hidden="false" customHeight="true" outlineLevel="0" collapsed="false">
      <c r="J12" s="1" t="str">
        <f aca="false">'Raw Atomic Data (Pro)'!A12</f>
        <v>Andrew</v>
      </c>
      <c r="K12" s="1" t="str">
        <f aca="false">'Raw Atomic Data (Pro)'!C12</f>
        <v>Context and provider model</v>
      </c>
      <c r="L12" s="1" t="str">
        <f aca="false">'Raw Atomic Data (Pro)'!D12</f>
        <v>capacity-multi-pet-management</v>
      </c>
      <c r="M12" s="1" t="str">
        <f aca="false">'Raw Atomic Data (Pro)'!E12</f>
        <v>fact</v>
      </c>
      <c r="N12" s="1" t="n">
        <f aca="false">IF(OR(M12="friction",M12="need",M12="workaround"),1,0)</f>
        <v>0</v>
      </c>
      <c r="O12" s="1" t="n">
        <f aca="false">IF(COUNTIFS($K$2:K12,K12,$L$2:L12,L12,$M$2:M12,M12,$J$2:J12,J12)=1,1,0)</f>
        <v>1</v>
      </c>
      <c r="P12" s="1" t="n">
        <f aca="false">IF(AND(N12=1,S12=1,COUNTIFS($L$2:L12,L12,$J$2:J12,J12,$N$2:N12,1,$S$2:S12,1)=1),1,0)</f>
        <v>0</v>
      </c>
      <c r="Q12" s="1" t="n">
        <f aca="false">IF(AND(N12=1,S12=1,COUNTIFS($L$2:L12,L12,$K$2:K12,K12,$N$2:N12,1,$S$2:S12,1)=1),1,0)</f>
        <v>0</v>
      </c>
      <c r="R12" s="1" t="n">
        <f aca="false">IF(AND(N12=1,COUNTIFS($K$2:K12,K12,$L$2:L12,L12,$J$2:J12,J12,$N$2:N12,1)=1),1,0)</f>
        <v>0</v>
      </c>
      <c r="S12" s="1" t="n">
        <f aca="false">IF(AND(K12&lt;&gt;"Context and provider model",K12&lt;&gt;"Motivation"),1,0)</f>
        <v>0</v>
      </c>
    </row>
    <row r="13" customFormat="false" ht="60" hidden="false" customHeight="true" outlineLevel="0" collapsed="false">
      <c r="A13" s="6" t="s">
        <v>2209</v>
      </c>
      <c r="B13" s="6"/>
      <c r="C13" s="6"/>
      <c r="J13" s="1" t="str">
        <f aca="false">'Raw Atomic Data (Pro)'!A13</f>
        <v>Andrew</v>
      </c>
      <c r="K13" s="1" t="str">
        <f aca="false">'Raw Atomic Data (Pro)'!C13</f>
        <v>Context and provider model</v>
      </c>
      <c r="L13" s="1" t="str">
        <f aca="false">'Raw Atomic Data (Pro)'!D13</f>
        <v>provider-background</v>
      </c>
      <c r="M13" s="1" t="str">
        <f aca="false">'Raw Atomic Data (Pro)'!E13</f>
        <v>fact</v>
      </c>
      <c r="N13" s="1" t="n">
        <f aca="false">IF(OR(M13="friction",M13="need",M13="workaround"),1,0)</f>
        <v>0</v>
      </c>
      <c r="O13" s="1" t="n">
        <f aca="false">IF(COUNTIFS($K$2:K13,K13,$L$2:L13,L13,$M$2:M13,M13,$J$2:J13,J13)=1,1,0)</f>
        <v>0</v>
      </c>
      <c r="P13" s="1" t="n">
        <f aca="false">IF(AND(N13=1,S13=1,COUNTIFS($L$2:L13,L13,$J$2:J13,J13,$N$2:N13,1,$S$2:S13,1)=1),1,0)</f>
        <v>0</v>
      </c>
      <c r="Q13" s="1" t="n">
        <f aca="false">IF(AND(N13=1,S13=1,COUNTIFS($L$2:L13,L13,$K$2:K13,K13,$N$2:N13,1,$S$2:S13,1)=1),1,0)</f>
        <v>0</v>
      </c>
      <c r="R13" s="1" t="n">
        <f aca="false">IF(AND(N13=1,COUNTIFS($K$2:K13,K13,$L$2:L13,L13,$J$2:J13,J13,$N$2:N13,1)=1),1,0)</f>
        <v>0</v>
      </c>
      <c r="S13" s="1" t="n">
        <f aca="false">IF(AND(K13&lt;&gt;"Context and provider model",K13&lt;&gt;"Motivation"),1,0)</f>
        <v>0</v>
      </c>
    </row>
    <row r="14" customFormat="false" ht="15" hidden="false" customHeight="true" outlineLevel="0" collapsed="false">
      <c r="J14" s="1" t="str">
        <f aca="false">'Raw Atomic Data (Pro)'!A14</f>
        <v>Andrew</v>
      </c>
      <c r="K14" s="1" t="str">
        <f aca="false">'Raw Atomic Data (Pro)'!C14</f>
        <v>Context and provider model</v>
      </c>
      <c r="L14" s="1" t="str">
        <f aca="false">'Raw Atomic Data (Pro)'!D14</f>
        <v>business-model-fit</v>
      </c>
      <c r="M14" s="1" t="str">
        <f aca="false">'Raw Atomic Data (Pro)'!E14</f>
        <v>fact</v>
      </c>
      <c r="N14" s="1" t="n">
        <f aca="false">IF(OR(M14="friction",M14="need",M14="workaround"),1,0)</f>
        <v>0</v>
      </c>
      <c r="O14" s="1" t="n">
        <f aca="false">IF(COUNTIFS($K$2:K14,K14,$L$2:L14,L14,$M$2:M14,M14,$J$2:J14,J14)=1,1,0)</f>
        <v>0</v>
      </c>
      <c r="P14" s="1" t="n">
        <f aca="false">IF(AND(N14=1,S14=1,COUNTIFS($L$2:L14,L14,$J$2:J14,J14,$N$2:N14,1,$S$2:S14,1)=1),1,0)</f>
        <v>0</v>
      </c>
      <c r="Q14" s="1" t="n">
        <f aca="false">IF(AND(N14=1,S14=1,COUNTIFS($L$2:L14,L14,$K$2:K14,K14,$N$2:N14,1,$S$2:S14,1)=1),1,0)</f>
        <v>0</v>
      </c>
      <c r="R14" s="1" t="n">
        <f aca="false">IF(AND(N14=1,COUNTIFS($K$2:K14,K14,$L$2:L14,L14,$J$2:J14,J14,$N$2:N14,1)=1),1,0)</f>
        <v>0</v>
      </c>
      <c r="S14" s="1" t="n">
        <f aca="false">IF(AND(K14&lt;&gt;"Context and provider model",K14&lt;&gt;"Motivation"),1,0)</f>
        <v>0</v>
      </c>
    </row>
    <row r="15" customFormat="false" ht="15" hidden="false" customHeight="true" outlineLevel="0" collapsed="false">
      <c r="A15" s="11" t="s">
        <v>2210</v>
      </c>
      <c r="B15" s="11"/>
      <c r="C15" s="11"/>
      <c r="D15" s="11"/>
      <c r="E15" s="11"/>
      <c r="F15" s="11"/>
      <c r="G15" s="11"/>
      <c r="H15" s="11"/>
      <c r="J15" s="1" t="str">
        <f aca="false">'Raw Atomic Data (Pro)'!A15</f>
        <v>Andrew</v>
      </c>
      <c r="K15" s="1" t="str">
        <f aca="false">'Raw Atomic Data (Pro)'!C15</f>
        <v>Context and provider model</v>
      </c>
      <c r="L15" s="1" t="str">
        <f aca="false">'Raw Atomic Data (Pro)'!D15</f>
        <v>provider-background</v>
      </c>
      <c r="M15" s="1" t="str">
        <f aca="false">'Raw Atomic Data (Pro)'!E15</f>
        <v>fact</v>
      </c>
      <c r="N15" s="1" t="n">
        <f aca="false">IF(OR(M15="friction",M15="need",M15="workaround"),1,0)</f>
        <v>0</v>
      </c>
      <c r="O15" s="1" t="n">
        <f aca="false">IF(COUNTIFS($K$2:K15,K15,$L$2:L15,L15,$M$2:M15,M15,$J$2:J15,J15)=1,1,0)</f>
        <v>0</v>
      </c>
      <c r="P15" s="1" t="n">
        <f aca="false">IF(AND(N15=1,S15=1,COUNTIFS($L$2:L15,L15,$J$2:J15,J15,$N$2:N15,1,$S$2:S15,1)=1),1,0)</f>
        <v>0</v>
      </c>
      <c r="Q15" s="1" t="n">
        <f aca="false">IF(AND(N15=1,S15=1,COUNTIFS($L$2:L15,L15,$K$2:K15,K15,$N$2:N15,1,$S$2:S15,1)=1),1,0)</f>
        <v>0</v>
      </c>
      <c r="R15" s="1" t="n">
        <f aca="false">IF(AND(N15=1,COUNTIFS($K$2:K15,K15,$L$2:L15,L15,$J$2:J15,J15,$N$2:N15,1)=1),1,0)</f>
        <v>0</v>
      </c>
      <c r="S15" s="1" t="n">
        <f aca="false">IF(AND(K15&lt;&gt;"Context and provider model",K15&lt;&gt;"Motivation"),1,0)</f>
        <v>0</v>
      </c>
    </row>
    <row r="16" customFormat="false" ht="39" hidden="false" customHeight="true" outlineLevel="0" collapsed="false">
      <c r="A16" s="8" t="s">
        <v>2181</v>
      </c>
      <c r="B16" s="8" t="s">
        <v>3</v>
      </c>
      <c r="C16" s="8" t="s">
        <v>4</v>
      </c>
      <c r="D16" s="8" t="s">
        <v>1998</v>
      </c>
      <c r="E16" s="8" t="s">
        <v>2211</v>
      </c>
      <c r="F16" s="8" t="s">
        <v>2212</v>
      </c>
      <c r="G16" s="8" t="s">
        <v>2000</v>
      </c>
      <c r="H16" s="8" t="s">
        <v>2001</v>
      </c>
      <c r="J16" s="1" t="str">
        <f aca="false">'Raw Atomic Data (Pro)'!A16</f>
        <v>Andrew</v>
      </c>
      <c r="K16" s="1" t="str">
        <f aca="false">'Raw Atomic Data (Pro)'!C16</f>
        <v>Context and provider model</v>
      </c>
      <c r="L16" s="1" t="str">
        <f aca="false">'Raw Atomic Data (Pro)'!D16</f>
        <v>capacity-multi-pet-management</v>
      </c>
      <c r="M16" s="1" t="str">
        <f aca="false">'Raw Atomic Data (Pro)'!E16</f>
        <v>fact</v>
      </c>
      <c r="N16" s="1" t="n">
        <f aca="false">IF(OR(M16="friction",M16="need",M16="workaround"),1,0)</f>
        <v>0</v>
      </c>
      <c r="O16" s="1" t="n">
        <f aca="false">IF(COUNTIFS($K$2:K16,K16,$L$2:L16,L16,$M$2:M16,M16,$J$2:J16,J16)=1,1,0)</f>
        <v>0</v>
      </c>
      <c r="P16" s="1" t="n">
        <f aca="false">IF(AND(N16=1,S16=1,COUNTIFS($L$2:L16,L16,$J$2:J16,J16,$N$2:N16,1,$S$2:S16,1)=1),1,0)</f>
        <v>0</v>
      </c>
      <c r="Q16" s="1" t="n">
        <f aca="false">IF(AND(N16=1,S16=1,COUNTIFS($L$2:L16,L16,$K$2:K16,K16,$N$2:N16,1,$S$2:S16,1)=1),1,0)</f>
        <v>0</v>
      </c>
      <c r="R16" s="1" t="n">
        <f aca="false">IF(AND(N16=1,COUNTIFS($K$2:K16,K16,$L$2:L16,L16,$J$2:J16,J16,$N$2:N16,1)=1),1,0)</f>
        <v>0</v>
      </c>
      <c r="S16" s="1" t="n">
        <f aca="false">IF(AND(K16&lt;&gt;"Context and provider model",K16&lt;&gt;"Motivation"),1,0)</f>
        <v>0</v>
      </c>
    </row>
    <row r="17" customFormat="false" ht="79.5" hidden="false" customHeight="true" outlineLevel="0" collapsed="false">
      <c r="A17" s="3" t="s">
        <v>410</v>
      </c>
      <c r="B17" s="3" t="s">
        <v>168</v>
      </c>
      <c r="C17" s="3" t="s">
        <v>96</v>
      </c>
      <c r="D17" s="12" t="n">
        <f aca="false">SUMIFS($O$2:$O$978,$K$2:$K$978,$A17,$L$2:$L$978,$B17,$M$2:$M$978,$C17)</f>
        <v>2</v>
      </c>
      <c r="E17" s="4" t="str">
        <f aca="false">IF(SUMIFS($Q$2:$Q$978,$L$2:$L$978,$B17)&gt;1,"Yes -- also friction/need/workaround in "&amp;(SUMIFS($Q$2:$Q$978,$L$2:$L$978,$B17)-1)&amp;" other stage(s); see Section 3","No -- stage-specific in this dataset")</f>
        <v>Yes -- also friction/need/workaround in 2 other stage(s); see Section 3</v>
      </c>
      <c r="F17" s="4" t="s">
        <v>2047</v>
      </c>
      <c r="G17" s="4" t="s">
        <v>2048</v>
      </c>
      <c r="H17" s="4" t="s">
        <v>516</v>
      </c>
      <c r="J17" s="1" t="str">
        <f aca="false">'Raw Atomic Data (Pro)'!A17</f>
        <v>Andrew</v>
      </c>
      <c r="K17" s="1" t="str">
        <f aca="false">'Raw Atomic Data (Pro)'!C17</f>
        <v>Context and provider model</v>
      </c>
      <c r="L17" s="1" t="str">
        <f aca="false">'Raw Atomic Data (Pro)'!D17</f>
        <v>provider-background</v>
      </c>
      <c r="M17" s="1" t="str">
        <f aca="false">'Raw Atomic Data (Pro)'!E17</f>
        <v>fact</v>
      </c>
      <c r="N17" s="1" t="n">
        <f aca="false">IF(OR(M17="friction",M17="need",M17="workaround"),1,0)</f>
        <v>0</v>
      </c>
      <c r="O17" s="1" t="n">
        <f aca="false">IF(COUNTIFS($K$2:K17,K17,$L$2:L17,L17,$M$2:M17,M17,$J$2:J17,J17)=1,1,0)</f>
        <v>0</v>
      </c>
      <c r="P17" s="1" t="n">
        <f aca="false">IF(AND(N17=1,S17=1,COUNTIFS($L$2:L17,L17,$J$2:J17,J17,$N$2:N17,1,$S$2:S17,1)=1),1,0)</f>
        <v>0</v>
      </c>
      <c r="Q17" s="1" t="n">
        <f aca="false">IF(AND(N17=1,S17=1,COUNTIFS($L$2:L17,L17,$K$2:K17,K17,$N$2:N17,1,$S$2:S17,1)=1),1,0)</f>
        <v>0</v>
      </c>
      <c r="R17" s="1" t="n">
        <f aca="false">IF(AND(N17=1,COUNTIFS($K$2:K17,K17,$L$2:L17,L17,$J$2:J17,J17,$N$2:N17,1)=1),1,0)</f>
        <v>0</v>
      </c>
      <c r="S17" s="1" t="n">
        <f aca="false">IF(AND(K17&lt;&gt;"Context and provider model",K17&lt;&gt;"Motivation"),1,0)</f>
        <v>0</v>
      </c>
    </row>
    <row r="18" customFormat="false" ht="68.25" hidden="false" customHeight="true" outlineLevel="0" collapsed="false">
      <c r="A18" s="3" t="s">
        <v>410</v>
      </c>
      <c r="B18" s="3" t="s">
        <v>413</v>
      </c>
      <c r="C18" s="3" t="s">
        <v>96</v>
      </c>
      <c r="D18" s="12" t="n">
        <f aca="false">SUMIFS($O$2:$O$978,$K$2:$K$978,$A18,$L$2:$L$978,$B18,$M$2:$M$978,$C18)</f>
        <v>1</v>
      </c>
      <c r="E18" s="4" t="str">
        <f aca="false">IF(SUMIFS($Q$2:$Q$978,$L$2:$L$978,$B18)&gt;1,"Yes -- also friction/need/workaround in "&amp;(SUMIFS($Q$2:$Q$978,$L$2:$L$978,$B18)-1)&amp;" other stage(s); see Section 3","No -- stage-specific in this dataset")</f>
        <v>Yes -- also friction/need/workaround in 5 other stage(s); see Section 3</v>
      </c>
      <c r="F18" s="4" t="s">
        <v>32</v>
      </c>
      <c r="G18" s="4" t="s">
        <v>2003</v>
      </c>
      <c r="H18" s="4" t="s">
        <v>426</v>
      </c>
      <c r="J18" s="1" t="str">
        <f aca="false">'Raw Atomic Data (Pro)'!A18</f>
        <v>Andrew</v>
      </c>
      <c r="K18" s="1" t="str">
        <f aca="false">'Raw Atomic Data (Pro)'!C18</f>
        <v>Context and provider model</v>
      </c>
      <c r="L18" s="1" t="str">
        <f aca="false">'Raw Atomic Data (Pro)'!D18</f>
        <v>provider-background</v>
      </c>
      <c r="M18" s="1" t="str">
        <f aca="false">'Raw Atomic Data (Pro)'!E18</f>
        <v>fact</v>
      </c>
      <c r="N18" s="1" t="n">
        <f aca="false">IF(OR(M18="friction",M18="need",M18="workaround"),1,0)</f>
        <v>0</v>
      </c>
      <c r="O18" s="1" t="n">
        <f aca="false">IF(COUNTIFS($K$2:K18,K18,$L$2:L18,L18,$M$2:M18,M18,$J$2:J18,J18)=1,1,0)</f>
        <v>0</v>
      </c>
      <c r="P18" s="1" t="n">
        <f aca="false">IF(AND(N18=1,S18=1,COUNTIFS($L$2:L18,L18,$J$2:J18,J18,$N$2:N18,1,$S$2:S18,1)=1),1,0)</f>
        <v>0</v>
      </c>
      <c r="Q18" s="1" t="n">
        <f aca="false">IF(AND(N18=1,S18=1,COUNTIFS($L$2:L18,L18,$K$2:K18,K18,$N$2:N18,1,$S$2:S18,1)=1),1,0)</f>
        <v>0</v>
      </c>
      <c r="R18" s="1" t="n">
        <f aca="false">IF(AND(N18=1,COUNTIFS($K$2:K18,K18,$L$2:L18,L18,$J$2:J18,J18,$N$2:N18,1)=1),1,0)</f>
        <v>0</v>
      </c>
      <c r="S18" s="1" t="n">
        <f aca="false">IF(AND(K18&lt;&gt;"Context and provider model",K18&lt;&gt;"Motivation"),1,0)</f>
        <v>0</v>
      </c>
    </row>
    <row r="19" customFormat="false" ht="45.75" hidden="false" customHeight="true" outlineLevel="0" collapsed="false">
      <c r="A19" s="3" t="s">
        <v>410</v>
      </c>
      <c r="B19" s="3" t="s">
        <v>470</v>
      </c>
      <c r="C19" s="3" t="s">
        <v>96</v>
      </c>
      <c r="D19" s="12" t="n">
        <f aca="false">SUMIFS($O$2:$O$978,$K$2:$K$978,$A19,$L$2:$L$978,$B19,$M$2:$M$978,$C19)</f>
        <v>1</v>
      </c>
      <c r="E19" s="4" t="str">
        <f aca="false">IF(SUMIFS($Q$2:$Q$978,$L$2:$L$978,$B19)&gt;1,"Yes -- also friction/need/workaround in "&amp;(SUMIFS($Q$2:$Q$978,$L$2:$L$978,$B19)-1)&amp;" other stage(s); see Section 3","No -- stage-specific in this dataset")</f>
        <v>Yes -- also friction/need/workaround in 1 other stage(s); see Section 3</v>
      </c>
      <c r="F19" s="4" t="s">
        <v>99</v>
      </c>
      <c r="G19" s="4" t="s">
        <v>2046</v>
      </c>
      <c r="H19" s="4" t="s">
        <v>472</v>
      </c>
      <c r="J19" s="1" t="str">
        <f aca="false">'Raw Atomic Data (Pro)'!A19</f>
        <v>Andrew</v>
      </c>
      <c r="K19" s="1" t="str">
        <f aca="false">'Raw Atomic Data (Pro)'!C19</f>
        <v>Context and provider model</v>
      </c>
      <c r="L19" s="1" t="str">
        <f aca="false">'Raw Atomic Data (Pro)'!D19</f>
        <v>provider-background</v>
      </c>
      <c r="M19" s="1" t="str">
        <f aca="false">'Raw Atomic Data (Pro)'!E19</f>
        <v>fact</v>
      </c>
      <c r="N19" s="1" t="n">
        <f aca="false">IF(OR(M19="friction",M19="need",M19="workaround"),1,0)</f>
        <v>0</v>
      </c>
      <c r="O19" s="1" t="n">
        <f aca="false">IF(COUNTIFS($K$2:K19,K19,$L$2:L19,L19,$M$2:M19,M19,$J$2:J19,J19)=1,1,0)</f>
        <v>0</v>
      </c>
      <c r="P19" s="1" t="n">
        <f aca="false">IF(AND(N19=1,S19=1,COUNTIFS($L$2:L19,L19,$J$2:J19,J19,$N$2:N19,1,$S$2:S19,1)=1),1,0)</f>
        <v>0</v>
      </c>
      <c r="Q19" s="1" t="n">
        <f aca="false">IF(AND(N19=1,S19=1,COUNTIFS($L$2:L19,L19,$K$2:K19,K19,$N$2:N19,1,$S$2:S19,1)=1),1,0)</f>
        <v>0</v>
      </c>
      <c r="R19" s="1" t="n">
        <f aca="false">IF(AND(N19=1,COUNTIFS($K$2:K19,K19,$L$2:L19,L19,$J$2:J19,J19,$N$2:N19,1)=1),1,0)</f>
        <v>0</v>
      </c>
      <c r="S19" s="1" t="n">
        <f aca="false">IF(AND(K19&lt;&gt;"Context and provider model",K19&lt;&gt;"Motivation"),1,0)</f>
        <v>0</v>
      </c>
    </row>
    <row r="20" customFormat="false" ht="57" hidden="false" customHeight="true" outlineLevel="0" collapsed="false">
      <c r="A20" s="3" t="s">
        <v>410</v>
      </c>
      <c r="B20" s="3" t="s">
        <v>431</v>
      </c>
      <c r="C20" s="3" t="s">
        <v>96</v>
      </c>
      <c r="D20" s="12" t="n">
        <f aca="false">SUMIFS($O$2:$O$978,$K$2:$K$978,$A20,$L$2:$L$978,$B20,$M$2:$M$978,$C20)</f>
        <v>1</v>
      </c>
      <c r="E20" s="4" t="str">
        <f aca="false">IF(SUMIFS($Q$2:$Q$978,$L$2:$L$978,$B20)&gt;1,"Yes -- also friction/need/workaround in "&amp;(SUMIFS($Q$2:$Q$978,$L$2:$L$978,$B20)-1)&amp;" other stage(s); see Section 3","No -- stage-specific in this dataset")</f>
        <v>Yes -- also friction/need/workaround in 2 other stage(s); see Section 3</v>
      </c>
      <c r="F20" s="4" t="s">
        <v>227</v>
      </c>
      <c r="G20" s="4" t="s">
        <v>2083</v>
      </c>
      <c r="H20" s="4" t="s">
        <v>536</v>
      </c>
      <c r="J20" s="1" t="str">
        <f aca="false">'Raw Atomic Data (Pro)'!A20</f>
        <v>Anita</v>
      </c>
      <c r="K20" s="1" t="str">
        <f aca="false">'Raw Atomic Data (Pro)'!C20</f>
        <v>Context and provider model</v>
      </c>
      <c r="L20" s="1" t="str">
        <f aca="false">'Raw Atomic Data (Pro)'!D20</f>
        <v>provider-background</v>
      </c>
      <c r="M20" s="1" t="str">
        <f aca="false">'Raw Atomic Data (Pro)'!E20</f>
        <v>fact</v>
      </c>
      <c r="N20" s="1" t="n">
        <f aca="false">IF(OR(M20="friction",M20="need",M20="workaround"),1,0)</f>
        <v>0</v>
      </c>
      <c r="O20" s="1" t="n">
        <f aca="false">IF(COUNTIFS($K$2:K20,K20,$L$2:L20,L20,$M$2:M20,M20,$J$2:J20,J20)=1,1,0)</f>
        <v>1</v>
      </c>
      <c r="P20" s="1" t="n">
        <f aca="false">IF(AND(N20=1,S20=1,COUNTIFS($L$2:L20,L20,$J$2:J20,J20,$N$2:N20,1,$S$2:S20,1)=1),1,0)</f>
        <v>0</v>
      </c>
      <c r="Q20" s="1" t="n">
        <f aca="false">IF(AND(N20=1,S20=1,COUNTIFS($L$2:L20,L20,$K$2:K20,K20,$N$2:N20,1,$S$2:S20,1)=1),1,0)</f>
        <v>0</v>
      </c>
      <c r="R20" s="1" t="n">
        <f aca="false">IF(AND(N20=1,COUNTIFS($K$2:K20,K20,$L$2:L20,L20,$J$2:J20,J20,$N$2:N20,1)=1),1,0)</f>
        <v>0</v>
      </c>
      <c r="S20" s="1" t="n">
        <f aca="false">IF(AND(K20&lt;&gt;"Context and provider model",K20&lt;&gt;"Motivation"),1,0)</f>
        <v>0</v>
      </c>
    </row>
    <row r="21" customFormat="false" ht="45.75" hidden="false" customHeight="true" outlineLevel="0" collapsed="false">
      <c r="A21" s="3" t="s">
        <v>410</v>
      </c>
      <c r="B21" s="3" t="s">
        <v>444</v>
      </c>
      <c r="C21" s="3" t="s">
        <v>59</v>
      </c>
      <c r="D21" s="12" t="n">
        <f aca="false">SUMIFS($O$2:$O$978,$K$2:$K$978,$A21,$L$2:$L$978,$B21,$M$2:$M$978,$C21)</f>
        <v>1</v>
      </c>
      <c r="E21" s="4" t="str">
        <f aca="false">IF(SUMIFS($Q$2:$Q$978,$L$2:$L$978,$B21)&gt;1,"Yes -- also friction/need/workaround in "&amp;(SUMIFS($Q$2:$Q$978,$L$2:$L$978,$B21)-1)&amp;" other stage(s); see Section 3","No -- stage-specific in this dataset")</f>
        <v>Yes -- also friction/need/workaround in 2 other stage(s); see Section 3</v>
      </c>
      <c r="F21" s="4" t="s">
        <v>72</v>
      </c>
      <c r="G21" s="4" t="s">
        <v>2031</v>
      </c>
      <c r="H21" s="4" t="s">
        <v>452</v>
      </c>
      <c r="J21" s="1" t="str">
        <f aca="false">'Raw Atomic Data (Pro)'!A21</f>
        <v>Anita</v>
      </c>
      <c r="K21" s="1" t="str">
        <f aca="false">'Raw Atomic Data (Pro)'!C21</f>
        <v>Context and provider model</v>
      </c>
      <c r="L21" s="1" t="str">
        <f aca="false">'Raw Atomic Data (Pro)'!D21</f>
        <v>provider-background</v>
      </c>
      <c r="M21" s="1" t="str">
        <f aca="false">'Raw Atomic Data (Pro)'!E21</f>
        <v>fact</v>
      </c>
      <c r="N21" s="1" t="n">
        <f aca="false">IF(OR(M21="friction",M21="need",M21="workaround"),1,0)</f>
        <v>0</v>
      </c>
      <c r="O21" s="1" t="n">
        <f aca="false">IF(COUNTIFS($K$2:K21,K21,$L$2:L21,L21,$M$2:M21,M21,$J$2:J21,J21)=1,1,0)</f>
        <v>0</v>
      </c>
      <c r="P21" s="1" t="n">
        <f aca="false">IF(AND(N21=1,S21=1,COUNTIFS($L$2:L21,L21,$J$2:J21,J21,$N$2:N21,1,$S$2:S21,1)=1),1,0)</f>
        <v>0</v>
      </c>
      <c r="Q21" s="1" t="n">
        <f aca="false">IF(AND(N21=1,S21=1,COUNTIFS($L$2:L21,L21,$K$2:K21,K21,$N$2:N21,1,$S$2:S21,1)=1),1,0)</f>
        <v>0</v>
      </c>
      <c r="R21" s="1" t="n">
        <f aca="false">IF(AND(N21=1,COUNTIFS($K$2:K21,K21,$L$2:L21,L21,$J$2:J21,J21,$N$2:N21,1)=1),1,0)</f>
        <v>0</v>
      </c>
      <c r="S21" s="1" t="n">
        <f aca="false">IF(AND(K21&lt;&gt;"Context and provider model",K21&lt;&gt;"Motivation"),1,0)</f>
        <v>0</v>
      </c>
    </row>
    <row r="22" customFormat="false" ht="57" hidden="false" customHeight="true" outlineLevel="0" collapsed="false">
      <c r="A22" s="3" t="s">
        <v>410</v>
      </c>
      <c r="B22" s="3" t="s">
        <v>431</v>
      </c>
      <c r="C22" s="3" t="s">
        <v>59</v>
      </c>
      <c r="D22" s="12" t="n">
        <f aca="false">SUMIFS($O$2:$O$978,$K$2:$K$978,$A22,$L$2:$L$978,$B22,$M$2:$M$978,$C22)</f>
        <v>1</v>
      </c>
      <c r="E22" s="4" t="str">
        <f aca="false">IF(SUMIFS($Q$2:$Q$978,$L$2:$L$978,$B22)&gt;1,"Yes -- also friction/need/workaround in "&amp;(SUMIFS($Q$2:$Q$978,$L$2:$L$978,$B22)-1)&amp;" other stage(s); see Section 3","No -- stage-specific in this dataset")</f>
        <v>Yes -- also friction/need/workaround in 2 other stage(s); see Section 3</v>
      </c>
      <c r="F22" s="4" t="s">
        <v>227</v>
      </c>
      <c r="G22" s="4" t="s">
        <v>2084</v>
      </c>
      <c r="H22" s="4" t="s">
        <v>538</v>
      </c>
      <c r="J22" s="1" t="str">
        <f aca="false">'Raw Atomic Data (Pro)'!A22</f>
        <v>Anita</v>
      </c>
      <c r="K22" s="1" t="str">
        <f aca="false">'Raw Atomic Data (Pro)'!C22</f>
        <v>Context and provider model</v>
      </c>
      <c r="L22" s="1" t="str">
        <f aca="false">'Raw Atomic Data (Pro)'!D22</f>
        <v>provider-background</v>
      </c>
      <c r="M22" s="1" t="str">
        <f aca="false">'Raw Atomic Data (Pro)'!E22</f>
        <v>need</v>
      </c>
      <c r="N22" s="1" t="n">
        <f aca="false">IF(OR(M22="friction",M22="need",M22="workaround"),1,0)</f>
        <v>1</v>
      </c>
      <c r="O22" s="1" t="n">
        <f aca="false">IF(COUNTIFS($K$2:K22,K22,$L$2:L22,L22,$M$2:M22,M22,$J$2:J22,J22)=1,1,0)</f>
        <v>1</v>
      </c>
      <c r="P22" s="1" t="n">
        <f aca="false">IF(AND(N22=1,S22=1,COUNTIFS($L$2:L22,L22,$J$2:J22,J22,$N$2:N22,1,$S$2:S22,1)=1),1,0)</f>
        <v>0</v>
      </c>
      <c r="Q22" s="1" t="n">
        <f aca="false">IF(AND(N22=1,S22=1,COUNTIFS($L$2:L22,L22,$K$2:K22,K22,$N$2:N22,1,$S$2:S22,1)=1),1,0)</f>
        <v>0</v>
      </c>
      <c r="R22" s="1" t="n">
        <f aca="false">IF(AND(N22=1,COUNTIFS($K$2:K22,K22,$L$2:L22,L22,$J$2:J22,J22,$N$2:N22,1)=1),1,0)</f>
        <v>1</v>
      </c>
      <c r="S22" s="1" t="n">
        <f aca="false">IF(AND(K22&lt;&gt;"Context and provider model",K22&lt;&gt;"Motivation"),1,0)</f>
        <v>0</v>
      </c>
    </row>
    <row r="23" customFormat="false" ht="68.25" hidden="false" customHeight="true" outlineLevel="0" collapsed="false">
      <c r="A23" s="3" t="s">
        <v>410</v>
      </c>
      <c r="B23" s="3" t="s">
        <v>486</v>
      </c>
      <c r="C23" s="3" t="s">
        <v>222</v>
      </c>
      <c r="D23" s="12" t="n">
        <f aca="false">SUMIFS($O$2:$O$978,$K$2:$K$978,$A23,$L$2:$L$978,$B23,$M$2:$M$978,$C23)</f>
        <v>1</v>
      </c>
      <c r="E23" s="4" t="str">
        <f aca="false">IF(SUMIFS($Q$2:$Q$978,$L$2:$L$978,$B23)&gt;1,"Yes -- also friction/need/workaround in "&amp;(SUMIFS($Q$2:$Q$978,$L$2:$L$978,$B23)-1)&amp;" other stage(s); see Section 3","No -- stage-specific in this dataset")</f>
        <v>Yes -- also friction/need/workaround in 2 other stage(s); see Section 3</v>
      </c>
      <c r="F23" s="4" t="s">
        <v>143</v>
      </c>
      <c r="G23" s="4" t="s">
        <v>2033</v>
      </c>
      <c r="H23" s="4" t="s">
        <v>490</v>
      </c>
      <c r="J23" s="1" t="str">
        <f aca="false">'Raw Atomic Data (Pro)'!A23</f>
        <v>Anita</v>
      </c>
      <c r="K23" s="1" t="str">
        <f aca="false">'Raw Atomic Data (Pro)'!C23</f>
        <v>Context and provider model</v>
      </c>
      <c r="L23" s="1" t="str">
        <f aca="false">'Raw Atomic Data (Pro)'!D23</f>
        <v>provider-background</v>
      </c>
      <c r="M23" s="1" t="str">
        <f aca="false">'Raw Atomic Data (Pro)'!E23</f>
        <v>fact</v>
      </c>
      <c r="N23" s="1" t="n">
        <f aca="false">IF(OR(M23="friction",M23="need",M23="workaround"),1,0)</f>
        <v>0</v>
      </c>
      <c r="O23" s="1" t="n">
        <f aca="false">IF(COUNTIFS($K$2:K23,K23,$L$2:L23,L23,$M$2:M23,M23,$J$2:J23,J23)=1,1,0)</f>
        <v>0</v>
      </c>
      <c r="P23" s="1" t="n">
        <f aca="false">IF(AND(N23=1,S23=1,COUNTIFS($L$2:L23,L23,$J$2:J23,J23,$N$2:N23,1,$S$2:S23,1)=1),1,0)</f>
        <v>0</v>
      </c>
      <c r="Q23" s="1" t="n">
        <f aca="false">IF(AND(N23=1,S23=1,COUNTIFS($L$2:L23,L23,$K$2:K23,K23,$N$2:N23,1,$S$2:S23,1)=1),1,0)</f>
        <v>0</v>
      </c>
      <c r="R23" s="1" t="n">
        <f aca="false">IF(AND(N23=1,COUNTIFS($K$2:K23,K23,$L$2:L23,L23,$J$2:J23,J23,$N$2:N23,1)=1),1,0)</f>
        <v>0</v>
      </c>
      <c r="S23" s="1" t="n">
        <f aca="false">IF(AND(K23&lt;&gt;"Context and provider model",K23&lt;&gt;"Motivation"),1,0)</f>
        <v>0</v>
      </c>
    </row>
    <row r="24" customFormat="false" ht="45.75" hidden="false" customHeight="true" outlineLevel="0" collapsed="false">
      <c r="A24" s="3" t="s">
        <v>410</v>
      </c>
      <c r="B24" s="3" t="s">
        <v>168</v>
      </c>
      <c r="C24" s="3" t="s">
        <v>222</v>
      </c>
      <c r="D24" s="12" t="n">
        <f aca="false">SUMIFS($O$2:$O$978,$K$2:$K$978,$A24,$L$2:$L$978,$B24,$M$2:$M$978,$C24)</f>
        <v>1</v>
      </c>
      <c r="E24" s="4" t="str">
        <f aca="false">IF(SUMIFS($Q$2:$Q$978,$L$2:$L$978,$B24)&gt;1,"Yes -- also friction/need/workaround in "&amp;(SUMIFS($Q$2:$Q$978,$L$2:$L$978,$B24)-1)&amp;" other stage(s); see Section 3","No -- stage-specific in this dataset")</f>
        <v>Yes -- also friction/need/workaround in 2 other stage(s); see Section 3</v>
      </c>
      <c r="F24" s="4" t="s">
        <v>227</v>
      </c>
      <c r="G24" s="4" t="s">
        <v>2050</v>
      </c>
      <c r="H24" s="4" t="s">
        <v>540</v>
      </c>
      <c r="J24" s="1" t="str">
        <f aca="false">'Raw Atomic Data (Pro)'!A24</f>
        <v>Anita</v>
      </c>
      <c r="K24" s="1" t="str">
        <f aca="false">'Raw Atomic Data (Pro)'!C24</f>
        <v>Context and provider model</v>
      </c>
      <c r="L24" s="1" t="str">
        <f aca="false">'Raw Atomic Data (Pro)'!D24</f>
        <v>provider-background</v>
      </c>
      <c r="M24" s="1" t="str">
        <f aca="false">'Raw Atomic Data (Pro)'!E24</f>
        <v>fact</v>
      </c>
      <c r="N24" s="1" t="n">
        <f aca="false">IF(OR(M24="friction",M24="need",M24="workaround"),1,0)</f>
        <v>0</v>
      </c>
      <c r="O24" s="1" t="n">
        <f aca="false">IF(COUNTIFS($K$2:K24,K24,$L$2:L24,L24,$M$2:M24,M24,$J$2:J24,J24)=1,1,0)</f>
        <v>0</v>
      </c>
      <c r="P24" s="1" t="n">
        <f aca="false">IF(AND(N24=1,S24=1,COUNTIFS($L$2:L24,L24,$J$2:J24,J24,$N$2:N24,1,$S$2:S24,1)=1),1,0)</f>
        <v>0</v>
      </c>
      <c r="Q24" s="1" t="n">
        <f aca="false">IF(AND(N24=1,S24=1,COUNTIFS($L$2:L24,L24,$K$2:K24,K24,$N$2:N24,1,$S$2:S24,1)=1),1,0)</f>
        <v>0</v>
      </c>
      <c r="R24" s="1" t="n">
        <f aca="false">IF(AND(N24=1,COUNTIFS($K$2:K24,K24,$L$2:L24,L24,$J$2:J24,J24,$N$2:N24,1)=1),1,0)</f>
        <v>0</v>
      </c>
      <c r="S24" s="1" t="n">
        <f aca="false">IF(AND(K24&lt;&gt;"Context and provider model",K24&lt;&gt;"Motivation"),1,0)</f>
        <v>0</v>
      </c>
    </row>
    <row r="25" customFormat="false" ht="68.25" hidden="false" customHeight="true" outlineLevel="0" collapsed="false">
      <c r="A25" s="3" t="s">
        <v>410</v>
      </c>
      <c r="B25" s="3" t="s">
        <v>431</v>
      </c>
      <c r="C25" s="3" t="s">
        <v>222</v>
      </c>
      <c r="D25" s="12" t="n">
        <f aca="false">SUMIFS($O$2:$O$978,$K$2:$K$978,$A25,$L$2:$L$978,$B25,$M$2:$M$978,$C25)</f>
        <v>1</v>
      </c>
      <c r="E25" s="4" t="str">
        <f aca="false">IF(SUMIFS($Q$2:$Q$978,$L$2:$L$978,$B25)&gt;1,"Yes -- also friction/need/workaround in "&amp;(SUMIFS($Q$2:$Q$978,$L$2:$L$978,$B25)-1)&amp;" other stage(s); see Section 3","No -- stage-specific in this dataset")</f>
        <v>Yes -- also friction/need/workaround in 2 other stage(s); see Section 3</v>
      </c>
      <c r="F25" s="4" t="s">
        <v>227</v>
      </c>
      <c r="G25" s="4" t="s">
        <v>2085</v>
      </c>
      <c r="H25" s="4" t="s">
        <v>544</v>
      </c>
      <c r="J25" s="1" t="str">
        <f aca="false">'Raw Atomic Data (Pro)'!A25</f>
        <v>Anita</v>
      </c>
      <c r="K25" s="1" t="str">
        <f aca="false">'Raw Atomic Data (Pro)'!C25</f>
        <v>Context and provider model</v>
      </c>
      <c r="L25" s="1" t="str">
        <f aca="false">'Raw Atomic Data (Pro)'!D25</f>
        <v>business-model-fit</v>
      </c>
      <c r="M25" s="1" t="str">
        <f aca="false">'Raw Atomic Data (Pro)'!E25</f>
        <v>fact</v>
      </c>
      <c r="N25" s="1" t="n">
        <f aca="false">IF(OR(M25="friction",M25="need",M25="workaround"),1,0)</f>
        <v>0</v>
      </c>
      <c r="O25" s="1" t="n">
        <f aca="false">IF(COUNTIFS($K$2:K25,K25,$L$2:L25,L25,$M$2:M25,M25,$J$2:J25,J25)=1,1,0)</f>
        <v>1</v>
      </c>
      <c r="P25" s="1" t="n">
        <f aca="false">IF(AND(N25=1,S25=1,COUNTIFS($L$2:L25,L25,$J$2:J25,J25,$N$2:N25,1,$S$2:S25,1)=1),1,0)</f>
        <v>0</v>
      </c>
      <c r="Q25" s="1" t="n">
        <f aca="false">IF(AND(N25=1,S25=1,COUNTIFS($L$2:L25,L25,$K$2:K25,K25,$N$2:N25,1,$S$2:S25,1)=1),1,0)</f>
        <v>0</v>
      </c>
      <c r="R25" s="1" t="n">
        <f aca="false">IF(AND(N25=1,COUNTIFS($K$2:K25,K25,$L$2:L25,L25,$J$2:J25,J25,$N$2:N25,1)=1),1,0)</f>
        <v>0</v>
      </c>
      <c r="S25" s="1" t="n">
        <f aca="false">IF(AND(K25&lt;&gt;"Context and provider model",K25&lt;&gt;"Motivation"),1,0)</f>
        <v>0</v>
      </c>
    </row>
    <row r="26" customFormat="false" ht="57" hidden="false" customHeight="true" outlineLevel="0" collapsed="false">
      <c r="A26" s="3" t="s">
        <v>555</v>
      </c>
      <c r="B26" s="3" t="s">
        <v>473</v>
      </c>
      <c r="C26" s="3" t="s">
        <v>96</v>
      </c>
      <c r="D26" s="12" t="n">
        <f aca="false">SUMIFS($O$2:$O$978,$K$2:$K$978,$A26,$L$2:$L$978,$B26,$M$2:$M$978,$C26)</f>
        <v>2</v>
      </c>
      <c r="E26" s="4" t="str">
        <f aca="false">IF(SUMIFS($Q$2:$Q$978,$L$2:$L$978,$B26)&gt;1,"Yes -- also friction/need/workaround in "&amp;(SUMIFS($Q$2:$Q$978,$L$2:$L$978,$B26)-1)&amp;" other stage(s); see Section 3","No -- stage-specific in this dataset")</f>
        <v>Yes -- also friction/need/workaround in 4 other stage(s); see Section 3</v>
      </c>
      <c r="F26" s="4" t="s">
        <v>2213</v>
      </c>
      <c r="G26" s="4" t="s">
        <v>2019</v>
      </c>
      <c r="H26" s="4" t="s">
        <v>586</v>
      </c>
      <c r="J26" s="1" t="str">
        <f aca="false">'Raw Atomic Data (Pro)'!A26</f>
        <v>Anita</v>
      </c>
      <c r="K26" s="1" t="str">
        <f aca="false">'Raw Atomic Data (Pro)'!C26</f>
        <v>Context and provider model</v>
      </c>
      <c r="L26" s="1" t="str">
        <f aca="false">'Raw Atomic Data (Pro)'!D26</f>
        <v>provider-background</v>
      </c>
      <c r="M26" s="1" t="str">
        <f aca="false">'Raw Atomic Data (Pro)'!E26</f>
        <v>fact</v>
      </c>
      <c r="N26" s="1" t="n">
        <f aca="false">IF(OR(M26="friction",M26="need",M26="workaround"),1,0)</f>
        <v>0</v>
      </c>
      <c r="O26" s="1" t="n">
        <f aca="false">IF(COUNTIFS($K$2:K26,K26,$L$2:L26,L26,$M$2:M26,M26,$J$2:J26,J26)=1,1,0)</f>
        <v>0</v>
      </c>
      <c r="P26" s="1" t="n">
        <f aca="false">IF(AND(N26=1,S26=1,COUNTIFS($L$2:L26,L26,$J$2:J26,J26,$N$2:N26,1,$S$2:S26,1)=1),1,0)</f>
        <v>0</v>
      </c>
      <c r="Q26" s="1" t="n">
        <f aca="false">IF(AND(N26=1,S26=1,COUNTIFS($L$2:L26,L26,$K$2:K26,K26,$N$2:N26,1,$S$2:S26,1)=1),1,0)</f>
        <v>0</v>
      </c>
      <c r="R26" s="1" t="n">
        <f aca="false">IF(AND(N26=1,COUNTIFS($K$2:K26,K26,$L$2:L26,L26,$J$2:J26,J26,$N$2:N26,1)=1),1,0)</f>
        <v>0</v>
      </c>
      <c r="S26" s="1" t="n">
        <f aca="false">IF(AND(K26&lt;&gt;"Context and provider model",K26&lt;&gt;"Motivation"),1,0)</f>
        <v>0</v>
      </c>
    </row>
    <row r="27" customFormat="false" ht="79.5" hidden="false" customHeight="true" outlineLevel="0" collapsed="false">
      <c r="A27" s="3" t="s">
        <v>555</v>
      </c>
      <c r="B27" s="3" t="s">
        <v>619</v>
      </c>
      <c r="C27" s="3" t="s">
        <v>96</v>
      </c>
      <c r="D27" s="12" t="n">
        <f aca="false">SUMIFS($O$2:$O$978,$K$2:$K$978,$A27,$L$2:$L$978,$B27,$M$2:$M$978,$C27)</f>
        <v>1</v>
      </c>
      <c r="E27" s="4" t="str">
        <f aca="false">IF(SUMIFS($Q$2:$Q$978,$L$2:$L$978,$B27)&gt;1,"Yes -- also friction/need/workaround in "&amp;(SUMIFS($Q$2:$Q$978,$L$2:$L$978,$B27)-1)&amp;" other stage(s); see Section 3","No -- stage-specific in this dataset")</f>
        <v>Yes -- also friction/need/workaround in 2 other stage(s); see Section 3</v>
      </c>
      <c r="F27" s="4" t="s">
        <v>171</v>
      </c>
      <c r="G27" s="4" t="s">
        <v>2054</v>
      </c>
      <c r="H27" s="4" t="s">
        <v>671</v>
      </c>
      <c r="J27" s="1" t="str">
        <f aca="false">'Raw Atomic Data (Pro)'!A27</f>
        <v>Anita</v>
      </c>
      <c r="K27" s="1" t="str">
        <f aca="false">'Raw Atomic Data (Pro)'!C27</f>
        <v>Context and provider model</v>
      </c>
      <c r="L27" s="1" t="str">
        <f aca="false">'Raw Atomic Data (Pro)'!D27</f>
        <v>repeat-client-relationships</v>
      </c>
      <c r="M27" s="1" t="str">
        <f aca="false">'Raw Atomic Data (Pro)'!E27</f>
        <v>fact</v>
      </c>
      <c r="N27" s="1" t="n">
        <f aca="false">IF(OR(M27="friction",M27="need",M27="workaround"),1,0)</f>
        <v>0</v>
      </c>
      <c r="O27" s="1" t="n">
        <f aca="false">IF(COUNTIFS($K$2:K27,K27,$L$2:L27,L27,$M$2:M27,M27,$J$2:J27,J27)=1,1,0)</f>
        <v>1</v>
      </c>
      <c r="P27" s="1" t="n">
        <f aca="false">IF(AND(N27=1,S27=1,COUNTIFS($L$2:L27,L27,$J$2:J27,J27,$N$2:N27,1,$S$2:S27,1)=1),1,0)</f>
        <v>0</v>
      </c>
      <c r="Q27" s="1" t="n">
        <f aca="false">IF(AND(N27=1,S27=1,COUNTIFS($L$2:L27,L27,$K$2:K27,K27,$N$2:N27,1,$S$2:S27,1)=1),1,0)</f>
        <v>0</v>
      </c>
      <c r="R27" s="1" t="n">
        <f aca="false">IF(AND(N27=1,COUNTIFS($K$2:K27,K27,$L$2:L27,L27,$J$2:J27,J27,$N$2:N27,1)=1),1,0)</f>
        <v>0</v>
      </c>
      <c r="S27" s="1" t="n">
        <f aca="false">IF(AND(K27&lt;&gt;"Context and provider model",K27&lt;&gt;"Motivation"),1,0)</f>
        <v>0</v>
      </c>
    </row>
    <row r="28" customFormat="false" ht="45.75" hidden="false" customHeight="true" outlineLevel="0" collapsed="false">
      <c r="A28" s="3" t="s">
        <v>555</v>
      </c>
      <c r="B28" s="3" t="s">
        <v>134</v>
      </c>
      <c r="C28" s="3" t="s">
        <v>96</v>
      </c>
      <c r="D28" s="12" t="n">
        <f aca="false">SUMIFS($O$2:$O$978,$K$2:$K$978,$A28,$L$2:$L$978,$B28,$M$2:$M$978,$C28)</f>
        <v>1</v>
      </c>
      <c r="E28" s="4" t="str">
        <f aca="false">IF(SUMIFS($Q$2:$Q$978,$L$2:$L$978,$B28)&gt;1,"Yes -- also friction/need/workaround in "&amp;(SUMIFS($Q$2:$Q$978,$L$2:$L$978,$B28)-1)&amp;" other stage(s); see Section 3","No -- stage-specific in this dataset")</f>
        <v>No -- stage-specific in this dataset</v>
      </c>
      <c r="F28" s="4" t="s">
        <v>171</v>
      </c>
      <c r="G28" s="4" t="s">
        <v>2086</v>
      </c>
      <c r="H28" s="4" t="s">
        <v>677</v>
      </c>
      <c r="J28" s="1" t="str">
        <f aca="false">'Raw Atomic Data (Pro)'!A28</f>
        <v>Becky</v>
      </c>
      <c r="K28" s="1" t="str">
        <f aca="false">'Raw Atomic Data (Pro)'!C28</f>
        <v>Context and provider model</v>
      </c>
      <c r="L28" s="1" t="str">
        <f aca="false">'Raw Atomic Data (Pro)'!D28</f>
        <v>provider-background</v>
      </c>
      <c r="M28" s="1" t="str">
        <f aca="false">'Raw Atomic Data (Pro)'!E28</f>
        <v>fact</v>
      </c>
      <c r="N28" s="1" t="n">
        <f aca="false">IF(OR(M28="friction",M28="need",M28="workaround"),1,0)</f>
        <v>0</v>
      </c>
      <c r="O28" s="1" t="n">
        <f aca="false">IF(COUNTIFS($K$2:K28,K28,$L$2:L28,L28,$M$2:M28,M28,$J$2:J28,J28)=1,1,0)</f>
        <v>1</v>
      </c>
      <c r="P28" s="1" t="n">
        <f aca="false">IF(AND(N28=1,S28=1,COUNTIFS($L$2:L28,L28,$J$2:J28,J28,$N$2:N28,1,$S$2:S28,1)=1),1,0)</f>
        <v>0</v>
      </c>
      <c r="Q28" s="1" t="n">
        <f aca="false">IF(AND(N28=1,S28=1,COUNTIFS($L$2:L28,L28,$K$2:K28,K28,$N$2:N28,1,$S$2:S28,1)=1),1,0)</f>
        <v>0</v>
      </c>
      <c r="R28" s="1" t="n">
        <f aca="false">IF(AND(N28=1,COUNTIFS($K$2:K28,K28,$L$2:L28,L28,$J$2:J28,J28,$N$2:N28,1)=1),1,0)</f>
        <v>0</v>
      </c>
      <c r="S28" s="1" t="n">
        <f aca="false">IF(AND(K28&lt;&gt;"Context and provider model",K28&lt;&gt;"Motivation"),1,0)</f>
        <v>0</v>
      </c>
    </row>
    <row r="29" customFormat="false" ht="90.75" hidden="false" customHeight="true" outlineLevel="0" collapsed="false">
      <c r="A29" s="3" t="s">
        <v>555</v>
      </c>
      <c r="B29" s="3" t="s">
        <v>413</v>
      </c>
      <c r="C29" s="3" t="s">
        <v>96</v>
      </c>
      <c r="D29" s="12" t="n">
        <f aca="false">SUMIFS($O$2:$O$978,$K$2:$K$978,$A29,$L$2:$L$978,$B29,$M$2:$M$978,$C29)</f>
        <v>1</v>
      </c>
      <c r="E29" s="4" t="str">
        <f aca="false">IF(SUMIFS($Q$2:$Q$978,$L$2:$L$978,$B29)&gt;1,"Yes -- also friction/need/workaround in "&amp;(SUMIFS($Q$2:$Q$978,$L$2:$L$978,$B29)-1)&amp;" other stage(s); see Section 3","No -- stage-specific in this dataset")</f>
        <v>Yes -- also friction/need/workaround in 5 other stage(s); see Section 3</v>
      </c>
      <c r="F29" s="4" t="s">
        <v>1863</v>
      </c>
      <c r="G29" s="4" t="s">
        <v>2214</v>
      </c>
      <c r="H29" s="4" t="s">
        <v>1913</v>
      </c>
      <c r="J29" s="1" t="str">
        <f aca="false">'Raw Atomic Data (Pro)'!A29</f>
        <v>Becky</v>
      </c>
      <c r="K29" s="1" t="str">
        <f aca="false">'Raw Atomic Data (Pro)'!C29</f>
        <v>Context and provider model</v>
      </c>
      <c r="L29" s="1" t="str">
        <f aca="false">'Raw Atomic Data (Pro)'!D29</f>
        <v>provider-background</v>
      </c>
      <c r="M29" s="1" t="str">
        <f aca="false">'Raw Atomic Data (Pro)'!E29</f>
        <v>fact</v>
      </c>
      <c r="N29" s="1" t="n">
        <f aca="false">IF(OR(M29="friction",M29="need",M29="workaround"),1,0)</f>
        <v>0</v>
      </c>
      <c r="O29" s="1" t="n">
        <f aca="false">IF(COUNTIFS($K$2:K29,K29,$L$2:L29,L29,$M$2:M29,M29,$J$2:J29,J29)=1,1,0)</f>
        <v>0</v>
      </c>
      <c r="P29" s="1" t="n">
        <f aca="false">IF(AND(N29=1,S29=1,COUNTIFS($L$2:L29,L29,$J$2:J29,J29,$N$2:N29,1,$S$2:S29,1)=1),1,0)</f>
        <v>0</v>
      </c>
      <c r="Q29" s="1" t="n">
        <f aca="false">IF(AND(N29=1,S29=1,COUNTIFS($L$2:L29,L29,$K$2:K29,K29,$N$2:N29,1,$S$2:S29,1)=1),1,0)</f>
        <v>0</v>
      </c>
      <c r="R29" s="1" t="n">
        <f aca="false">IF(AND(N29=1,COUNTIFS($K$2:K29,K29,$L$2:L29,L29,$J$2:J29,J29,$N$2:N29,1)=1),1,0)</f>
        <v>0</v>
      </c>
      <c r="S29" s="1" t="n">
        <f aca="false">IF(AND(K29&lt;&gt;"Context and provider model",K29&lt;&gt;"Motivation"),1,0)</f>
        <v>0</v>
      </c>
    </row>
    <row r="30" customFormat="false" ht="34.5" hidden="false" customHeight="true" outlineLevel="0" collapsed="false">
      <c r="A30" s="3" t="s">
        <v>555</v>
      </c>
      <c r="B30" s="3" t="s">
        <v>134</v>
      </c>
      <c r="C30" s="3" t="s">
        <v>59</v>
      </c>
      <c r="D30" s="12" t="n">
        <f aca="false">SUMIFS($O$2:$O$978,$K$2:$K$978,$A30,$L$2:$L$978,$B30,$M$2:$M$978,$C30)</f>
        <v>1</v>
      </c>
      <c r="E30" s="4" t="str">
        <f aca="false">IF(SUMIFS($Q$2:$Q$978,$L$2:$L$978,$B30)&gt;1,"Yes -- also friction/need/workaround in "&amp;(SUMIFS($Q$2:$Q$978,$L$2:$L$978,$B30)-1)&amp;" other stage(s); see Section 3","No -- stage-specific in this dataset")</f>
        <v>No -- stage-specific in this dataset</v>
      </c>
      <c r="F30" s="4" t="s">
        <v>171</v>
      </c>
      <c r="G30" s="4" t="s">
        <v>2087</v>
      </c>
      <c r="H30" s="4" t="s">
        <v>679</v>
      </c>
      <c r="J30" s="1" t="str">
        <f aca="false">'Raw Atomic Data (Pro)'!A30</f>
        <v>Becky</v>
      </c>
      <c r="K30" s="1" t="str">
        <f aca="false">'Raw Atomic Data (Pro)'!C30</f>
        <v>Context and provider model</v>
      </c>
      <c r="L30" s="1" t="str">
        <f aca="false">'Raw Atomic Data (Pro)'!D30</f>
        <v>provider-background</v>
      </c>
      <c r="M30" s="1" t="str">
        <f aca="false">'Raw Atomic Data (Pro)'!E30</f>
        <v>fact</v>
      </c>
      <c r="N30" s="1" t="n">
        <f aca="false">IF(OR(M30="friction",M30="need",M30="workaround"),1,0)</f>
        <v>0</v>
      </c>
      <c r="O30" s="1" t="n">
        <f aca="false">IF(COUNTIFS($K$2:K30,K30,$L$2:L30,L30,$M$2:M30,M30,$J$2:J30,J30)=1,1,0)</f>
        <v>0</v>
      </c>
      <c r="P30" s="1" t="n">
        <f aca="false">IF(AND(N30=1,S30=1,COUNTIFS($L$2:L30,L30,$J$2:J30,J30,$N$2:N30,1,$S$2:S30,1)=1),1,0)</f>
        <v>0</v>
      </c>
      <c r="Q30" s="1" t="n">
        <f aca="false">IF(AND(N30=1,S30=1,COUNTIFS($L$2:L30,L30,$K$2:K30,K30,$N$2:N30,1,$S$2:S30,1)=1),1,0)</f>
        <v>0</v>
      </c>
      <c r="R30" s="1" t="n">
        <f aca="false">IF(AND(N30=1,COUNTIFS($K$2:K30,K30,$L$2:L30,L30,$J$2:J30,J30,$N$2:N30,1)=1),1,0)</f>
        <v>0</v>
      </c>
      <c r="S30" s="1" t="n">
        <f aca="false">IF(AND(K30&lt;&gt;"Context and provider model",K30&lt;&gt;"Motivation"),1,0)</f>
        <v>0</v>
      </c>
    </row>
    <row r="31" customFormat="false" ht="45.75" hidden="false" customHeight="true" outlineLevel="0" collapsed="false">
      <c r="A31" s="3" t="s">
        <v>555</v>
      </c>
      <c r="B31" s="3" t="s">
        <v>444</v>
      </c>
      <c r="C31" s="3" t="s">
        <v>59</v>
      </c>
      <c r="D31" s="12" t="n">
        <f aca="false">SUMIFS($O$2:$O$978,$K$2:$K$978,$A31,$L$2:$L$978,$B31,$M$2:$M$978,$C31)</f>
        <v>1</v>
      </c>
      <c r="E31" s="4" t="str">
        <f aca="false">IF(SUMIFS($Q$2:$Q$978,$L$2:$L$978,$B31)&gt;1,"Yes -- also friction/need/workaround in "&amp;(SUMIFS($Q$2:$Q$978,$L$2:$L$978,$B31)-1)&amp;" other stage(s); see Section 3","No -- stage-specific in this dataset")</f>
        <v>Yes -- also friction/need/workaround in 2 other stage(s); see Section 3</v>
      </c>
      <c r="F31" s="4" t="s">
        <v>186</v>
      </c>
      <c r="G31" s="4" t="s">
        <v>2215</v>
      </c>
      <c r="H31" s="4" t="s">
        <v>683</v>
      </c>
      <c r="J31" s="1" t="str">
        <f aca="false">'Raw Atomic Data (Pro)'!A31</f>
        <v>Becky</v>
      </c>
      <c r="K31" s="1" t="str">
        <f aca="false">'Raw Atomic Data (Pro)'!C31</f>
        <v>Context and provider model</v>
      </c>
      <c r="L31" s="1" t="str">
        <f aca="false">'Raw Atomic Data (Pro)'!D31</f>
        <v>provider-background</v>
      </c>
      <c r="M31" s="1" t="str">
        <f aca="false">'Raw Atomic Data (Pro)'!E31</f>
        <v>fact</v>
      </c>
      <c r="N31" s="1" t="n">
        <f aca="false">IF(OR(M31="friction",M31="need",M31="workaround"),1,0)</f>
        <v>0</v>
      </c>
      <c r="O31" s="1" t="n">
        <f aca="false">IF(COUNTIFS($K$2:K31,K31,$L$2:L31,L31,$M$2:M31,M31,$J$2:J31,J31)=1,1,0)</f>
        <v>0</v>
      </c>
      <c r="P31" s="1" t="n">
        <f aca="false">IF(AND(N31=1,S31=1,COUNTIFS($L$2:L31,L31,$J$2:J31,J31,$N$2:N31,1,$S$2:S31,1)=1),1,0)</f>
        <v>0</v>
      </c>
      <c r="Q31" s="1" t="n">
        <f aca="false">IF(AND(N31=1,S31=1,COUNTIFS($L$2:L31,L31,$K$2:K31,K31,$N$2:N31,1,$S$2:S31,1)=1),1,0)</f>
        <v>0</v>
      </c>
      <c r="R31" s="1" t="n">
        <f aca="false">IF(AND(N31=1,COUNTIFS($K$2:K31,K31,$L$2:L31,L31,$J$2:J31,J31,$N$2:N31,1)=1),1,0)</f>
        <v>0</v>
      </c>
      <c r="S31" s="1" t="n">
        <f aca="false">IF(AND(K31&lt;&gt;"Context and provider model",K31&lt;&gt;"Motivation"),1,0)</f>
        <v>0</v>
      </c>
    </row>
    <row r="32" customFormat="false" ht="57" hidden="false" customHeight="true" outlineLevel="0" collapsed="false">
      <c r="A32" s="3" t="s">
        <v>555</v>
      </c>
      <c r="B32" s="3" t="s">
        <v>473</v>
      </c>
      <c r="C32" s="3" t="s">
        <v>59</v>
      </c>
      <c r="D32" s="12" t="n">
        <f aca="false">SUMIFS($O$2:$O$978,$K$2:$K$978,$A32,$L$2:$L$978,$B32,$M$2:$M$978,$C32)</f>
        <v>1</v>
      </c>
      <c r="E32" s="4" t="str">
        <f aca="false">IF(SUMIFS($Q$2:$Q$978,$L$2:$L$978,$B32)&gt;1,"Yes -- also friction/need/workaround in "&amp;(SUMIFS($Q$2:$Q$978,$L$2:$L$978,$B32)-1)&amp;" other stage(s); see Section 3","No -- stage-specific in this dataset")</f>
        <v>Yes -- also friction/need/workaround in 4 other stage(s); see Section 3</v>
      </c>
      <c r="F32" s="4" t="s">
        <v>54</v>
      </c>
      <c r="G32" s="4" t="s">
        <v>2052</v>
      </c>
      <c r="H32" s="4" t="s">
        <v>588</v>
      </c>
      <c r="J32" s="1" t="str">
        <f aca="false">'Raw Atomic Data (Pro)'!A32</f>
        <v>Becky</v>
      </c>
      <c r="K32" s="1" t="str">
        <f aca="false">'Raw Atomic Data (Pro)'!C32</f>
        <v>Context and provider model</v>
      </c>
      <c r="L32" s="1" t="str">
        <f aca="false">'Raw Atomic Data (Pro)'!D32</f>
        <v>provider-background</v>
      </c>
      <c r="M32" s="1" t="str">
        <f aca="false">'Raw Atomic Data (Pro)'!E32</f>
        <v>fact</v>
      </c>
      <c r="N32" s="1" t="n">
        <f aca="false">IF(OR(M32="friction",M32="need",M32="workaround"),1,0)</f>
        <v>0</v>
      </c>
      <c r="O32" s="1" t="n">
        <f aca="false">IF(COUNTIFS($K$2:K32,K32,$L$2:L32,L32,$M$2:M32,M32,$J$2:J32,J32)=1,1,0)</f>
        <v>0</v>
      </c>
      <c r="P32" s="1" t="n">
        <f aca="false">IF(AND(N32=1,S32=1,COUNTIFS($L$2:L32,L32,$J$2:J32,J32,$N$2:N32,1,$S$2:S32,1)=1),1,0)</f>
        <v>0</v>
      </c>
      <c r="Q32" s="1" t="n">
        <f aca="false">IF(AND(N32=1,S32=1,COUNTIFS($L$2:L32,L32,$K$2:K32,K32,$N$2:N32,1,$S$2:S32,1)=1),1,0)</f>
        <v>0</v>
      </c>
      <c r="R32" s="1" t="n">
        <f aca="false">IF(AND(N32=1,COUNTIFS($K$2:K32,K32,$L$2:L32,L32,$J$2:J32,J32,$N$2:N32,1)=1),1,0)</f>
        <v>0</v>
      </c>
      <c r="S32" s="1" t="n">
        <f aca="false">IF(AND(K32&lt;&gt;"Context and provider model",K32&lt;&gt;"Motivation"),1,0)</f>
        <v>0</v>
      </c>
    </row>
    <row r="33" customFormat="false" ht="45.75" hidden="false" customHeight="true" outlineLevel="0" collapsed="false">
      <c r="A33" s="3" t="s">
        <v>555</v>
      </c>
      <c r="B33" s="3" t="s">
        <v>556</v>
      </c>
      <c r="C33" s="3" t="s">
        <v>222</v>
      </c>
      <c r="D33" s="12" t="n">
        <f aca="false">SUMIFS($O$2:$O$978,$K$2:$K$978,$A33,$L$2:$L$978,$B33,$M$2:$M$978,$C33)</f>
        <v>1</v>
      </c>
      <c r="E33" s="4" t="str">
        <f aca="false">IF(SUMIFS($Q$2:$Q$978,$L$2:$L$978,$B33)&gt;1,"Yes -- also friction/need/workaround in "&amp;(SUMIFS($Q$2:$Q$978,$L$2:$L$978,$B33)-1)&amp;" other stage(s); see Section 3","No -- stage-specific in this dataset")</f>
        <v>Yes -- also friction/need/workaround in 2 other stage(s); see Section 3</v>
      </c>
      <c r="F33" s="4" t="s">
        <v>251</v>
      </c>
      <c r="G33" s="4" t="s">
        <v>2088</v>
      </c>
      <c r="H33" s="4" t="s">
        <v>749</v>
      </c>
      <c r="J33" s="1" t="str">
        <f aca="false">'Raw Atomic Data (Pro)'!A33</f>
        <v>Becky</v>
      </c>
      <c r="K33" s="1" t="str">
        <f aca="false">'Raw Atomic Data (Pro)'!C33</f>
        <v>Context and provider model</v>
      </c>
      <c r="L33" s="1" t="str">
        <f aca="false">'Raw Atomic Data (Pro)'!D33</f>
        <v>provider-background</v>
      </c>
      <c r="M33" s="1" t="str">
        <f aca="false">'Raw Atomic Data (Pro)'!E33</f>
        <v>fact</v>
      </c>
      <c r="N33" s="1" t="n">
        <f aca="false">IF(OR(M33="friction",M33="need",M33="workaround"),1,0)</f>
        <v>0</v>
      </c>
      <c r="O33" s="1" t="n">
        <f aca="false">IF(COUNTIFS($K$2:K33,K33,$L$2:L33,L33,$M$2:M33,M33,$J$2:J33,J33)=1,1,0)</f>
        <v>0</v>
      </c>
      <c r="P33" s="1" t="n">
        <f aca="false">IF(AND(N33=1,S33=1,COUNTIFS($L$2:L33,L33,$J$2:J33,J33,$N$2:N33,1,$S$2:S33,1)=1),1,0)</f>
        <v>0</v>
      </c>
      <c r="Q33" s="1" t="n">
        <f aca="false">IF(AND(N33=1,S33=1,COUNTIFS($L$2:L33,L33,$K$2:K33,K33,$N$2:N33,1,$S$2:S33,1)=1),1,0)</f>
        <v>0</v>
      </c>
      <c r="R33" s="1" t="n">
        <f aca="false">IF(AND(N33=1,COUNTIFS($K$2:K33,K33,$L$2:L33,L33,$J$2:J33,J33,$N$2:N33,1)=1),1,0)</f>
        <v>0</v>
      </c>
      <c r="S33" s="1" t="n">
        <f aca="false">IF(AND(K33&lt;&gt;"Context and provider model",K33&lt;&gt;"Motivation"),1,0)</f>
        <v>0</v>
      </c>
    </row>
    <row r="34" customFormat="false" ht="57" hidden="false" customHeight="true" outlineLevel="0" collapsed="false">
      <c r="A34" s="3" t="s">
        <v>555</v>
      </c>
      <c r="B34" s="3" t="s">
        <v>473</v>
      </c>
      <c r="C34" s="3" t="s">
        <v>222</v>
      </c>
      <c r="D34" s="12" t="n">
        <f aca="false">SUMIFS($O$2:$O$978,$K$2:$K$978,$A34,$L$2:$L$978,$B34,$M$2:$M$978,$C34)</f>
        <v>1</v>
      </c>
      <c r="E34" s="4" t="str">
        <f aca="false">IF(SUMIFS($Q$2:$Q$978,$L$2:$L$978,$B34)&gt;1,"Yes -- also friction/need/workaround in "&amp;(SUMIFS($Q$2:$Q$978,$L$2:$L$978,$B34)-1)&amp;" other stage(s); see Section 3","No -- stage-specific in this dataset")</f>
        <v>Yes -- also friction/need/workaround in 4 other stage(s); see Section 3</v>
      </c>
      <c r="F34" s="4" t="s">
        <v>251</v>
      </c>
      <c r="G34" s="4" t="s">
        <v>2056</v>
      </c>
      <c r="H34" s="4" t="s">
        <v>751</v>
      </c>
      <c r="J34" s="1" t="str">
        <f aca="false">'Raw Atomic Data (Pro)'!A34</f>
        <v>Becky</v>
      </c>
      <c r="K34" s="1" t="str">
        <f aca="false">'Raw Atomic Data (Pro)'!C34</f>
        <v>Context and provider model</v>
      </c>
      <c r="L34" s="1" t="str">
        <f aca="false">'Raw Atomic Data (Pro)'!D34</f>
        <v>business-model-fit</v>
      </c>
      <c r="M34" s="1" t="str">
        <f aca="false">'Raw Atomic Data (Pro)'!E34</f>
        <v>fact</v>
      </c>
      <c r="N34" s="1" t="n">
        <f aca="false">IF(OR(M34="friction",M34="need",M34="workaround"),1,0)</f>
        <v>0</v>
      </c>
      <c r="O34" s="1" t="n">
        <f aca="false">IF(COUNTIFS($K$2:K34,K34,$L$2:L34,L34,$M$2:M34,M34,$J$2:J34,J34)=1,1,0)</f>
        <v>1</v>
      </c>
      <c r="P34" s="1" t="n">
        <f aca="false">IF(AND(N34=1,S34=1,COUNTIFS($L$2:L34,L34,$J$2:J34,J34,$N$2:N34,1,$S$2:S34,1)=1),1,0)</f>
        <v>0</v>
      </c>
      <c r="Q34" s="1" t="n">
        <f aca="false">IF(AND(N34=1,S34=1,COUNTIFS($L$2:L34,L34,$K$2:K34,K34,$N$2:N34,1,$S$2:S34,1)=1),1,0)</f>
        <v>0</v>
      </c>
      <c r="R34" s="1" t="n">
        <f aca="false">IF(AND(N34=1,COUNTIFS($K$2:K34,K34,$L$2:L34,L34,$J$2:J34,J34,$N$2:N34,1)=1),1,0)</f>
        <v>0</v>
      </c>
      <c r="S34" s="1" t="n">
        <f aca="false">IF(AND(K34&lt;&gt;"Context and provider model",K34&lt;&gt;"Motivation"),1,0)</f>
        <v>0</v>
      </c>
    </row>
    <row r="35" customFormat="false" ht="90.75" hidden="false" customHeight="true" outlineLevel="0" collapsed="false">
      <c r="A35" s="3" t="s">
        <v>756</v>
      </c>
      <c r="B35" s="3" t="s">
        <v>757</v>
      </c>
      <c r="C35" s="3" t="s">
        <v>96</v>
      </c>
      <c r="D35" s="12" t="n">
        <f aca="false">SUMIFS($O$2:$O$978,$K$2:$K$978,$A35,$L$2:$L$978,$B35,$M$2:$M$978,$C35)</f>
        <v>5</v>
      </c>
      <c r="E35" s="4" t="str">
        <f aca="false">IF(SUMIFS($Q$2:$Q$978,$L$2:$L$978,$B35)&gt;1,"Yes -- also friction/need/workaround in "&amp;(SUMIFS($Q$2:$Q$978,$L$2:$L$978,$B35)-1)&amp;" other stage(s); see Section 3","No -- stage-specific in this dataset")</f>
        <v>Yes -- also friction/need/workaround in 1 other stage(s); see Section 3</v>
      </c>
      <c r="F35" s="4" t="s">
        <v>2008</v>
      </c>
      <c r="G35" s="4" t="s">
        <v>2009</v>
      </c>
      <c r="H35" s="4" t="s">
        <v>805</v>
      </c>
      <c r="J35" s="1" t="str">
        <f aca="false">'Raw Atomic Data (Pro)'!A35</f>
        <v>Becky</v>
      </c>
      <c r="K35" s="1" t="str">
        <f aca="false">'Raw Atomic Data (Pro)'!C35</f>
        <v>Context and provider model</v>
      </c>
      <c r="L35" s="1" t="str">
        <f aca="false">'Raw Atomic Data (Pro)'!D35</f>
        <v>motivation-emotional-connection</v>
      </c>
      <c r="M35" s="1" t="str">
        <f aca="false">'Raw Atomic Data (Pro)'!E35</f>
        <v>value-statement</v>
      </c>
      <c r="N35" s="1" t="n">
        <f aca="false">IF(OR(M35="friction",M35="need",M35="workaround"),1,0)</f>
        <v>0</v>
      </c>
      <c r="O35" s="1" t="n">
        <f aca="false">IF(COUNTIFS($K$2:K35,K35,$L$2:L35,L35,$M$2:M35,M35,$J$2:J35,J35)=1,1,0)</f>
        <v>1</v>
      </c>
      <c r="P35" s="1" t="n">
        <f aca="false">IF(AND(N35=1,S35=1,COUNTIFS($L$2:L35,L35,$J$2:J35,J35,$N$2:N35,1,$S$2:S35,1)=1),1,0)</f>
        <v>0</v>
      </c>
      <c r="Q35" s="1" t="n">
        <f aca="false">IF(AND(N35=1,S35=1,COUNTIFS($L$2:L35,L35,$K$2:K35,K35,$N$2:N35,1,$S$2:S35,1)=1),1,0)</f>
        <v>0</v>
      </c>
      <c r="R35" s="1" t="n">
        <f aca="false">IF(AND(N35=1,COUNTIFS($K$2:K35,K35,$L$2:L35,L35,$J$2:J35,J35,$N$2:N35,1)=1),1,0)</f>
        <v>0</v>
      </c>
      <c r="S35" s="1" t="n">
        <f aca="false">IF(AND(K35&lt;&gt;"Context and provider model",K35&lt;&gt;"Motivation"),1,0)</f>
        <v>0</v>
      </c>
    </row>
    <row r="36" customFormat="false" ht="57" hidden="false" customHeight="true" outlineLevel="0" collapsed="false">
      <c r="A36" s="3" t="s">
        <v>756</v>
      </c>
      <c r="B36" s="3" t="s">
        <v>486</v>
      </c>
      <c r="C36" s="3" t="s">
        <v>96</v>
      </c>
      <c r="D36" s="12" t="n">
        <f aca="false">SUMIFS($O$2:$O$978,$K$2:$K$978,$A36,$L$2:$L$978,$B36,$M$2:$M$978,$C36)</f>
        <v>2</v>
      </c>
      <c r="E36" s="4" t="str">
        <f aca="false">IF(SUMIFS($Q$2:$Q$978,$L$2:$L$978,$B36)&gt;1,"Yes -- also friction/need/workaround in "&amp;(SUMIFS($Q$2:$Q$978,$L$2:$L$978,$B36)-1)&amp;" other stage(s); see Section 3","No -- stage-specific in this dataset")</f>
        <v>Yes -- also friction/need/workaround in 2 other stage(s); see Section 3</v>
      </c>
      <c r="F36" s="4" t="s">
        <v>2057</v>
      </c>
      <c r="G36" s="4" t="s">
        <v>2058</v>
      </c>
      <c r="H36" s="4" t="s">
        <v>767</v>
      </c>
      <c r="J36" s="1" t="str">
        <f aca="false">'Raw Atomic Data (Pro)'!A36</f>
        <v>Becky</v>
      </c>
      <c r="K36" s="1" t="str">
        <f aca="false">'Raw Atomic Data (Pro)'!C36</f>
        <v>Context and provider model</v>
      </c>
      <c r="L36" s="1" t="str">
        <f aca="false">'Raw Atomic Data (Pro)'!D36</f>
        <v>provider-background</v>
      </c>
      <c r="M36" s="1" t="str">
        <f aca="false">'Raw Atomic Data (Pro)'!E36</f>
        <v>fact</v>
      </c>
      <c r="N36" s="1" t="n">
        <f aca="false">IF(OR(M36="friction",M36="need",M36="workaround"),1,0)</f>
        <v>0</v>
      </c>
      <c r="O36" s="1" t="n">
        <f aca="false">IF(COUNTIFS($K$2:K36,K36,$L$2:L36,L36,$M$2:M36,M36,$J$2:J36,J36)=1,1,0)</f>
        <v>0</v>
      </c>
      <c r="P36" s="1" t="n">
        <f aca="false">IF(AND(N36=1,S36=1,COUNTIFS($L$2:L36,L36,$J$2:J36,J36,$N$2:N36,1,$S$2:S36,1)=1),1,0)</f>
        <v>0</v>
      </c>
      <c r="Q36" s="1" t="n">
        <f aca="false">IF(AND(N36=1,S36=1,COUNTIFS($L$2:L36,L36,$K$2:K36,K36,$N$2:N36,1,$S$2:S36,1)=1),1,0)</f>
        <v>0</v>
      </c>
      <c r="R36" s="1" t="n">
        <f aca="false">IF(AND(N36=1,COUNTIFS($K$2:K36,K36,$L$2:L36,L36,$J$2:J36,J36,$N$2:N36,1)=1),1,0)</f>
        <v>0</v>
      </c>
      <c r="S36" s="1" t="n">
        <f aca="false">IF(AND(K36&lt;&gt;"Context and provider model",K36&lt;&gt;"Motivation"),1,0)</f>
        <v>0</v>
      </c>
    </row>
    <row r="37" customFormat="false" ht="57" hidden="false" customHeight="true" outlineLevel="0" collapsed="false">
      <c r="A37" s="3" t="s">
        <v>756</v>
      </c>
      <c r="B37" s="3" t="s">
        <v>556</v>
      </c>
      <c r="C37" s="3" t="s">
        <v>96</v>
      </c>
      <c r="D37" s="12" t="n">
        <f aca="false">SUMIFS($O$2:$O$978,$K$2:$K$978,$A37,$L$2:$L$978,$B37,$M$2:$M$978,$C37)</f>
        <v>2</v>
      </c>
      <c r="E37" s="4" t="str">
        <f aca="false">IF(SUMIFS($Q$2:$Q$978,$L$2:$L$978,$B37)&gt;1,"Yes -- also friction/need/workaround in "&amp;(SUMIFS($Q$2:$Q$978,$L$2:$L$978,$B37)-1)&amp;" other stage(s); see Section 3","No -- stage-specific in this dataset")</f>
        <v>Yes -- also friction/need/workaround in 2 other stage(s); see Section 3</v>
      </c>
      <c r="F37" s="4" t="s">
        <v>2061</v>
      </c>
      <c r="G37" s="4" t="s">
        <v>2063</v>
      </c>
      <c r="H37" s="4" t="s">
        <v>898</v>
      </c>
      <c r="J37" s="1" t="str">
        <f aca="false">'Raw Atomic Data (Pro)'!A37</f>
        <v>Becky</v>
      </c>
      <c r="K37" s="1" t="str">
        <f aca="false">'Raw Atomic Data (Pro)'!C37</f>
        <v>Context and provider model</v>
      </c>
      <c r="L37" s="1" t="str">
        <f aca="false">'Raw Atomic Data (Pro)'!D37</f>
        <v>business-model-fit</v>
      </c>
      <c r="M37" s="1" t="str">
        <f aca="false">'Raw Atomic Data (Pro)'!E37</f>
        <v>fact</v>
      </c>
      <c r="N37" s="1" t="n">
        <f aca="false">IF(OR(M37="friction",M37="need",M37="workaround"),1,0)</f>
        <v>0</v>
      </c>
      <c r="O37" s="1" t="n">
        <f aca="false">IF(COUNTIFS($K$2:K37,K37,$L$2:L37,L37,$M$2:M37,M37,$J$2:J37,J37)=1,1,0)</f>
        <v>0</v>
      </c>
      <c r="P37" s="1" t="n">
        <f aca="false">IF(AND(N37=1,S37=1,COUNTIFS($L$2:L37,L37,$J$2:J37,J37,$N$2:N37,1,$S$2:S37,1)=1),1,0)</f>
        <v>0</v>
      </c>
      <c r="Q37" s="1" t="n">
        <f aca="false">IF(AND(N37=1,S37=1,COUNTIFS($L$2:L37,L37,$K$2:K37,K37,$N$2:N37,1,$S$2:S37,1)=1),1,0)</f>
        <v>0</v>
      </c>
      <c r="R37" s="1" t="n">
        <f aca="false">IF(AND(N37=1,COUNTIFS($K$2:K37,K37,$L$2:L37,L37,$J$2:J37,J37,$N$2:N37,1)=1),1,0)</f>
        <v>0</v>
      </c>
      <c r="S37" s="1" t="n">
        <f aca="false">IF(AND(K37&lt;&gt;"Context and provider model",K37&lt;&gt;"Motivation"),1,0)</f>
        <v>0</v>
      </c>
    </row>
    <row r="38" customFormat="false" ht="68.25" hidden="false" customHeight="true" outlineLevel="0" collapsed="false">
      <c r="A38" s="3" t="s">
        <v>756</v>
      </c>
      <c r="B38" s="3" t="s">
        <v>816</v>
      </c>
      <c r="C38" s="3" t="s">
        <v>96</v>
      </c>
      <c r="D38" s="12" t="n">
        <f aca="false">SUMIFS($O$2:$O$978,$K$2:$K$978,$A38,$L$2:$L$978,$B38,$M$2:$M$978,$C38)</f>
        <v>1</v>
      </c>
      <c r="E38" s="4" t="str">
        <f aca="false">IF(SUMIFS($Q$2:$Q$978,$L$2:$L$978,$B38)&gt;1,"Yes -- also friction/need/workaround in "&amp;(SUMIFS($Q$2:$Q$978,$L$2:$L$978,$B38)-1)&amp;" other stage(s); see Section 3","No -- stage-specific in this dataset")</f>
        <v>Yes -- also friction/need/workaround in 2 other stage(s); see Section 3</v>
      </c>
      <c r="F38" s="4" t="s">
        <v>72</v>
      </c>
      <c r="G38" s="4" t="s">
        <v>2060</v>
      </c>
      <c r="H38" s="4" t="s">
        <v>818</v>
      </c>
      <c r="J38" s="1" t="str">
        <f aca="false">'Raw Atomic Data (Pro)'!A38</f>
        <v>Becky</v>
      </c>
      <c r="K38" s="1" t="str">
        <f aca="false">'Raw Atomic Data (Pro)'!C38</f>
        <v>Context and provider model</v>
      </c>
      <c r="L38" s="1" t="str">
        <f aca="false">'Raw Atomic Data (Pro)'!D38</f>
        <v>business-model-fit</v>
      </c>
      <c r="M38" s="1" t="str">
        <f aca="false">'Raw Atomic Data (Pro)'!E38</f>
        <v>fact</v>
      </c>
      <c r="N38" s="1" t="n">
        <f aca="false">IF(OR(M38="friction",M38="need",M38="workaround"),1,0)</f>
        <v>0</v>
      </c>
      <c r="O38" s="1" t="n">
        <f aca="false">IF(COUNTIFS($K$2:K38,K38,$L$2:L38,L38,$M$2:M38,M38,$J$2:J38,J38)=1,1,0)</f>
        <v>0</v>
      </c>
      <c r="P38" s="1" t="n">
        <f aca="false">IF(AND(N38=1,S38=1,COUNTIFS($L$2:L38,L38,$J$2:J38,J38,$N$2:N38,1,$S$2:S38,1)=1),1,0)</f>
        <v>0</v>
      </c>
      <c r="Q38" s="1" t="n">
        <f aca="false">IF(AND(N38=1,S38=1,COUNTIFS($L$2:L38,L38,$K$2:K38,K38,$N$2:N38,1,$S$2:S38,1)=1),1,0)</f>
        <v>0</v>
      </c>
      <c r="R38" s="1" t="n">
        <f aca="false">IF(AND(N38=1,COUNTIFS($K$2:K38,K38,$L$2:L38,L38,$J$2:J38,J38,$N$2:N38,1)=1),1,0)</f>
        <v>0</v>
      </c>
      <c r="S38" s="1" t="n">
        <f aca="false">IF(AND(K38&lt;&gt;"Context and provider model",K38&lt;&gt;"Motivation"),1,0)</f>
        <v>0</v>
      </c>
    </row>
    <row r="39" customFormat="false" ht="57" hidden="false" customHeight="true" outlineLevel="0" collapsed="false">
      <c r="A39" s="3" t="s">
        <v>756</v>
      </c>
      <c r="B39" s="3" t="s">
        <v>757</v>
      </c>
      <c r="C39" s="3" t="s">
        <v>59</v>
      </c>
      <c r="D39" s="12" t="n">
        <f aca="false">SUMIFS($O$2:$O$978,$K$2:$K$978,$A39,$L$2:$L$978,$B39,$M$2:$M$978,$C39)</f>
        <v>7</v>
      </c>
      <c r="E39" s="4" t="str">
        <f aca="false">IF(SUMIFS($Q$2:$Q$978,$L$2:$L$978,$B39)&gt;1,"Yes -- also friction/need/workaround in "&amp;(SUMIFS($Q$2:$Q$978,$L$2:$L$978,$B39)-1)&amp;" other stage(s); see Section 3","No -- stage-specific in this dataset")</f>
        <v>Yes -- also friction/need/workaround in 1 other stage(s); see Section 3</v>
      </c>
      <c r="F39" s="4" t="s">
        <v>2004</v>
      </c>
      <c r="G39" s="4" t="s">
        <v>2005</v>
      </c>
      <c r="H39" s="4" t="s">
        <v>763</v>
      </c>
      <c r="J39" s="1" t="str">
        <f aca="false">'Raw Atomic Data (Pro)'!A39</f>
        <v>Becky</v>
      </c>
      <c r="K39" s="1" t="str">
        <f aca="false">'Raw Atomic Data (Pro)'!C39</f>
        <v>Context and provider model</v>
      </c>
      <c r="L39" s="1" t="str">
        <f aca="false">'Raw Atomic Data (Pro)'!D39</f>
        <v>business-model-fit</v>
      </c>
      <c r="M39" s="1" t="str">
        <f aca="false">'Raw Atomic Data (Pro)'!E39</f>
        <v>friction</v>
      </c>
      <c r="N39" s="1" t="n">
        <f aca="false">IF(OR(M39="friction",M39="need",M39="workaround"),1,0)</f>
        <v>1</v>
      </c>
      <c r="O39" s="1" t="n">
        <f aca="false">IF(COUNTIFS($K$2:K39,K39,$L$2:L39,L39,$M$2:M39,M39,$J$2:J39,J39)=1,1,0)</f>
        <v>1</v>
      </c>
      <c r="P39" s="1" t="n">
        <f aca="false">IF(AND(N39=1,S39=1,COUNTIFS($L$2:L39,L39,$J$2:J39,J39,$N$2:N39,1,$S$2:S39,1)=1),1,0)</f>
        <v>0</v>
      </c>
      <c r="Q39" s="1" t="n">
        <f aca="false">IF(AND(N39=1,S39=1,COUNTIFS($L$2:L39,L39,$K$2:K39,K39,$N$2:N39,1,$S$2:S39,1)=1),1,0)</f>
        <v>0</v>
      </c>
      <c r="R39" s="1" t="n">
        <f aca="false">IF(AND(N39=1,COUNTIFS($K$2:K39,K39,$L$2:L39,L39,$J$2:J39,J39,$N$2:N39,1)=1),1,0)</f>
        <v>1</v>
      </c>
      <c r="S39" s="1" t="n">
        <f aca="false">IF(AND(K39&lt;&gt;"Context and provider model",K39&lt;&gt;"Motivation"),1,0)</f>
        <v>0</v>
      </c>
    </row>
    <row r="40" customFormat="false" ht="68.25" hidden="false" customHeight="true" outlineLevel="0" collapsed="false">
      <c r="A40" s="3" t="s">
        <v>756</v>
      </c>
      <c r="B40" s="3" t="s">
        <v>556</v>
      </c>
      <c r="C40" s="3" t="s">
        <v>59</v>
      </c>
      <c r="D40" s="12" t="n">
        <f aca="false">SUMIFS($O$2:$O$978,$K$2:$K$978,$A40,$L$2:$L$978,$B40,$M$2:$M$978,$C40)</f>
        <v>2</v>
      </c>
      <c r="E40" s="4" t="str">
        <f aca="false">IF(SUMIFS($Q$2:$Q$978,$L$2:$L$978,$B40)&gt;1,"Yes -- also friction/need/workaround in "&amp;(SUMIFS($Q$2:$Q$978,$L$2:$L$978,$B40)-1)&amp;" other stage(s); see Section 3","No -- stage-specific in this dataset")</f>
        <v>Yes -- also friction/need/workaround in 2 other stage(s); see Section 3</v>
      </c>
      <c r="F40" s="4" t="s">
        <v>2061</v>
      </c>
      <c r="G40" s="4" t="s">
        <v>2062</v>
      </c>
      <c r="H40" s="4" t="s">
        <v>896</v>
      </c>
      <c r="J40" s="1" t="str">
        <f aca="false">'Raw Atomic Data (Pro)'!A40</f>
        <v>Bruna</v>
      </c>
      <c r="K40" s="1" t="str">
        <f aca="false">'Raw Atomic Data (Pro)'!C40</f>
        <v>Context and provider model</v>
      </c>
      <c r="L40" s="1" t="str">
        <f aca="false">'Raw Atomic Data (Pro)'!D40</f>
        <v>provider-background</v>
      </c>
      <c r="M40" s="1" t="str">
        <f aca="false">'Raw Atomic Data (Pro)'!E40</f>
        <v>fact</v>
      </c>
      <c r="N40" s="1" t="n">
        <f aca="false">IF(OR(M40="friction",M40="need",M40="workaround"),1,0)</f>
        <v>0</v>
      </c>
      <c r="O40" s="1" t="n">
        <f aca="false">IF(COUNTIFS($K$2:K40,K40,$L$2:L40,L40,$M$2:M40,M40,$J$2:J40,J40)=1,1,0)</f>
        <v>1</v>
      </c>
      <c r="P40" s="1" t="n">
        <f aca="false">IF(AND(N40=1,S40=1,COUNTIFS($L$2:L40,L40,$J$2:J40,J40,$N$2:N40,1,$S$2:S40,1)=1),1,0)</f>
        <v>0</v>
      </c>
      <c r="Q40" s="1" t="n">
        <f aca="false">IF(AND(N40=1,S40=1,COUNTIFS($L$2:L40,L40,$K$2:K40,K40,$N$2:N40,1,$S$2:S40,1)=1),1,0)</f>
        <v>0</v>
      </c>
      <c r="R40" s="1" t="n">
        <f aca="false">IF(AND(N40=1,COUNTIFS($K$2:K40,K40,$L$2:L40,L40,$J$2:J40,J40,$N$2:N40,1)=1),1,0)</f>
        <v>0</v>
      </c>
      <c r="S40" s="1" t="n">
        <f aca="false">IF(AND(K40&lt;&gt;"Context and provider model",K40&lt;&gt;"Motivation"),1,0)</f>
        <v>0</v>
      </c>
    </row>
    <row r="41" customFormat="false" ht="45.75" hidden="false" customHeight="true" outlineLevel="0" collapsed="false">
      <c r="A41" s="3" t="s">
        <v>756</v>
      </c>
      <c r="B41" s="3" t="s">
        <v>486</v>
      </c>
      <c r="C41" s="3" t="s">
        <v>59</v>
      </c>
      <c r="D41" s="12" t="n">
        <f aca="false">SUMIFS($O$2:$O$978,$K$2:$K$978,$A41,$L$2:$L$978,$B41,$M$2:$M$978,$C41)</f>
        <v>1</v>
      </c>
      <c r="E41" s="4" t="str">
        <f aca="false">IF(SUMIFS($Q$2:$Q$978,$L$2:$L$978,$B41)&gt;1,"Yes -- also friction/need/workaround in "&amp;(SUMIFS($Q$2:$Q$978,$L$2:$L$978,$B41)-1)&amp;" other stage(s); see Section 3","No -- stage-specific in this dataset")</f>
        <v>Yes -- also friction/need/workaround in 2 other stage(s); see Section 3</v>
      </c>
      <c r="F41" s="4" t="s">
        <v>32</v>
      </c>
      <c r="G41" s="4" t="s">
        <v>2089</v>
      </c>
      <c r="H41" s="4" t="s">
        <v>769</v>
      </c>
      <c r="J41" s="1" t="str">
        <f aca="false">'Raw Atomic Data (Pro)'!A41</f>
        <v>Bruna</v>
      </c>
      <c r="K41" s="1" t="str">
        <f aca="false">'Raw Atomic Data (Pro)'!C41</f>
        <v>Context and provider model</v>
      </c>
      <c r="L41" s="1" t="str">
        <f aca="false">'Raw Atomic Data (Pro)'!D41</f>
        <v>provider-background</v>
      </c>
      <c r="M41" s="1" t="str">
        <f aca="false">'Raw Atomic Data (Pro)'!E41</f>
        <v>fact</v>
      </c>
      <c r="N41" s="1" t="n">
        <f aca="false">IF(OR(M41="friction",M41="need",M41="workaround"),1,0)</f>
        <v>0</v>
      </c>
      <c r="O41" s="1" t="n">
        <f aca="false">IF(COUNTIFS($K$2:K41,K41,$L$2:L41,L41,$M$2:M41,M41,$J$2:J41,J41)=1,1,0)</f>
        <v>0</v>
      </c>
      <c r="P41" s="1" t="n">
        <f aca="false">IF(AND(N41=1,S41=1,COUNTIFS($L$2:L41,L41,$J$2:J41,J41,$N$2:N41,1,$S$2:S41,1)=1),1,0)</f>
        <v>0</v>
      </c>
      <c r="Q41" s="1" t="n">
        <f aca="false">IF(AND(N41=1,S41=1,COUNTIFS($L$2:L41,L41,$K$2:K41,K41,$N$2:N41,1,$S$2:S41,1)=1),1,0)</f>
        <v>0</v>
      </c>
      <c r="R41" s="1" t="n">
        <f aca="false">IF(AND(N41=1,COUNTIFS($K$2:K41,K41,$L$2:L41,L41,$J$2:J41,J41,$N$2:N41,1)=1),1,0)</f>
        <v>0</v>
      </c>
      <c r="S41" s="1" t="n">
        <f aca="false">IF(AND(K41&lt;&gt;"Context and provider model",K41&lt;&gt;"Motivation"),1,0)</f>
        <v>0</v>
      </c>
    </row>
    <row r="42" customFormat="false" ht="34.5" hidden="false" customHeight="true" outlineLevel="0" collapsed="false">
      <c r="A42" s="3" t="s">
        <v>756</v>
      </c>
      <c r="B42" s="3" t="s">
        <v>757</v>
      </c>
      <c r="C42" s="3" t="s">
        <v>222</v>
      </c>
      <c r="D42" s="12" t="n">
        <f aca="false">SUMIFS($O$2:$O$978,$K$2:$K$978,$A42,$L$2:$L$978,$B42,$M$2:$M$978,$C42)</f>
        <v>6</v>
      </c>
      <c r="E42" s="4" t="str">
        <f aca="false">IF(SUMIFS($Q$2:$Q$978,$L$2:$L$978,$B42)&gt;1,"Yes -- also friction/need/workaround in "&amp;(SUMIFS($Q$2:$Q$978,$L$2:$L$978,$B42)-1)&amp;" other stage(s); see Section 3","No -- stage-specific in this dataset")</f>
        <v>Yes -- also friction/need/workaround in 1 other stage(s); see Section 3</v>
      </c>
      <c r="F42" s="4" t="s">
        <v>2006</v>
      </c>
      <c r="G42" s="4" t="s">
        <v>2007</v>
      </c>
      <c r="H42" s="4" t="s">
        <v>785</v>
      </c>
      <c r="J42" s="1" t="str">
        <f aca="false">'Raw Atomic Data (Pro)'!A42</f>
        <v>Bruna</v>
      </c>
      <c r="K42" s="1" t="str">
        <f aca="false">'Raw Atomic Data (Pro)'!C42</f>
        <v>Context and provider model</v>
      </c>
      <c r="L42" s="1" t="str">
        <f aca="false">'Raw Atomic Data (Pro)'!D42</f>
        <v>provider-background</v>
      </c>
      <c r="M42" s="1" t="str">
        <f aca="false">'Raw Atomic Data (Pro)'!E42</f>
        <v>fact</v>
      </c>
      <c r="N42" s="1" t="n">
        <f aca="false">IF(OR(M42="friction",M42="need",M42="workaround"),1,0)</f>
        <v>0</v>
      </c>
      <c r="O42" s="1" t="n">
        <f aca="false">IF(COUNTIFS($K$2:K42,K42,$L$2:L42,L42,$M$2:M42,M42,$J$2:J42,J42)=1,1,0)</f>
        <v>0</v>
      </c>
      <c r="P42" s="1" t="n">
        <f aca="false">IF(AND(N42=1,S42=1,COUNTIFS($L$2:L42,L42,$J$2:J42,J42,$N$2:N42,1,$S$2:S42,1)=1),1,0)</f>
        <v>0</v>
      </c>
      <c r="Q42" s="1" t="n">
        <f aca="false">IF(AND(N42=1,S42=1,COUNTIFS($L$2:L42,L42,$K$2:K42,K42,$N$2:N42,1,$S$2:S42,1)=1),1,0)</f>
        <v>0</v>
      </c>
      <c r="R42" s="1" t="n">
        <f aca="false">IF(AND(N42=1,COUNTIFS($K$2:K42,K42,$L$2:L42,L42,$J$2:J42,J42,$N$2:N42,1)=1),1,0)</f>
        <v>0</v>
      </c>
      <c r="S42" s="1" t="n">
        <f aca="false">IF(AND(K42&lt;&gt;"Context and provider model",K42&lt;&gt;"Motivation"),1,0)</f>
        <v>0</v>
      </c>
    </row>
    <row r="43" customFormat="false" ht="34.5" hidden="false" customHeight="true" outlineLevel="0" collapsed="false">
      <c r="A43" s="3" t="s">
        <v>756</v>
      </c>
      <c r="B43" s="3" t="s">
        <v>431</v>
      </c>
      <c r="C43" s="3" t="s">
        <v>222</v>
      </c>
      <c r="D43" s="12" t="n">
        <f aca="false">SUMIFS($O$2:$O$978,$K$2:$K$978,$A43,$L$2:$L$978,$B43,$M$2:$M$978,$C43)</f>
        <v>1</v>
      </c>
      <c r="E43" s="4" t="str">
        <f aca="false">IF(SUMIFS($Q$2:$Q$978,$L$2:$L$978,$B43)&gt;1,"Yes -- also friction/need/workaround in "&amp;(SUMIFS($Q$2:$Q$978,$L$2:$L$978,$B43)-1)&amp;" other stage(s); see Section 3","No -- stage-specific in this dataset")</f>
        <v>Yes -- also friction/need/workaround in 2 other stage(s); see Section 3</v>
      </c>
      <c r="F43" s="4" t="s">
        <v>227</v>
      </c>
      <c r="G43" s="4" t="s">
        <v>2216</v>
      </c>
      <c r="H43" s="4" t="s">
        <v>888</v>
      </c>
      <c r="J43" s="1" t="str">
        <f aca="false">'Raw Atomic Data (Pro)'!A43</f>
        <v>Bruna</v>
      </c>
      <c r="K43" s="1" t="str">
        <f aca="false">'Raw Atomic Data (Pro)'!C43</f>
        <v>Context and provider model</v>
      </c>
      <c r="L43" s="1" t="str">
        <f aca="false">'Raw Atomic Data (Pro)'!D43</f>
        <v>provider-background</v>
      </c>
      <c r="M43" s="1" t="str">
        <f aca="false">'Raw Atomic Data (Pro)'!E43</f>
        <v>fact</v>
      </c>
      <c r="N43" s="1" t="n">
        <f aca="false">IF(OR(M43="friction",M43="need",M43="workaround"),1,0)</f>
        <v>0</v>
      </c>
      <c r="O43" s="1" t="n">
        <f aca="false">IF(COUNTIFS($K$2:K43,K43,$L$2:L43,L43,$M$2:M43,M43,$J$2:J43,J43)=1,1,0)</f>
        <v>0</v>
      </c>
      <c r="P43" s="1" t="n">
        <f aca="false">IF(AND(N43=1,S43=1,COUNTIFS($L$2:L43,L43,$J$2:J43,J43,$N$2:N43,1,$S$2:S43,1)=1),1,0)</f>
        <v>0</v>
      </c>
      <c r="Q43" s="1" t="n">
        <f aca="false">IF(AND(N43=1,S43=1,COUNTIFS($L$2:L43,L43,$K$2:K43,K43,$N$2:N43,1,$S$2:S43,1)=1),1,0)</f>
        <v>0</v>
      </c>
      <c r="R43" s="1" t="n">
        <f aca="false">IF(AND(N43=1,COUNTIFS($K$2:K43,K43,$L$2:L43,L43,$J$2:J43,J43,$N$2:N43,1)=1),1,0)</f>
        <v>0</v>
      </c>
      <c r="S43" s="1" t="n">
        <f aca="false">IF(AND(K43&lt;&gt;"Context and provider model",K43&lt;&gt;"Motivation"),1,0)</f>
        <v>0</v>
      </c>
    </row>
    <row r="44" customFormat="false" ht="68.25" hidden="false" customHeight="true" outlineLevel="0" collapsed="false">
      <c r="A44" s="3" t="s">
        <v>911</v>
      </c>
      <c r="B44" s="3" t="s">
        <v>444</v>
      </c>
      <c r="C44" s="3" t="s">
        <v>96</v>
      </c>
      <c r="D44" s="12" t="n">
        <f aca="false">SUMIFS($O$2:$O$978,$K$2:$K$978,$A44,$L$2:$L$978,$B44,$M$2:$M$978,$C44)</f>
        <v>2</v>
      </c>
      <c r="E44" s="4" t="str">
        <f aca="false">IF(SUMIFS($Q$2:$Q$978,$L$2:$L$978,$B44)&gt;1,"Yes -- also friction/need/workaround in "&amp;(SUMIFS($Q$2:$Q$978,$L$2:$L$978,$B44)-1)&amp;" other stage(s); see Section 3","No -- stage-specific in this dataset")</f>
        <v>Yes -- also friction/need/workaround in 2 other stage(s); see Section 3</v>
      </c>
      <c r="F44" s="4" t="s">
        <v>2064</v>
      </c>
      <c r="G44" s="4" t="s">
        <v>2065</v>
      </c>
      <c r="H44" s="4" t="s">
        <v>923</v>
      </c>
      <c r="J44" s="1" t="str">
        <f aca="false">'Raw Atomic Data (Pro)'!A44</f>
        <v>Bruna</v>
      </c>
      <c r="K44" s="1" t="str">
        <f aca="false">'Raw Atomic Data (Pro)'!C44</f>
        <v>Context and provider model</v>
      </c>
      <c r="L44" s="1" t="str">
        <f aca="false">'Raw Atomic Data (Pro)'!D44</f>
        <v>capacity-multi-pet-management</v>
      </c>
      <c r="M44" s="1" t="str">
        <f aca="false">'Raw Atomic Data (Pro)'!E44</f>
        <v>fact</v>
      </c>
      <c r="N44" s="1" t="n">
        <f aca="false">IF(OR(M44="friction",M44="need",M44="workaround"),1,0)</f>
        <v>0</v>
      </c>
      <c r="O44" s="1" t="n">
        <f aca="false">IF(COUNTIFS($K$2:K44,K44,$L$2:L44,L44,$M$2:M44,M44,$J$2:J44,J44)=1,1,0)</f>
        <v>1</v>
      </c>
      <c r="P44" s="1" t="n">
        <f aca="false">IF(AND(N44=1,S44=1,COUNTIFS($L$2:L44,L44,$J$2:J44,J44,$N$2:N44,1,$S$2:S44,1)=1),1,0)</f>
        <v>0</v>
      </c>
      <c r="Q44" s="1" t="n">
        <f aca="false">IF(AND(N44=1,S44=1,COUNTIFS($L$2:L44,L44,$K$2:K44,K44,$N$2:N44,1,$S$2:S44,1)=1),1,0)</f>
        <v>0</v>
      </c>
      <c r="R44" s="1" t="n">
        <f aca="false">IF(AND(N44=1,COUNTIFS($K$2:K44,K44,$L$2:L44,L44,$J$2:J44,J44,$N$2:N44,1)=1),1,0)</f>
        <v>0</v>
      </c>
      <c r="S44" s="1" t="n">
        <f aca="false">IF(AND(K44&lt;&gt;"Context and provider model",K44&lt;&gt;"Motivation"),1,0)</f>
        <v>0</v>
      </c>
    </row>
    <row r="45" customFormat="false" ht="79.5" hidden="false" customHeight="true" outlineLevel="0" collapsed="false">
      <c r="A45" s="3" t="s">
        <v>911</v>
      </c>
      <c r="B45" s="3" t="s">
        <v>619</v>
      </c>
      <c r="C45" s="3" t="s">
        <v>96</v>
      </c>
      <c r="D45" s="12" t="n">
        <f aca="false">SUMIFS($O$2:$O$978,$K$2:$K$978,$A45,$L$2:$L$978,$B45,$M$2:$M$978,$C45)</f>
        <v>1</v>
      </c>
      <c r="E45" s="4" t="str">
        <f aca="false">IF(SUMIFS($Q$2:$Q$978,$L$2:$L$978,$B45)&gt;1,"Yes -- also friction/need/workaround in "&amp;(SUMIFS($Q$2:$Q$978,$L$2:$L$978,$B45)-1)&amp;" other stage(s); see Section 3","No -- stage-specific in this dataset")</f>
        <v>Yes -- also friction/need/workaround in 2 other stage(s); see Section 3</v>
      </c>
      <c r="F45" s="4" t="s">
        <v>8</v>
      </c>
      <c r="G45" s="4" t="s">
        <v>2217</v>
      </c>
      <c r="H45" s="4" t="s">
        <v>915</v>
      </c>
      <c r="J45" s="1" t="str">
        <f aca="false">'Raw Atomic Data (Pro)'!A45</f>
        <v>Bruna</v>
      </c>
      <c r="K45" s="1" t="str">
        <f aca="false">'Raw Atomic Data (Pro)'!C45</f>
        <v>Context and provider model</v>
      </c>
      <c r="L45" s="1" t="str">
        <f aca="false">'Raw Atomic Data (Pro)'!D45</f>
        <v>provider-background</v>
      </c>
      <c r="M45" s="1" t="str">
        <f aca="false">'Raw Atomic Data (Pro)'!E45</f>
        <v>fact</v>
      </c>
      <c r="N45" s="1" t="n">
        <f aca="false">IF(OR(M45="friction",M45="need",M45="workaround"),1,0)</f>
        <v>0</v>
      </c>
      <c r="O45" s="1" t="n">
        <f aca="false">IF(COUNTIFS($K$2:K45,K45,$L$2:L45,L45,$M$2:M45,M45,$J$2:J45,J45)=1,1,0)</f>
        <v>0</v>
      </c>
      <c r="P45" s="1" t="n">
        <f aca="false">IF(AND(N45=1,S45=1,COUNTIFS($L$2:L45,L45,$J$2:J45,J45,$N$2:N45,1,$S$2:S45,1)=1),1,0)</f>
        <v>0</v>
      </c>
      <c r="Q45" s="1" t="n">
        <f aca="false">IF(AND(N45=1,S45=1,COUNTIFS($L$2:L45,L45,$K$2:K45,K45,$N$2:N45,1,$S$2:S45,1)=1),1,0)</f>
        <v>0</v>
      </c>
      <c r="R45" s="1" t="n">
        <f aca="false">IF(AND(N45=1,COUNTIFS($K$2:K45,K45,$L$2:L45,L45,$J$2:J45,J45,$N$2:N45,1)=1),1,0)</f>
        <v>0</v>
      </c>
      <c r="S45" s="1" t="n">
        <f aca="false">IF(AND(K45&lt;&gt;"Context and provider model",K45&lt;&gt;"Motivation"),1,0)</f>
        <v>0</v>
      </c>
    </row>
    <row r="46" customFormat="false" ht="34.5" hidden="false" customHeight="true" outlineLevel="0" collapsed="false">
      <c r="A46" s="3" t="s">
        <v>911</v>
      </c>
      <c r="B46" s="3" t="s">
        <v>413</v>
      </c>
      <c r="C46" s="3" t="s">
        <v>96</v>
      </c>
      <c r="D46" s="12" t="n">
        <f aca="false">SUMIFS($O$2:$O$978,$K$2:$K$978,$A46,$L$2:$L$978,$B46,$M$2:$M$978,$C46)</f>
        <v>1</v>
      </c>
      <c r="E46" s="4" t="str">
        <f aca="false">IF(SUMIFS($Q$2:$Q$978,$L$2:$L$978,$B46)&gt;1,"Yes -- also friction/need/workaround in "&amp;(SUMIFS($Q$2:$Q$978,$L$2:$L$978,$B46)-1)&amp;" other stage(s); see Section 3","No -- stage-specific in this dataset")</f>
        <v>Yes -- also friction/need/workaround in 5 other stage(s); see Section 3</v>
      </c>
      <c r="F46" s="4" t="s">
        <v>251</v>
      </c>
      <c r="G46" s="4" t="s">
        <v>2218</v>
      </c>
      <c r="H46" s="4" t="s">
        <v>999</v>
      </c>
      <c r="J46" s="1" t="str">
        <f aca="false">'Raw Atomic Data (Pro)'!A46</f>
        <v>Bruna</v>
      </c>
      <c r="K46" s="1" t="str">
        <f aca="false">'Raw Atomic Data (Pro)'!C46</f>
        <v>Context and provider model</v>
      </c>
      <c r="L46" s="1" t="str">
        <f aca="false">'Raw Atomic Data (Pro)'!D46</f>
        <v>private-business-parallel-ops</v>
      </c>
      <c r="M46" s="1" t="str">
        <f aca="false">'Raw Atomic Data (Pro)'!E46</f>
        <v>fact</v>
      </c>
      <c r="N46" s="1" t="n">
        <f aca="false">IF(OR(M46="friction",M46="need",M46="workaround"),1,0)</f>
        <v>0</v>
      </c>
      <c r="O46" s="1" t="n">
        <f aca="false">IF(COUNTIFS($K$2:K46,K46,$L$2:L46,L46,$M$2:M46,M46,$J$2:J46,J46)=1,1,0)</f>
        <v>1</v>
      </c>
      <c r="P46" s="1" t="n">
        <f aca="false">IF(AND(N46=1,S46=1,COUNTIFS($L$2:L46,L46,$J$2:J46,J46,$N$2:N46,1,$S$2:S46,1)=1),1,0)</f>
        <v>0</v>
      </c>
      <c r="Q46" s="1" t="n">
        <f aca="false">IF(AND(N46=1,S46=1,COUNTIFS($L$2:L46,L46,$K$2:K46,K46,$N$2:N46,1,$S$2:S46,1)=1),1,0)</f>
        <v>0</v>
      </c>
      <c r="R46" s="1" t="n">
        <f aca="false">IF(AND(N46=1,COUNTIFS($K$2:K46,K46,$L$2:L46,L46,$J$2:J46,J46,$N$2:N46,1)=1),1,0)</f>
        <v>0</v>
      </c>
      <c r="S46" s="1" t="n">
        <f aca="false">IF(AND(K46&lt;&gt;"Context and provider model",K46&lt;&gt;"Motivation"),1,0)</f>
        <v>0</v>
      </c>
    </row>
    <row r="47" customFormat="false" ht="45.75" hidden="false" customHeight="true" outlineLevel="0" collapsed="false">
      <c r="A47" s="3" t="s">
        <v>911</v>
      </c>
      <c r="B47" s="3" t="s">
        <v>619</v>
      </c>
      <c r="C47" s="3" t="s">
        <v>59</v>
      </c>
      <c r="D47" s="12" t="n">
        <f aca="false">SUMIFS($O$2:$O$978,$K$2:$K$978,$A47,$L$2:$L$978,$B47,$M$2:$M$978,$C47)</f>
        <v>4</v>
      </c>
      <c r="E47" s="4" t="str">
        <f aca="false">IF(SUMIFS($Q$2:$Q$978,$L$2:$L$978,$B47)&gt;1,"Yes -- also friction/need/workaround in "&amp;(SUMIFS($Q$2:$Q$978,$L$2:$L$978,$B47)-1)&amp;" other stage(s); see Section 3","No -- stage-specific in this dataset")</f>
        <v>Yes -- also friction/need/workaround in 2 other stage(s); see Section 3</v>
      </c>
      <c r="F47" s="4" t="s">
        <v>2020</v>
      </c>
      <c r="G47" s="4" t="s">
        <v>2021</v>
      </c>
      <c r="H47" s="4" t="s">
        <v>929</v>
      </c>
      <c r="J47" s="1" t="str">
        <f aca="false">'Raw Atomic Data (Pro)'!A47</f>
        <v>Bruna</v>
      </c>
      <c r="K47" s="1" t="str">
        <f aca="false">'Raw Atomic Data (Pro)'!C47</f>
        <v>Context and provider model</v>
      </c>
      <c r="L47" s="1" t="str">
        <f aca="false">'Raw Atomic Data (Pro)'!D47</f>
        <v>business-model-fit</v>
      </c>
      <c r="M47" s="1" t="str">
        <f aca="false">'Raw Atomic Data (Pro)'!E47</f>
        <v>fact</v>
      </c>
      <c r="N47" s="1" t="n">
        <f aca="false">IF(OR(M47="friction",M47="need",M47="workaround"),1,0)</f>
        <v>0</v>
      </c>
      <c r="O47" s="1" t="n">
        <f aca="false">IF(COUNTIFS($K$2:K47,K47,$L$2:L47,L47,$M$2:M47,M47,$J$2:J47,J47)=1,1,0)</f>
        <v>1</v>
      </c>
      <c r="P47" s="1" t="n">
        <f aca="false">IF(AND(N47=1,S47=1,COUNTIFS($L$2:L47,L47,$J$2:J47,J47,$N$2:N47,1,$S$2:S47,1)=1),1,0)</f>
        <v>0</v>
      </c>
      <c r="Q47" s="1" t="n">
        <f aca="false">IF(AND(N47=1,S47=1,COUNTIFS($L$2:L47,L47,$K$2:K47,K47,$N$2:N47,1,$S$2:S47,1)=1),1,0)</f>
        <v>0</v>
      </c>
      <c r="R47" s="1" t="n">
        <f aca="false">IF(AND(N47=1,COUNTIFS($K$2:K47,K47,$L$2:L47,L47,$J$2:J47,J47,$N$2:N47,1)=1),1,0)</f>
        <v>0</v>
      </c>
      <c r="S47" s="1" t="n">
        <f aca="false">IF(AND(K47&lt;&gt;"Context and provider model",K47&lt;&gt;"Motivation"),1,0)</f>
        <v>0</v>
      </c>
    </row>
    <row r="48" customFormat="false" ht="34.5" hidden="false" customHeight="true" outlineLevel="0" collapsed="false">
      <c r="A48" s="3" t="s">
        <v>911</v>
      </c>
      <c r="B48" s="3" t="s">
        <v>444</v>
      </c>
      <c r="C48" s="3" t="s">
        <v>59</v>
      </c>
      <c r="D48" s="12" t="n">
        <f aca="false">SUMIFS($O$2:$O$978,$K$2:$K$978,$A48,$L$2:$L$978,$B48,$M$2:$M$978,$C48)</f>
        <v>1</v>
      </c>
      <c r="E48" s="4" t="str">
        <f aca="false">IF(SUMIFS($Q$2:$Q$978,$L$2:$L$978,$B48)&gt;1,"Yes -- also friction/need/workaround in "&amp;(SUMIFS($Q$2:$Q$978,$L$2:$L$978,$B48)-1)&amp;" other stage(s); see Section 3","No -- stage-specific in this dataset")</f>
        <v>Yes -- also friction/need/workaround in 2 other stage(s); see Section 3</v>
      </c>
      <c r="F48" s="4" t="s">
        <v>32</v>
      </c>
      <c r="G48" s="4" t="s">
        <v>2219</v>
      </c>
      <c r="H48" s="4" t="s">
        <v>925</v>
      </c>
      <c r="J48" s="1" t="str">
        <f aca="false">'Raw Atomic Data (Pro)'!A48</f>
        <v>Bruna</v>
      </c>
      <c r="K48" s="1" t="str">
        <f aca="false">'Raw Atomic Data (Pro)'!C48</f>
        <v>Context and provider model</v>
      </c>
      <c r="L48" s="1" t="str">
        <f aca="false">'Raw Atomic Data (Pro)'!D48</f>
        <v>payout-timing-tracking</v>
      </c>
      <c r="M48" s="1" t="str">
        <f aca="false">'Raw Atomic Data (Pro)'!E48</f>
        <v>value-statement</v>
      </c>
      <c r="N48" s="1" t="n">
        <f aca="false">IF(OR(M48="friction",M48="need",M48="workaround"),1,0)</f>
        <v>0</v>
      </c>
      <c r="O48" s="1" t="n">
        <f aca="false">IF(COUNTIFS($K$2:K48,K48,$L$2:L48,L48,$M$2:M48,M48,$J$2:J48,J48)=1,1,0)</f>
        <v>1</v>
      </c>
      <c r="P48" s="1" t="n">
        <f aca="false">IF(AND(N48=1,S48=1,COUNTIFS($L$2:L48,L48,$J$2:J48,J48,$N$2:N48,1,$S$2:S48,1)=1),1,0)</f>
        <v>0</v>
      </c>
      <c r="Q48" s="1" t="n">
        <f aca="false">IF(AND(N48=1,S48=1,COUNTIFS($L$2:L48,L48,$K$2:K48,K48,$N$2:N48,1,$S$2:S48,1)=1),1,0)</f>
        <v>0</v>
      </c>
      <c r="R48" s="1" t="n">
        <f aca="false">IF(AND(N48=1,COUNTIFS($K$2:K48,K48,$L$2:L48,L48,$J$2:J48,J48,$N$2:N48,1)=1),1,0)</f>
        <v>0</v>
      </c>
      <c r="S48" s="1" t="n">
        <f aca="false">IF(AND(K48&lt;&gt;"Context and provider model",K48&lt;&gt;"Motivation"),1,0)</f>
        <v>0</v>
      </c>
    </row>
    <row r="49" customFormat="false" ht="79.5" hidden="false" customHeight="true" outlineLevel="0" collapsed="false">
      <c r="A49" s="3" t="s">
        <v>911</v>
      </c>
      <c r="B49" s="3" t="s">
        <v>619</v>
      </c>
      <c r="C49" s="3" t="s">
        <v>222</v>
      </c>
      <c r="D49" s="12" t="n">
        <f aca="false">SUMIFS($O$2:$O$978,$K$2:$K$978,$A49,$L$2:$L$978,$B49,$M$2:$M$978,$C49)</f>
        <v>5</v>
      </c>
      <c r="E49" s="4" t="str">
        <f aca="false">IF(SUMIFS($Q$2:$Q$978,$L$2:$L$978,$B49)&gt;1,"Yes -- also friction/need/workaround in "&amp;(SUMIFS($Q$2:$Q$978,$L$2:$L$978,$B49)-1)&amp;" other stage(s); see Section 3","No -- stage-specific in this dataset")</f>
        <v>Yes -- also friction/need/workaround in 2 other stage(s); see Section 3</v>
      </c>
      <c r="F49" s="4" t="s">
        <v>2010</v>
      </c>
      <c r="G49" s="4" t="s">
        <v>2011</v>
      </c>
      <c r="H49" s="4" t="s">
        <v>913</v>
      </c>
      <c r="J49" s="1" t="str">
        <f aca="false">'Raw Atomic Data (Pro)'!A49</f>
        <v>Colin</v>
      </c>
      <c r="K49" s="1" t="str">
        <f aca="false">'Raw Atomic Data (Pro)'!C49</f>
        <v>Context and provider model</v>
      </c>
      <c r="L49" s="1" t="str">
        <f aca="false">'Raw Atomic Data (Pro)'!D49</f>
        <v>provider-background</v>
      </c>
      <c r="M49" s="1" t="str">
        <f aca="false">'Raw Atomic Data (Pro)'!E49</f>
        <v>fact</v>
      </c>
      <c r="N49" s="1" t="n">
        <f aca="false">IF(OR(M49="friction",M49="need",M49="workaround"),1,0)</f>
        <v>0</v>
      </c>
      <c r="O49" s="1" t="n">
        <f aca="false">IF(COUNTIFS($K$2:K49,K49,$L$2:L49,L49,$M$2:M49,M49,$J$2:J49,J49)=1,1,0)</f>
        <v>1</v>
      </c>
      <c r="P49" s="1" t="n">
        <f aca="false">IF(AND(N49=1,S49=1,COUNTIFS($L$2:L49,L49,$J$2:J49,J49,$N$2:N49,1,$S$2:S49,1)=1),1,0)</f>
        <v>0</v>
      </c>
      <c r="Q49" s="1" t="n">
        <f aca="false">IF(AND(N49=1,S49=1,COUNTIFS($L$2:L49,L49,$K$2:K49,K49,$N$2:N49,1,$S$2:S49,1)=1),1,0)</f>
        <v>0</v>
      </c>
      <c r="R49" s="1" t="n">
        <f aca="false">IF(AND(N49=1,COUNTIFS($K$2:K49,K49,$L$2:L49,L49,$J$2:J49,J49,$N$2:N49,1)=1),1,0)</f>
        <v>0</v>
      </c>
      <c r="S49" s="1" t="n">
        <f aca="false">IF(AND(K49&lt;&gt;"Context and provider model",K49&lt;&gt;"Motivation"),1,0)</f>
        <v>0</v>
      </c>
    </row>
    <row r="50" customFormat="false" ht="68.25" hidden="false" customHeight="true" outlineLevel="0" collapsed="false">
      <c r="A50" s="3" t="s">
        <v>911</v>
      </c>
      <c r="B50" s="3" t="s">
        <v>473</v>
      </c>
      <c r="C50" s="3" t="s">
        <v>222</v>
      </c>
      <c r="D50" s="12" t="n">
        <f aca="false">SUMIFS($O$2:$O$978,$K$2:$K$978,$A50,$L$2:$L$978,$B50,$M$2:$M$978,$C50)</f>
        <v>1</v>
      </c>
      <c r="E50" s="4" t="str">
        <f aca="false">IF(SUMIFS($Q$2:$Q$978,$L$2:$L$978,$B50)&gt;1,"Yes -- also friction/need/workaround in "&amp;(SUMIFS($Q$2:$Q$978,$L$2:$L$978,$B50)-1)&amp;" other stage(s); see Section 3","No -- stage-specific in this dataset")</f>
        <v>Yes -- also friction/need/workaround in 4 other stage(s); see Section 3</v>
      </c>
      <c r="F50" s="4" t="s">
        <v>251</v>
      </c>
      <c r="G50" s="4" t="s">
        <v>2220</v>
      </c>
      <c r="H50" s="4" t="s">
        <v>997</v>
      </c>
      <c r="J50" s="1" t="str">
        <f aca="false">'Raw Atomic Data (Pro)'!A50</f>
        <v>Colin</v>
      </c>
      <c r="K50" s="1" t="str">
        <f aca="false">'Raw Atomic Data (Pro)'!C50</f>
        <v>Context and provider model</v>
      </c>
      <c r="L50" s="1" t="str">
        <f aca="false">'Raw Atomic Data (Pro)'!D50</f>
        <v>business-model-fit</v>
      </c>
      <c r="M50" s="1" t="str">
        <f aca="false">'Raw Atomic Data (Pro)'!E50</f>
        <v>fact</v>
      </c>
      <c r="N50" s="1" t="n">
        <f aca="false">IF(OR(M50="friction",M50="need",M50="workaround"),1,0)</f>
        <v>0</v>
      </c>
      <c r="O50" s="1" t="n">
        <f aca="false">IF(COUNTIFS($K$2:K50,K50,$L$2:L50,L50,$M$2:M50,M50,$J$2:J50,J50)=1,1,0)</f>
        <v>1</v>
      </c>
      <c r="P50" s="1" t="n">
        <f aca="false">IF(AND(N50=1,S50=1,COUNTIFS($L$2:L50,L50,$J$2:J50,J50,$N$2:N50,1,$S$2:S50,1)=1),1,0)</f>
        <v>0</v>
      </c>
      <c r="Q50" s="1" t="n">
        <f aca="false">IF(AND(N50=1,S50=1,COUNTIFS($L$2:L50,L50,$K$2:K50,K50,$N$2:N50,1,$S$2:S50,1)=1),1,0)</f>
        <v>0</v>
      </c>
      <c r="R50" s="1" t="n">
        <f aca="false">IF(AND(N50=1,COUNTIFS($K$2:K50,K50,$L$2:L50,L50,$J$2:J50,J50,$N$2:N50,1)=1),1,0)</f>
        <v>0</v>
      </c>
      <c r="S50" s="1" t="n">
        <f aca="false">IF(AND(K50&lt;&gt;"Context and provider model",K50&lt;&gt;"Motivation"),1,0)</f>
        <v>0</v>
      </c>
    </row>
    <row r="51" customFormat="false" ht="45.75" hidden="false" customHeight="true" outlineLevel="0" collapsed="false">
      <c r="A51" s="3" t="s">
        <v>1000</v>
      </c>
      <c r="B51" s="3" t="s">
        <v>952</v>
      </c>
      <c r="C51" s="3" t="s">
        <v>96</v>
      </c>
      <c r="D51" s="12" t="n">
        <f aca="false">SUMIFS($O$2:$O$978,$K$2:$K$978,$A51,$L$2:$L$978,$B51,$M$2:$M$978,$C51)</f>
        <v>2</v>
      </c>
      <c r="E51" s="4" t="str">
        <f aca="false">IF(SUMIFS($Q$2:$Q$978,$L$2:$L$978,$B51)&gt;1,"Yes -- also friction/need/workaround in "&amp;(SUMIFS($Q$2:$Q$978,$L$2:$L$978,$B51)-1)&amp;" other stage(s); see Section 3","No -- stage-specific in this dataset")</f>
        <v>Yes -- also friction/need/workaround in 2 other stage(s); see Section 3</v>
      </c>
      <c r="F51" s="4" t="s">
        <v>2068</v>
      </c>
      <c r="G51" s="4" t="s">
        <v>2069</v>
      </c>
      <c r="H51" s="4" t="s">
        <v>1035</v>
      </c>
      <c r="J51" s="1" t="str">
        <f aca="false">'Raw Atomic Data (Pro)'!A51</f>
        <v>Colin</v>
      </c>
      <c r="K51" s="1" t="str">
        <f aca="false">'Raw Atomic Data (Pro)'!C51</f>
        <v>Context and provider model</v>
      </c>
      <c r="L51" s="1" t="str">
        <f aca="false">'Raw Atomic Data (Pro)'!D51</f>
        <v>motivation-emotional-connection</v>
      </c>
      <c r="M51" s="1" t="str">
        <f aca="false">'Raw Atomic Data (Pro)'!E51</f>
        <v>value-statement</v>
      </c>
      <c r="N51" s="1" t="n">
        <f aca="false">IF(OR(M51="friction",M51="need",M51="workaround"),1,0)</f>
        <v>0</v>
      </c>
      <c r="O51" s="1" t="n">
        <f aca="false">IF(COUNTIFS($K$2:K51,K51,$L$2:L51,L51,$M$2:M51,M51,$J$2:J51,J51)=1,1,0)</f>
        <v>1</v>
      </c>
      <c r="P51" s="1" t="n">
        <f aca="false">IF(AND(N51=1,S51=1,COUNTIFS($L$2:L51,L51,$J$2:J51,J51,$N$2:N51,1,$S$2:S51,1)=1),1,0)</f>
        <v>0</v>
      </c>
      <c r="Q51" s="1" t="n">
        <f aca="false">IF(AND(N51=1,S51=1,COUNTIFS($L$2:L51,L51,$K$2:K51,K51,$N$2:N51,1,$S$2:S51,1)=1),1,0)</f>
        <v>0</v>
      </c>
      <c r="R51" s="1" t="n">
        <f aca="false">IF(AND(N51=1,COUNTIFS($K$2:K51,K51,$L$2:L51,L51,$J$2:J51,J51,$N$2:N51,1)=1),1,0)</f>
        <v>0</v>
      </c>
      <c r="S51" s="1" t="n">
        <f aca="false">IF(AND(K51&lt;&gt;"Context and provider model",K51&lt;&gt;"Motivation"),1,0)</f>
        <v>0</v>
      </c>
    </row>
    <row r="52" customFormat="false" ht="45.75" hidden="false" customHeight="true" outlineLevel="0" collapsed="false">
      <c r="A52" s="3" t="s">
        <v>1000</v>
      </c>
      <c r="B52" s="3" t="s">
        <v>1003</v>
      </c>
      <c r="C52" s="3" t="s">
        <v>96</v>
      </c>
      <c r="D52" s="12" t="n">
        <f aca="false">SUMIFS($O$2:$O$978,$K$2:$K$978,$A52,$L$2:$L$978,$B52,$M$2:$M$978,$C52)</f>
        <v>2</v>
      </c>
      <c r="E52" s="4" t="str">
        <f aca="false">IF(SUMIFS($Q$2:$Q$978,$L$2:$L$978,$B52)&gt;1,"Yes -- also friction/need/workaround in "&amp;(SUMIFS($Q$2:$Q$978,$L$2:$L$978,$B52)-1)&amp;" other stage(s); see Section 3","No -- stage-specific in this dataset")</f>
        <v>No -- stage-specific in this dataset</v>
      </c>
      <c r="F52" s="4" t="s">
        <v>2070</v>
      </c>
      <c r="G52" s="4" t="s">
        <v>2071</v>
      </c>
      <c r="H52" s="4" t="s">
        <v>1049</v>
      </c>
      <c r="J52" s="1" t="str">
        <f aca="false">'Raw Atomic Data (Pro)'!A52</f>
        <v>Colin</v>
      </c>
      <c r="K52" s="1" t="str">
        <f aca="false">'Raw Atomic Data (Pro)'!C52</f>
        <v>Context and provider model</v>
      </c>
      <c r="L52" s="1" t="str">
        <f aca="false">'Raw Atomic Data (Pro)'!D52</f>
        <v>provider-background</v>
      </c>
      <c r="M52" s="1" t="str">
        <f aca="false">'Raw Atomic Data (Pro)'!E52</f>
        <v>fact</v>
      </c>
      <c r="N52" s="1" t="n">
        <f aca="false">IF(OR(M52="friction",M52="need",M52="workaround"),1,0)</f>
        <v>0</v>
      </c>
      <c r="O52" s="1" t="n">
        <f aca="false">IF(COUNTIFS($K$2:K52,K52,$L$2:L52,L52,$M$2:M52,M52,$J$2:J52,J52)=1,1,0)</f>
        <v>0</v>
      </c>
      <c r="P52" s="1" t="n">
        <f aca="false">IF(AND(N52=1,S52=1,COUNTIFS($L$2:L52,L52,$J$2:J52,J52,$N$2:N52,1,$S$2:S52,1)=1),1,0)</f>
        <v>0</v>
      </c>
      <c r="Q52" s="1" t="n">
        <f aca="false">IF(AND(N52=1,S52=1,COUNTIFS($L$2:L52,L52,$K$2:K52,K52,$N$2:N52,1,$S$2:S52,1)=1),1,0)</f>
        <v>0</v>
      </c>
      <c r="R52" s="1" t="n">
        <f aca="false">IF(AND(N52=1,COUNTIFS($K$2:K52,K52,$L$2:L52,L52,$J$2:J52,J52,$N$2:N52,1)=1),1,0)</f>
        <v>0</v>
      </c>
      <c r="S52" s="1" t="n">
        <f aca="false">IF(AND(K52&lt;&gt;"Context and provider model",K52&lt;&gt;"Motivation"),1,0)</f>
        <v>0</v>
      </c>
    </row>
    <row r="53" customFormat="false" ht="68.25" hidden="false" customHeight="true" outlineLevel="0" collapsed="false">
      <c r="A53" s="3" t="s">
        <v>1000</v>
      </c>
      <c r="B53" s="3" t="s">
        <v>413</v>
      </c>
      <c r="C53" s="3" t="s">
        <v>96</v>
      </c>
      <c r="D53" s="12" t="n">
        <f aca="false">SUMIFS($O$2:$O$978,$K$2:$K$978,$A53,$L$2:$L$978,$B53,$M$2:$M$978,$C53)</f>
        <v>2</v>
      </c>
      <c r="E53" s="4" t="str">
        <f aca="false">IF(SUMIFS($Q$2:$Q$978,$L$2:$L$978,$B53)&gt;1,"Yes -- also friction/need/workaround in "&amp;(SUMIFS($Q$2:$Q$978,$L$2:$L$978,$B53)-1)&amp;" other stage(s); see Section 3","No -- stage-specific in this dataset")</f>
        <v>Yes -- also friction/need/workaround in 5 other stage(s); see Section 3</v>
      </c>
      <c r="F53" s="4" t="s">
        <v>2221</v>
      </c>
      <c r="G53" s="4" t="s">
        <v>2222</v>
      </c>
      <c r="H53" s="4" t="s">
        <v>1007</v>
      </c>
      <c r="J53" s="1" t="str">
        <f aca="false">'Raw Atomic Data (Pro)'!A53</f>
        <v>Colin</v>
      </c>
      <c r="K53" s="1" t="str">
        <f aca="false">'Raw Atomic Data (Pro)'!C53</f>
        <v>Context and provider model</v>
      </c>
      <c r="L53" s="1" t="str">
        <f aca="false">'Raw Atomic Data (Pro)'!D53</f>
        <v>business-growth-plans</v>
      </c>
      <c r="M53" s="1" t="str">
        <f aca="false">'Raw Atomic Data (Pro)'!E53</f>
        <v>fact</v>
      </c>
      <c r="N53" s="1" t="n">
        <f aca="false">IF(OR(M53="friction",M53="need",M53="workaround"),1,0)</f>
        <v>0</v>
      </c>
      <c r="O53" s="1" t="n">
        <f aca="false">IF(COUNTIFS($K$2:K53,K53,$L$2:L53,L53,$M$2:M53,M53,$J$2:J53,J53)=1,1,0)</f>
        <v>1</v>
      </c>
      <c r="P53" s="1" t="n">
        <f aca="false">IF(AND(N53=1,S53=1,COUNTIFS($L$2:L53,L53,$J$2:J53,J53,$N$2:N53,1,$S$2:S53,1)=1),1,0)</f>
        <v>0</v>
      </c>
      <c r="Q53" s="1" t="n">
        <f aca="false">IF(AND(N53=1,S53=1,COUNTIFS($L$2:L53,L53,$K$2:K53,K53,$N$2:N53,1,$S$2:S53,1)=1),1,0)</f>
        <v>0</v>
      </c>
      <c r="R53" s="1" t="n">
        <f aca="false">IF(AND(N53=1,COUNTIFS($K$2:K53,K53,$L$2:L53,L53,$J$2:J53,J53,$N$2:N53,1)=1),1,0)</f>
        <v>0</v>
      </c>
      <c r="S53" s="1" t="n">
        <f aca="false">IF(AND(K53&lt;&gt;"Context and provider model",K53&lt;&gt;"Motivation"),1,0)</f>
        <v>0</v>
      </c>
    </row>
    <row r="54" customFormat="false" ht="90.75" hidden="false" customHeight="true" outlineLevel="0" collapsed="false">
      <c r="A54" s="3" t="s">
        <v>1000</v>
      </c>
      <c r="B54" s="3" t="s">
        <v>473</v>
      </c>
      <c r="C54" s="3" t="s">
        <v>96</v>
      </c>
      <c r="D54" s="12" t="n">
        <f aca="false">SUMIFS($O$2:$O$978,$K$2:$K$978,$A54,$L$2:$L$978,$B54,$M$2:$M$978,$C54)</f>
        <v>2</v>
      </c>
      <c r="E54" s="4" t="str">
        <f aca="false">IF(SUMIFS($Q$2:$Q$978,$L$2:$L$978,$B54)&gt;1,"Yes -- also friction/need/workaround in "&amp;(SUMIFS($Q$2:$Q$978,$L$2:$L$978,$B54)-1)&amp;" other stage(s); see Section 3","No -- stage-specific in this dataset")</f>
        <v>Yes -- also friction/need/workaround in 4 other stage(s); see Section 3</v>
      </c>
      <c r="F54" s="4" t="s">
        <v>2045</v>
      </c>
      <c r="G54" s="4" t="s">
        <v>2223</v>
      </c>
      <c r="H54" s="4" t="s">
        <v>1057</v>
      </c>
      <c r="J54" s="1" t="str">
        <f aca="false">'Raw Atomic Data (Pro)'!A54</f>
        <v>Colin</v>
      </c>
      <c r="K54" s="1" t="str">
        <f aca="false">'Raw Atomic Data (Pro)'!C54</f>
        <v>Context and provider model</v>
      </c>
      <c r="L54" s="1" t="str">
        <f aca="false">'Raw Atomic Data (Pro)'!D54</f>
        <v>business-model-fit</v>
      </c>
      <c r="M54" s="1" t="str">
        <f aca="false">'Raw Atomic Data (Pro)'!E54</f>
        <v>fact</v>
      </c>
      <c r="N54" s="1" t="n">
        <f aca="false">IF(OR(M54="friction",M54="need",M54="workaround"),1,0)</f>
        <v>0</v>
      </c>
      <c r="O54" s="1" t="n">
        <f aca="false">IF(COUNTIFS($K$2:K54,K54,$L$2:L54,L54,$M$2:M54,M54,$J$2:J54,J54)=1,1,0)</f>
        <v>0</v>
      </c>
      <c r="P54" s="1" t="n">
        <f aca="false">IF(AND(N54=1,S54=1,COUNTIFS($L$2:L54,L54,$J$2:J54,J54,$N$2:N54,1,$S$2:S54,1)=1),1,0)</f>
        <v>0</v>
      </c>
      <c r="Q54" s="1" t="n">
        <f aca="false">IF(AND(N54=1,S54=1,COUNTIFS($L$2:L54,L54,$K$2:K54,K54,$N$2:N54,1,$S$2:S54,1)=1),1,0)</f>
        <v>0</v>
      </c>
      <c r="R54" s="1" t="n">
        <f aca="false">IF(AND(N54=1,COUNTIFS($K$2:K54,K54,$L$2:L54,L54,$J$2:J54,J54,$N$2:N54,1)=1),1,0)</f>
        <v>0</v>
      </c>
      <c r="S54" s="1" t="n">
        <f aca="false">IF(AND(K54&lt;&gt;"Context and provider model",K54&lt;&gt;"Motivation"),1,0)</f>
        <v>0</v>
      </c>
    </row>
    <row r="55" customFormat="false" ht="45.75" hidden="false" customHeight="true" outlineLevel="0" collapsed="false">
      <c r="A55" s="3" t="s">
        <v>1000</v>
      </c>
      <c r="B55" s="3" t="s">
        <v>19</v>
      </c>
      <c r="C55" s="3" t="s">
        <v>96</v>
      </c>
      <c r="D55" s="12" t="n">
        <f aca="false">SUMIFS($O$2:$O$978,$K$2:$K$978,$A55,$L$2:$L$978,$B55,$M$2:$M$978,$C55)</f>
        <v>1</v>
      </c>
      <c r="E55" s="4" t="str">
        <f aca="false">IF(SUMIFS($Q$2:$Q$978,$L$2:$L$978,$B55)&gt;1,"Yes -- also friction/need/workaround in "&amp;(SUMIFS($Q$2:$Q$978,$L$2:$L$978,$B55)-1)&amp;" other stage(s); see Section 3","No -- stage-specific in this dataset")</f>
        <v>Yes -- also friction/need/workaround in 1 other stage(s); see Section 3</v>
      </c>
      <c r="F55" s="4" t="s">
        <v>150</v>
      </c>
      <c r="G55" s="4" t="s">
        <v>2224</v>
      </c>
      <c r="H55" s="4" t="s">
        <v>1093</v>
      </c>
      <c r="J55" s="1" t="str">
        <f aca="false">'Raw Atomic Data (Pro)'!A55</f>
        <v>Colin</v>
      </c>
      <c r="K55" s="1" t="str">
        <f aca="false">'Raw Atomic Data (Pro)'!C55</f>
        <v>Context and provider model</v>
      </c>
      <c r="L55" s="1" t="str">
        <f aca="false">'Raw Atomic Data (Pro)'!D55</f>
        <v>client-dog-screening-criteria</v>
      </c>
      <c r="M55" s="1" t="str">
        <f aca="false">'Raw Atomic Data (Pro)'!E55</f>
        <v>fact</v>
      </c>
      <c r="N55" s="1" t="n">
        <f aca="false">IF(OR(M55="friction",M55="need",M55="workaround"),1,0)</f>
        <v>0</v>
      </c>
      <c r="O55" s="1" t="n">
        <f aca="false">IF(COUNTIFS($K$2:K55,K55,$L$2:L55,L55,$M$2:M55,M55,$J$2:J55,J55)=1,1,0)</f>
        <v>1</v>
      </c>
      <c r="P55" s="1" t="n">
        <f aca="false">IF(AND(N55=1,S55=1,COUNTIFS($L$2:L55,L55,$J$2:J55,J55,$N$2:N55,1,$S$2:S55,1)=1),1,0)</f>
        <v>0</v>
      </c>
      <c r="Q55" s="1" t="n">
        <f aca="false">IF(AND(N55=1,S55=1,COUNTIFS($L$2:L55,L55,$K$2:K55,K55,$N$2:N55,1,$S$2:S55,1)=1),1,0)</f>
        <v>0</v>
      </c>
      <c r="R55" s="1" t="n">
        <f aca="false">IF(AND(N55=1,COUNTIFS($K$2:K55,K55,$L$2:L55,L55,$J$2:J55,J55,$N$2:N55,1)=1),1,0)</f>
        <v>0</v>
      </c>
      <c r="S55" s="1" t="n">
        <f aca="false">IF(AND(K55&lt;&gt;"Context and provider model",K55&lt;&gt;"Motivation"),1,0)</f>
        <v>0</v>
      </c>
    </row>
    <row r="56" customFormat="false" ht="90.75" hidden="false" customHeight="true" outlineLevel="0" collapsed="false">
      <c r="A56" s="3" t="s">
        <v>1000</v>
      </c>
      <c r="B56" s="3" t="s">
        <v>87</v>
      </c>
      <c r="C56" s="3" t="s">
        <v>96</v>
      </c>
      <c r="D56" s="12" t="n">
        <f aca="false">SUMIFS($O$2:$O$978,$K$2:$K$978,$A56,$L$2:$L$978,$B56,$M$2:$M$978,$C56)</f>
        <v>1</v>
      </c>
      <c r="E56" s="4" t="str">
        <f aca="false">IF(SUMIFS($Q$2:$Q$978,$L$2:$L$978,$B56)&gt;1,"Yes -- also friction/need/workaround in "&amp;(SUMIFS($Q$2:$Q$978,$L$2:$L$978,$B56)-1)&amp;" other stage(s); see Section 3","No -- stage-specific in this dataset")</f>
        <v>No -- stage-specific in this dataset</v>
      </c>
      <c r="F56" s="4" t="s">
        <v>8</v>
      </c>
      <c r="G56" s="4" t="s">
        <v>2090</v>
      </c>
      <c r="H56" s="4" t="s">
        <v>1011</v>
      </c>
      <c r="J56" s="1" t="str">
        <f aca="false">'Raw Atomic Data (Pro)'!A56</f>
        <v>Colin</v>
      </c>
      <c r="K56" s="1" t="str">
        <f aca="false">'Raw Atomic Data (Pro)'!C56</f>
        <v>Context and provider model</v>
      </c>
      <c r="L56" s="1" t="str">
        <f aca="false">'Raw Atomic Data (Pro)'!D56</f>
        <v>capacity-multi-pet-management</v>
      </c>
      <c r="M56" s="1" t="str">
        <f aca="false">'Raw Atomic Data (Pro)'!E56</f>
        <v>fact</v>
      </c>
      <c r="N56" s="1" t="n">
        <f aca="false">IF(OR(M56="friction",M56="need",M56="workaround"),1,0)</f>
        <v>0</v>
      </c>
      <c r="O56" s="1" t="n">
        <f aca="false">IF(COUNTIFS($K$2:K56,K56,$L$2:L56,L56,$M$2:M56,M56,$J$2:J56,J56)=1,1,0)</f>
        <v>1</v>
      </c>
      <c r="P56" s="1" t="n">
        <f aca="false">IF(AND(N56=1,S56=1,COUNTIFS($L$2:L56,L56,$J$2:J56,J56,$N$2:N56,1,$S$2:S56,1)=1),1,0)</f>
        <v>0</v>
      </c>
      <c r="Q56" s="1" t="n">
        <f aca="false">IF(AND(N56=1,S56=1,COUNTIFS($L$2:L56,L56,$K$2:K56,K56,$N$2:N56,1,$S$2:S56,1)=1),1,0)</f>
        <v>0</v>
      </c>
      <c r="R56" s="1" t="n">
        <f aca="false">IF(AND(N56=1,COUNTIFS($K$2:K56,K56,$L$2:L56,L56,$J$2:J56,J56,$N$2:N56,1)=1),1,0)</f>
        <v>0</v>
      </c>
      <c r="S56" s="1" t="n">
        <f aca="false">IF(AND(K56&lt;&gt;"Context and provider model",K56&lt;&gt;"Motivation"),1,0)</f>
        <v>0</v>
      </c>
    </row>
    <row r="57" customFormat="false" ht="68.25" hidden="false" customHeight="true" outlineLevel="0" collapsed="false">
      <c r="A57" s="3" t="s">
        <v>1000</v>
      </c>
      <c r="B57" s="3" t="s">
        <v>69</v>
      </c>
      <c r="C57" s="3" t="s">
        <v>96</v>
      </c>
      <c r="D57" s="12" t="n">
        <f aca="false">SUMIFS($O$2:$O$978,$K$2:$K$978,$A57,$L$2:$L$978,$B57,$M$2:$M$978,$C57)</f>
        <v>1</v>
      </c>
      <c r="E57" s="4" t="str">
        <f aca="false">IF(SUMIFS($Q$2:$Q$978,$L$2:$L$978,$B57)&gt;1,"Yes -- also friction/need/workaround in "&amp;(SUMIFS($Q$2:$Q$978,$L$2:$L$978,$B57)-1)&amp;" other stage(s); see Section 3","No -- stage-specific in this dataset")</f>
        <v>No -- stage-specific in this dataset</v>
      </c>
      <c r="F57" s="4" t="s">
        <v>207</v>
      </c>
      <c r="G57" s="4" t="s">
        <v>2092</v>
      </c>
      <c r="H57" s="4" t="s">
        <v>1118</v>
      </c>
      <c r="J57" s="1" t="str">
        <f aca="false">'Raw Atomic Data (Pro)'!A57</f>
        <v>Colin</v>
      </c>
      <c r="K57" s="1" t="str">
        <f aca="false">'Raw Atomic Data (Pro)'!C57</f>
        <v>Context and provider model</v>
      </c>
      <c r="L57" s="1" t="str">
        <f aca="false">'Raw Atomic Data (Pro)'!D57</f>
        <v>provider-background</v>
      </c>
      <c r="M57" s="1" t="str">
        <f aca="false">'Raw Atomic Data (Pro)'!E57</f>
        <v>fact</v>
      </c>
      <c r="N57" s="1" t="n">
        <f aca="false">IF(OR(M57="friction",M57="need",M57="workaround"),1,0)</f>
        <v>0</v>
      </c>
      <c r="O57" s="1" t="n">
        <f aca="false">IF(COUNTIFS($K$2:K57,K57,$L$2:L57,L57,$M$2:M57,M57,$J$2:J57,J57)=1,1,0)</f>
        <v>0</v>
      </c>
      <c r="P57" s="1" t="n">
        <f aca="false">IF(AND(N57=1,S57=1,COUNTIFS($L$2:L57,L57,$J$2:J57,J57,$N$2:N57,1,$S$2:S57,1)=1),1,0)</f>
        <v>0</v>
      </c>
      <c r="Q57" s="1" t="n">
        <f aca="false">IF(AND(N57=1,S57=1,COUNTIFS($L$2:L57,L57,$K$2:K57,K57,$N$2:N57,1,$S$2:S57,1)=1),1,0)</f>
        <v>0</v>
      </c>
      <c r="R57" s="1" t="n">
        <f aca="false">IF(AND(N57=1,COUNTIFS($K$2:K57,K57,$L$2:L57,L57,$J$2:J57,J57,$N$2:N57,1)=1),1,0)</f>
        <v>0</v>
      </c>
      <c r="S57" s="1" t="n">
        <f aca="false">IF(AND(K57&lt;&gt;"Context and provider model",K57&lt;&gt;"Motivation"),1,0)</f>
        <v>0</v>
      </c>
    </row>
    <row r="58" customFormat="false" ht="57" hidden="false" customHeight="true" outlineLevel="0" collapsed="false">
      <c r="A58" s="3" t="s">
        <v>1000</v>
      </c>
      <c r="B58" s="3" t="s">
        <v>816</v>
      </c>
      <c r="C58" s="3" t="s">
        <v>96</v>
      </c>
      <c r="D58" s="12" t="n">
        <f aca="false">SUMIFS($O$2:$O$978,$K$2:$K$978,$A58,$L$2:$L$978,$B58,$M$2:$M$978,$C58)</f>
        <v>1</v>
      </c>
      <c r="E58" s="4" t="str">
        <f aca="false">IF(SUMIFS($Q$2:$Q$978,$L$2:$L$978,$B58)&gt;1,"Yes -- also friction/need/workaround in "&amp;(SUMIFS($Q$2:$Q$978,$L$2:$L$978,$B58)-1)&amp;" other stage(s); see Section 3","No -- stage-specific in this dataset")</f>
        <v>Yes -- also friction/need/workaround in 2 other stage(s); see Section 3</v>
      </c>
      <c r="F58" s="4" t="s">
        <v>99</v>
      </c>
      <c r="G58" s="4" t="s">
        <v>2225</v>
      </c>
      <c r="H58" s="4" t="s">
        <v>1059</v>
      </c>
      <c r="J58" s="1" t="str">
        <f aca="false">'Raw Atomic Data (Pro)'!A58</f>
        <v>Colin</v>
      </c>
      <c r="K58" s="1" t="str">
        <f aca="false">'Raw Atomic Data (Pro)'!C58</f>
        <v>Context and provider model</v>
      </c>
      <c r="L58" s="1" t="str">
        <f aca="false">'Raw Atomic Data (Pro)'!D58</f>
        <v>provider-background</v>
      </c>
      <c r="M58" s="1" t="str">
        <f aca="false">'Raw Atomic Data (Pro)'!E58</f>
        <v>fact</v>
      </c>
      <c r="N58" s="1" t="n">
        <f aca="false">IF(OR(M58="friction",M58="need",M58="workaround"),1,0)</f>
        <v>0</v>
      </c>
      <c r="O58" s="1" t="n">
        <f aca="false">IF(COUNTIFS($K$2:K58,K58,$L$2:L58,L58,$M$2:M58,M58,$J$2:J58,J58)=1,1,0)</f>
        <v>0</v>
      </c>
      <c r="P58" s="1" t="n">
        <f aca="false">IF(AND(N58=1,S58=1,COUNTIFS($L$2:L58,L58,$J$2:J58,J58,$N$2:N58,1,$S$2:S58,1)=1),1,0)</f>
        <v>0</v>
      </c>
      <c r="Q58" s="1" t="n">
        <f aca="false">IF(AND(N58=1,S58=1,COUNTIFS($L$2:L58,L58,$K$2:K58,K58,$N$2:N58,1,$S$2:S58,1)=1),1,0)</f>
        <v>0</v>
      </c>
      <c r="R58" s="1" t="n">
        <f aca="false">IF(AND(N58=1,COUNTIFS($K$2:K58,K58,$L$2:L58,L58,$J$2:J58,J58,$N$2:N58,1)=1),1,0)</f>
        <v>0</v>
      </c>
      <c r="S58" s="1" t="n">
        <f aca="false">IF(AND(K58&lt;&gt;"Context and provider model",K58&lt;&gt;"Motivation"),1,0)</f>
        <v>0</v>
      </c>
    </row>
    <row r="59" customFormat="false" ht="57" hidden="false" customHeight="true" outlineLevel="0" collapsed="false">
      <c r="A59" s="3" t="s">
        <v>1000</v>
      </c>
      <c r="B59" s="3" t="s">
        <v>1003</v>
      </c>
      <c r="C59" s="3" t="s">
        <v>59</v>
      </c>
      <c r="D59" s="12" t="n">
        <f aca="false">SUMIFS($O$2:$O$978,$K$2:$K$978,$A59,$L$2:$L$978,$B59,$M$2:$M$978,$C59)</f>
        <v>2</v>
      </c>
      <c r="E59" s="4" t="str">
        <f aca="false">IF(SUMIFS($Q$2:$Q$978,$L$2:$L$978,$B59)&gt;1,"Yes -- also friction/need/workaround in "&amp;(SUMIFS($Q$2:$Q$978,$L$2:$L$978,$B59)-1)&amp;" other stage(s); see Section 3","No -- stage-specific in this dataset")</f>
        <v>No -- stage-specific in this dataset</v>
      </c>
      <c r="F59" s="4" t="s">
        <v>2066</v>
      </c>
      <c r="G59" s="4" t="s">
        <v>2067</v>
      </c>
      <c r="H59" s="4" t="s">
        <v>1021</v>
      </c>
      <c r="J59" s="1" t="str">
        <f aca="false">'Raw Atomic Data (Pro)'!A59</f>
        <v>Dawn</v>
      </c>
      <c r="K59" s="1" t="str">
        <f aca="false">'Raw Atomic Data (Pro)'!C59</f>
        <v>Context and provider model</v>
      </c>
      <c r="L59" s="1" t="str">
        <f aca="false">'Raw Atomic Data (Pro)'!D59</f>
        <v>provider-background</v>
      </c>
      <c r="M59" s="1" t="str">
        <f aca="false">'Raw Atomic Data (Pro)'!E59</f>
        <v>fact</v>
      </c>
      <c r="N59" s="1" t="n">
        <f aca="false">IF(OR(M59="friction",M59="need",M59="workaround"),1,0)</f>
        <v>0</v>
      </c>
      <c r="O59" s="1" t="n">
        <f aca="false">IF(COUNTIFS($K$2:K59,K59,$L$2:L59,L59,$M$2:M59,M59,$J$2:J59,J59)=1,1,0)</f>
        <v>1</v>
      </c>
      <c r="P59" s="1" t="n">
        <f aca="false">IF(AND(N59=1,S59=1,COUNTIFS($L$2:L59,L59,$J$2:J59,J59,$N$2:N59,1,$S$2:S59,1)=1),1,0)</f>
        <v>0</v>
      </c>
      <c r="Q59" s="1" t="n">
        <f aca="false">IF(AND(N59=1,S59=1,COUNTIFS($L$2:L59,L59,$K$2:K59,K59,$N$2:N59,1,$S$2:S59,1)=1),1,0)</f>
        <v>0</v>
      </c>
      <c r="R59" s="1" t="n">
        <f aca="false">IF(AND(N59=1,COUNTIFS($K$2:K59,K59,$L$2:L59,L59,$J$2:J59,J59,$N$2:N59,1)=1),1,0)</f>
        <v>0</v>
      </c>
      <c r="S59" s="1" t="n">
        <f aca="false">IF(AND(K59&lt;&gt;"Context and provider model",K59&lt;&gt;"Motivation"),1,0)</f>
        <v>0</v>
      </c>
    </row>
    <row r="60" customFormat="false" ht="68.25" hidden="false" customHeight="true" outlineLevel="0" collapsed="false">
      <c r="A60" s="3" t="s">
        <v>1000</v>
      </c>
      <c r="B60" s="3" t="s">
        <v>952</v>
      </c>
      <c r="C60" s="3" t="s">
        <v>59</v>
      </c>
      <c r="D60" s="12" t="n">
        <f aca="false">SUMIFS($O$2:$O$978,$K$2:$K$978,$A60,$L$2:$L$978,$B60,$M$2:$M$978,$C60)</f>
        <v>1</v>
      </c>
      <c r="E60" s="4" t="str">
        <f aca="false">IF(SUMIFS($Q$2:$Q$978,$L$2:$L$978,$B60)&gt;1,"Yes -- also friction/need/workaround in "&amp;(SUMIFS($Q$2:$Q$978,$L$2:$L$978,$B60)-1)&amp;" other stage(s); see Section 3","No -- stage-specific in this dataset")</f>
        <v>Yes -- also friction/need/workaround in 2 other stage(s); see Section 3</v>
      </c>
      <c r="F60" s="4" t="s">
        <v>1863</v>
      </c>
      <c r="G60" s="4" t="s">
        <v>2099</v>
      </c>
      <c r="H60" s="4" t="s">
        <v>1945</v>
      </c>
      <c r="J60" s="1" t="str">
        <f aca="false">'Raw Atomic Data (Pro)'!A60</f>
        <v>Dawn</v>
      </c>
      <c r="K60" s="1" t="str">
        <f aca="false">'Raw Atomic Data (Pro)'!C60</f>
        <v>Context and provider model</v>
      </c>
      <c r="L60" s="1" t="str">
        <f aca="false">'Raw Atomic Data (Pro)'!D60</f>
        <v>provider-background</v>
      </c>
      <c r="M60" s="1" t="str">
        <f aca="false">'Raw Atomic Data (Pro)'!E60</f>
        <v>fact</v>
      </c>
      <c r="N60" s="1" t="n">
        <f aca="false">IF(OR(M60="friction",M60="need",M60="workaround"),1,0)</f>
        <v>0</v>
      </c>
      <c r="O60" s="1" t="n">
        <f aca="false">IF(COUNTIFS($K$2:K60,K60,$L$2:L60,L60,$M$2:M60,M60,$J$2:J60,J60)=1,1,0)</f>
        <v>0</v>
      </c>
      <c r="P60" s="1" t="n">
        <f aca="false">IF(AND(N60=1,S60=1,COUNTIFS($L$2:L60,L60,$J$2:J60,J60,$N$2:N60,1,$S$2:S60,1)=1),1,0)</f>
        <v>0</v>
      </c>
      <c r="Q60" s="1" t="n">
        <f aca="false">IF(AND(N60=1,S60=1,COUNTIFS($L$2:L60,L60,$K$2:K60,K60,$N$2:N60,1,$S$2:S60,1)=1),1,0)</f>
        <v>0</v>
      </c>
      <c r="R60" s="1" t="n">
        <f aca="false">IF(AND(N60=1,COUNTIFS($K$2:K60,K60,$L$2:L60,L60,$J$2:J60,J60,$N$2:N60,1)=1),1,0)</f>
        <v>0</v>
      </c>
      <c r="S60" s="1" t="n">
        <f aca="false">IF(AND(K60&lt;&gt;"Context and provider model",K60&lt;&gt;"Motivation"),1,0)</f>
        <v>0</v>
      </c>
    </row>
    <row r="61" customFormat="false" ht="57" hidden="false" customHeight="true" outlineLevel="0" collapsed="false">
      <c r="A61" s="3" t="s">
        <v>1000</v>
      </c>
      <c r="B61" s="3" t="s">
        <v>816</v>
      </c>
      <c r="C61" s="3" t="s">
        <v>59</v>
      </c>
      <c r="D61" s="12" t="n">
        <f aca="false">SUMIFS($O$2:$O$978,$K$2:$K$978,$A61,$L$2:$L$978,$B61,$M$2:$M$978,$C61)</f>
        <v>1</v>
      </c>
      <c r="E61" s="4" t="str">
        <f aca="false">IF(SUMIFS($Q$2:$Q$978,$L$2:$L$978,$B61)&gt;1,"Yes -- also friction/need/workaround in "&amp;(SUMIFS($Q$2:$Q$978,$L$2:$L$978,$B61)-1)&amp;" other stage(s); see Section 3","No -- stage-specific in this dataset")</f>
        <v>Yes -- also friction/need/workaround in 2 other stage(s); see Section 3</v>
      </c>
      <c r="F61" s="4" t="s">
        <v>99</v>
      </c>
      <c r="G61" s="4" t="s">
        <v>2073</v>
      </c>
      <c r="H61" s="4" t="s">
        <v>1061</v>
      </c>
      <c r="J61" s="1" t="str">
        <f aca="false">'Raw Atomic Data (Pro)'!A61</f>
        <v>Dawn</v>
      </c>
      <c r="K61" s="1" t="str">
        <f aca="false">'Raw Atomic Data (Pro)'!C61</f>
        <v>Context and provider model</v>
      </c>
      <c r="L61" s="1" t="str">
        <f aca="false">'Raw Atomic Data (Pro)'!D61</f>
        <v>provider-background</v>
      </c>
      <c r="M61" s="1" t="str">
        <f aca="false">'Raw Atomic Data (Pro)'!E61</f>
        <v>fact</v>
      </c>
      <c r="N61" s="1" t="n">
        <f aca="false">IF(OR(M61="friction",M61="need",M61="workaround"),1,0)</f>
        <v>0</v>
      </c>
      <c r="O61" s="1" t="n">
        <f aca="false">IF(COUNTIFS($K$2:K61,K61,$L$2:L61,L61,$M$2:M61,M61,$J$2:J61,J61)=1,1,0)</f>
        <v>0</v>
      </c>
      <c r="P61" s="1" t="n">
        <f aca="false">IF(AND(N61=1,S61=1,COUNTIFS($L$2:L61,L61,$J$2:J61,J61,$N$2:N61,1,$S$2:S61,1)=1),1,0)</f>
        <v>0</v>
      </c>
      <c r="Q61" s="1" t="n">
        <f aca="false">IF(AND(N61=1,S61=1,COUNTIFS($L$2:L61,L61,$K$2:K61,K61,$N$2:N61,1,$S$2:S61,1)=1),1,0)</f>
        <v>0</v>
      </c>
      <c r="R61" s="1" t="n">
        <f aca="false">IF(AND(N61=1,COUNTIFS($K$2:K61,K61,$L$2:L61,L61,$J$2:J61,J61,$N$2:N61,1)=1),1,0)</f>
        <v>0</v>
      </c>
      <c r="S61" s="1" t="n">
        <f aca="false">IF(AND(K61&lt;&gt;"Context and provider model",K61&lt;&gt;"Motivation"),1,0)</f>
        <v>0</v>
      </c>
    </row>
    <row r="62" customFormat="false" ht="57" hidden="false" customHeight="true" outlineLevel="0" collapsed="false">
      <c r="A62" s="3" t="s">
        <v>1000</v>
      </c>
      <c r="B62" s="3" t="s">
        <v>952</v>
      </c>
      <c r="C62" s="3" t="s">
        <v>222</v>
      </c>
      <c r="D62" s="12" t="n">
        <f aca="false">SUMIFS($O$2:$O$978,$K$2:$K$978,$A62,$L$2:$L$978,$B62,$M$2:$M$978,$C62)</f>
        <v>2</v>
      </c>
      <c r="E62" s="4" t="str">
        <f aca="false">IF(SUMIFS($Q$2:$Q$978,$L$2:$L$978,$B62)&gt;1,"Yes -- also friction/need/workaround in "&amp;(SUMIFS($Q$2:$Q$978,$L$2:$L$978,$B62)-1)&amp;" other stage(s); see Section 3","No -- stage-specific in this dataset")</f>
        <v>Yes -- also friction/need/workaround in 2 other stage(s); see Section 3</v>
      </c>
      <c r="F62" s="4" t="s">
        <v>2226</v>
      </c>
      <c r="G62" s="4" t="s">
        <v>2035</v>
      </c>
      <c r="H62" s="4" t="s">
        <v>1031</v>
      </c>
      <c r="J62" s="1" t="str">
        <f aca="false">'Raw Atomic Data (Pro)'!A62</f>
        <v>Erika</v>
      </c>
      <c r="K62" s="1" t="str">
        <f aca="false">'Raw Atomic Data (Pro)'!C62</f>
        <v>Context and provider model</v>
      </c>
      <c r="L62" s="1" t="str">
        <f aca="false">'Raw Atomic Data (Pro)'!D62</f>
        <v>provider-background</v>
      </c>
      <c r="M62" s="1" t="str">
        <f aca="false">'Raw Atomic Data (Pro)'!E62</f>
        <v>fact</v>
      </c>
      <c r="N62" s="1" t="n">
        <f aca="false">IF(OR(M62="friction",M62="need",M62="workaround"),1,0)</f>
        <v>0</v>
      </c>
      <c r="O62" s="1" t="n">
        <f aca="false">IF(COUNTIFS($K$2:K62,K62,$L$2:L62,L62,$M$2:M62,M62,$J$2:J62,J62)=1,1,0)</f>
        <v>1</v>
      </c>
      <c r="P62" s="1" t="n">
        <f aca="false">IF(AND(N62=1,S62=1,COUNTIFS($L$2:L62,L62,$J$2:J62,J62,$N$2:N62,1,$S$2:S62,1)=1),1,0)</f>
        <v>0</v>
      </c>
      <c r="Q62" s="1" t="n">
        <f aca="false">IF(AND(N62=1,S62=1,COUNTIFS($L$2:L62,L62,$K$2:K62,K62,$N$2:N62,1,$S$2:S62,1)=1),1,0)</f>
        <v>0</v>
      </c>
      <c r="R62" s="1" t="n">
        <f aca="false">IF(AND(N62=1,COUNTIFS($K$2:K62,K62,$L$2:L62,L62,$J$2:J62,J62,$N$2:N62,1)=1),1,0)</f>
        <v>0</v>
      </c>
      <c r="S62" s="1" t="n">
        <f aca="false">IF(AND(K62&lt;&gt;"Context and provider model",K62&lt;&gt;"Motivation"),1,0)</f>
        <v>0</v>
      </c>
    </row>
    <row r="63" customFormat="false" ht="79.5" hidden="false" customHeight="true" outlineLevel="0" collapsed="false">
      <c r="A63" s="3" t="s">
        <v>1000</v>
      </c>
      <c r="B63" s="3" t="s">
        <v>1003</v>
      </c>
      <c r="C63" s="3" t="s">
        <v>222</v>
      </c>
      <c r="D63" s="12" t="n">
        <f aca="false">SUMIFS($O$2:$O$978,$K$2:$K$978,$A63,$L$2:$L$978,$B63,$M$2:$M$978,$C63)</f>
        <v>1</v>
      </c>
      <c r="E63" s="4" t="str">
        <f aca="false">IF(SUMIFS($Q$2:$Q$978,$L$2:$L$978,$B63)&gt;1,"Yes -- also friction/need/workaround in "&amp;(SUMIFS($Q$2:$Q$978,$L$2:$L$978,$B63)-1)&amp;" other stage(s); see Section 3","No -- stage-specific in this dataset")</f>
        <v>No -- stage-specific in this dataset</v>
      </c>
      <c r="F63" s="4" t="s">
        <v>72</v>
      </c>
      <c r="G63" s="4" t="s">
        <v>2091</v>
      </c>
      <c r="H63" s="4" t="s">
        <v>1051</v>
      </c>
      <c r="J63" s="1" t="str">
        <f aca="false">'Raw Atomic Data (Pro)'!A63</f>
        <v>Erika</v>
      </c>
      <c r="K63" s="1" t="str">
        <f aca="false">'Raw Atomic Data (Pro)'!C63</f>
        <v>Context and provider model</v>
      </c>
      <c r="L63" s="1" t="str">
        <f aca="false">'Raw Atomic Data (Pro)'!D63</f>
        <v>provider-background</v>
      </c>
      <c r="M63" s="1" t="str">
        <f aca="false">'Raw Atomic Data (Pro)'!E63</f>
        <v>fact</v>
      </c>
      <c r="N63" s="1" t="n">
        <f aca="false">IF(OR(M63="friction",M63="need",M63="workaround"),1,0)</f>
        <v>0</v>
      </c>
      <c r="O63" s="1" t="n">
        <f aca="false">IF(COUNTIFS($K$2:K63,K63,$L$2:L63,L63,$M$2:M63,M63,$J$2:J63,J63)=1,1,0)</f>
        <v>0</v>
      </c>
      <c r="P63" s="1" t="n">
        <f aca="false">IF(AND(N63=1,S63=1,COUNTIFS($L$2:L63,L63,$J$2:J63,J63,$N$2:N63,1,$S$2:S63,1)=1),1,0)</f>
        <v>0</v>
      </c>
      <c r="Q63" s="1" t="n">
        <f aca="false">IF(AND(N63=1,S63=1,COUNTIFS($L$2:L63,L63,$K$2:K63,K63,$N$2:N63,1,$S$2:S63,1)=1),1,0)</f>
        <v>0</v>
      </c>
      <c r="R63" s="1" t="n">
        <f aca="false">IF(AND(N63=1,COUNTIFS($K$2:K63,K63,$L$2:L63,L63,$J$2:J63,J63,$N$2:N63,1)=1),1,0)</f>
        <v>0</v>
      </c>
      <c r="S63" s="1" t="n">
        <f aca="false">IF(AND(K63&lt;&gt;"Context and provider model",K63&lt;&gt;"Motivation"),1,0)</f>
        <v>0</v>
      </c>
    </row>
    <row r="64" customFormat="false" ht="68.25" hidden="false" customHeight="true" outlineLevel="0" collapsed="false">
      <c r="A64" s="3" t="s">
        <v>1140</v>
      </c>
      <c r="B64" s="3" t="s">
        <v>413</v>
      </c>
      <c r="C64" s="3" t="s">
        <v>96</v>
      </c>
      <c r="D64" s="12" t="n">
        <f aca="false">SUMIFS($O$2:$O$978,$K$2:$K$978,$A64,$L$2:$L$978,$B64,$M$2:$M$978,$C64)</f>
        <v>6</v>
      </c>
      <c r="E64" s="4" t="str">
        <f aca="false">IF(SUMIFS($Q$2:$Q$978,$L$2:$L$978,$B64)&gt;1,"Yes -- also friction/need/workaround in "&amp;(SUMIFS($Q$2:$Q$978,$L$2:$L$978,$B64)-1)&amp;" other stage(s); see Section 3","No -- stage-specific in this dataset")</f>
        <v>Yes -- also friction/need/workaround in 5 other stage(s); see Section 3</v>
      </c>
      <c r="F64" s="4" t="s">
        <v>2227</v>
      </c>
      <c r="G64" s="4" t="s">
        <v>2228</v>
      </c>
      <c r="H64" s="4" t="s">
        <v>1152</v>
      </c>
      <c r="J64" s="1" t="str">
        <f aca="false">'Raw Atomic Data (Pro)'!A64</f>
        <v>Erika</v>
      </c>
      <c r="K64" s="1" t="str">
        <f aca="false">'Raw Atomic Data (Pro)'!C64</f>
        <v>Context and provider model</v>
      </c>
      <c r="L64" s="1" t="str">
        <f aca="false">'Raw Atomic Data (Pro)'!D64</f>
        <v>provider-background</v>
      </c>
      <c r="M64" s="1" t="str">
        <f aca="false">'Raw Atomic Data (Pro)'!E64</f>
        <v>fact</v>
      </c>
      <c r="N64" s="1" t="n">
        <f aca="false">IF(OR(M64="friction",M64="need",M64="workaround"),1,0)</f>
        <v>0</v>
      </c>
      <c r="O64" s="1" t="n">
        <f aca="false">IF(COUNTIFS($K$2:K64,K64,$L$2:L64,L64,$M$2:M64,M64,$J$2:J64,J64)=1,1,0)</f>
        <v>0</v>
      </c>
      <c r="P64" s="1" t="n">
        <f aca="false">IF(AND(N64=1,S64=1,COUNTIFS($L$2:L64,L64,$J$2:J64,J64,$N$2:N64,1,$S$2:S64,1)=1),1,0)</f>
        <v>0</v>
      </c>
      <c r="Q64" s="1" t="n">
        <f aca="false">IF(AND(N64=1,S64=1,COUNTIFS($L$2:L64,L64,$K$2:K64,K64,$N$2:N64,1,$S$2:S64,1)=1),1,0)</f>
        <v>0</v>
      </c>
      <c r="R64" s="1" t="n">
        <f aca="false">IF(AND(N64=1,COUNTIFS($K$2:K64,K64,$L$2:L64,L64,$J$2:J64,J64,$N$2:N64,1)=1),1,0)</f>
        <v>0</v>
      </c>
      <c r="S64" s="1" t="n">
        <f aca="false">IF(AND(K64&lt;&gt;"Context and provider model",K64&lt;&gt;"Motivation"),1,0)</f>
        <v>0</v>
      </c>
    </row>
    <row r="65" customFormat="false" ht="79.5" hidden="false" customHeight="true" outlineLevel="0" collapsed="false">
      <c r="A65" s="3" t="s">
        <v>1140</v>
      </c>
      <c r="B65" s="3" t="s">
        <v>413</v>
      </c>
      <c r="C65" s="3" t="s">
        <v>59</v>
      </c>
      <c r="D65" s="12" t="n">
        <f aca="false">SUMIFS($O$2:$O$978,$K$2:$K$978,$A65,$L$2:$L$978,$B65,$M$2:$M$978,$C65)</f>
        <v>2</v>
      </c>
      <c r="E65" s="4" t="str">
        <f aca="false">IF(SUMIFS($Q$2:$Q$978,$L$2:$L$978,$B65)&gt;1,"Yes -- also friction/need/workaround in "&amp;(SUMIFS($Q$2:$Q$978,$L$2:$L$978,$B65)-1)&amp;" other stage(s); see Section 3","No -- stage-specific in this dataset")</f>
        <v>Yes -- also friction/need/workaround in 5 other stage(s); see Section 3</v>
      </c>
      <c r="F65" s="4" t="s">
        <v>2229</v>
      </c>
      <c r="G65" s="4" t="s">
        <v>2013</v>
      </c>
      <c r="H65" s="4" t="s">
        <v>1257</v>
      </c>
      <c r="J65" s="1" t="str">
        <f aca="false">'Raw Atomic Data (Pro)'!A65</f>
        <v>Erika</v>
      </c>
      <c r="K65" s="1" t="str">
        <f aca="false">'Raw Atomic Data (Pro)'!C65</f>
        <v>Context and provider model</v>
      </c>
      <c r="L65" s="1" t="str">
        <f aca="false">'Raw Atomic Data (Pro)'!D65</f>
        <v>motivation-emotional-connection</v>
      </c>
      <c r="M65" s="1" t="str">
        <f aca="false">'Raw Atomic Data (Pro)'!E65</f>
        <v>value-statement</v>
      </c>
      <c r="N65" s="1" t="n">
        <f aca="false">IF(OR(M65="friction",M65="need",M65="workaround"),1,0)</f>
        <v>0</v>
      </c>
      <c r="O65" s="1" t="n">
        <f aca="false">IF(COUNTIFS($K$2:K65,K65,$L$2:L65,L65,$M$2:M65,M65,$J$2:J65,J65)=1,1,0)</f>
        <v>1</v>
      </c>
      <c r="P65" s="1" t="n">
        <f aca="false">IF(AND(N65=1,S65=1,COUNTIFS($L$2:L65,L65,$J$2:J65,J65,$N$2:N65,1,$S$2:S65,1)=1),1,0)</f>
        <v>0</v>
      </c>
      <c r="Q65" s="1" t="n">
        <f aca="false">IF(AND(N65=1,S65=1,COUNTIFS($L$2:L65,L65,$K$2:K65,K65,$N$2:N65,1,$S$2:S65,1)=1),1,0)</f>
        <v>0</v>
      </c>
      <c r="R65" s="1" t="n">
        <f aca="false">IF(AND(N65=1,COUNTIFS($K$2:K65,K65,$L$2:L65,L65,$J$2:J65,J65,$N$2:N65,1)=1),1,0)</f>
        <v>0</v>
      </c>
      <c r="S65" s="1" t="n">
        <f aca="false">IF(AND(K65&lt;&gt;"Context and provider model",K65&lt;&gt;"Motivation"),1,0)</f>
        <v>0</v>
      </c>
    </row>
    <row r="66" customFormat="false" ht="57" hidden="false" customHeight="true" outlineLevel="0" collapsed="false">
      <c r="A66" s="3" t="s">
        <v>1140</v>
      </c>
      <c r="B66" s="3" t="s">
        <v>413</v>
      </c>
      <c r="C66" s="3" t="s">
        <v>222</v>
      </c>
      <c r="D66" s="12" t="n">
        <f aca="false">SUMIFS($O$2:$O$978,$K$2:$K$978,$A66,$L$2:$L$978,$B66,$M$2:$M$978,$C66)</f>
        <v>4</v>
      </c>
      <c r="E66" s="4" t="str">
        <f aca="false">IF(SUMIFS($Q$2:$Q$978,$L$2:$L$978,$B66)&gt;1,"Yes -- also friction/need/workaround in "&amp;(SUMIFS($Q$2:$Q$978,$L$2:$L$978,$B66)-1)&amp;" other stage(s); see Section 3","No -- stage-specific in this dataset")</f>
        <v>Yes -- also friction/need/workaround in 5 other stage(s); see Section 3</v>
      </c>
      <c r="F66" s="4" t="s">
        <v>2024</v>
      </c>
      <c r="G66" s="4" t="s">
        <v>2025</v>
      </c>
      <c r="H66" s="4" t="s">
        <v>1168</v>
      </c>
      <c r="J66" s="1" t="str">
        <f aca="false">'Raw Atomic Data (Pro)'!A66</f>
        <v>Erika</v>
      </c>
      <c r="K66" s="1" t="str">
        <f aca="false">'Raw Atomic Data (Pro)'!C66</f>
        <v>Context and provider model</v>
      </c>
      <c r="L66" s="1" t="str">
        <f aca="false">'Raw Atomic Data (Pro)'!D66</f>
        <v>provider-background</v>
      </c>
      <c r="M66" s="1" t="str">
        <f aca="false">'Raw Atomic Data (Pro)'!E66</f>
        <v>fact</v>
      </c>
      <c r="N66" s="1" t="n">
        <f aca="false">IF(OR(M66="friction",M66="need",M66="workaround"),1,0)</f>
        <v>0</v>
      </c>
      <c r="O66" s="1" t="n">
        <f aca="false">IF(COUNTIFS($K$2:K66,K66,$L$2:L66,L66,$M$2:M66,M66,$J$2:J66,J66)=1,1,0)</f>
        <v>0</v>
      </c>
      <c r="P66" s="1" t="n">
        <f aca="false">IF(AND(N66=1,S66=1,COUNTIFS($L$2:L66,L66,$J$2:J66,J66,$N$2:N66,1,$S$2:S66,1)=1),1,0)</f>
        <v>0</v>
      </c>
      <c r="Q66" s="1" t="n">
        <f aca="false">IF(AND(N66=1,S66=1,COUNTIFS($L$2:L66,L66,$K$2:K66,K66,$N$2:N66,1,$S$2:S66,1)=1),1,0)</f>
        <v>0</v>
      </c>
      <c r="R66" s="1" t="n">
        <f aca="false">IF(AND(N66=1,COUNTIFS($K$2:K66,K66,$L$2:L66,L66,$J$2:J66,J66,$N$2:N66,1)=1),1,0)</f>
        <v>0</v>
      </c>
      <c r="S66" s="1" t="n">
        <f aca="false">IF(AND(K66&lt;&gt;"Context and provider model",K66&lt;&gt;"Motivation"),1,0)</f>
        <v>0</v>
      </c>
    </row>
    <row r="67" customFormat="false" ht="57" hidden="false" customHeight="true" outlineLevel="0" collapsed="false">
      <c r="A67" s="3" t="s">
        <v>1140</v>
      </c>
      <c r="B67" s="3" t="s">
        <v>416</v>
      </c>
      <c r="C67" s="3" t="s">
        <v>222</v>
      </c>
      <c r="D67" s="12" t="n">
        <f aca="false">SUMIFS($O$2:$O$978,$K$2:$K$978,$A67,$L$2:$L$978,$B67,$M$2:$M$978,$C67)</f>
        <v>3</v>
      </c>
      <c r="E67" s="4" t="str">
        <f aca="false">IF(SUMIFS($Q$2:$Q$978,$L$2:$L$978,$B67)&gt;1,"Yes -- also friction/need/workaround in "&amp;(SUMIFS($Q$2:$Q$978,$L$2:$L$978,$B67)-1)&amp;" other stage(s); see Section 3","No -- stage-specific in this dataset")</f>
        <v>Yes -- also friction/need/workaround in 1 other stage(s); see Section 3</v>
      </c>
      <c r="F67" s="4" t="s">
        <v>2230</v>
      </c>
      <c r="G67" s="4" t="s">
        <v>2023</v>
      </c>
      <c r="H67" s="4" t="s">
        <v>1156</v>
      </c>
      <c r="J67" s="1" t="str">
        <f aca="false">'Raw Atomic Data (Pro)'!A67</f>
        <v>Erika</v>
      </c>
      <c r="K67" s="1" t="str">
        <f aca="false">'Raw Atomic Data (Pro)'!C67</f>
        <v>Context and provider model</v>
      </c>
      <c r="L67" s="1" t="str">
        <f aca="false">'Raw Atomic Data (Pro)'!D67</f>
        <v>provider-background</v>
      </c>
      <c r="M67" s="1" t="str">
        <f aca="false">'Raw Atomic Data (Pro)'!E67</f>
        <v>fact</v>
      </c>
      <c r="N67" s="1" t="n">
        <f aca="false">IF(OR(M67="friction",M67="need",M67="workaround"),1,0)</f>
        <v>0</v>
      </c>
      <c r="O67" s="1" t="n">
        <f aca="false">IF(COUNTIFS($K$2:K67,K67,$L$2:L67,L67,$M$2:M67,M67,$J$2:J67,J67)=1,1,0)</f>
        <v>0</v>
      </c>
      <c r="P67" s="1" t="n">
        <f aca="false">IF(AND(N67=1,S67=1,COUNTIFS($L$2:L67,L67,$J$2:J67,J67,$N$2:N67,1,$S$2:S67,1)=1),1,0)</f>
        <v>0</v>
      </c>
      <c r="Q67" s="1" t="n">
        <f aca="false">IF(AND(N67=1,S67=1,COUNTIFS($L$2:L67,L67,$K$2:K67,K67,$N$2:N67,1,$S$2:S67,1)=1),1,0)</f>
        <v>0</v>
      </c>
      <c r="R67" s="1" t="n">
        <f aca="false">IF(AND(N67=1,COUNTIFS($K$2:K67,K67,$L$2:L67,L67,$J$2:J67,J67,$N$2:N67,1)=1),1,0)</f>
        <v>0</v>
      </c>
      <c r="S67" s="1" t="n">
        <f aca="false">IF(AND(K67&lt;&gt;"Context and provider model",K67&lt;&gt;"Motivation"),1,0)</f>
        <v>0</v>
      </c>
    </row>
    <row r="68" customFormat="false" ht="45.75" hidden="false" customHeight="true" outlineLevel="0" collapsed="false">
      <c r="A68" s="3" t="s">
        <v>1140</v>
      </c>
      <c r="B68" s="3" t="s">
        <v>473</v>
      </c>
      <c r="C68" s="3" t="s">
        <v>222</v>
      </c>
      <c r="D68" s="12" t="n">
        <f aca="false">SUMIFS($O$2:$O$978,$K$2:$K$978,$A68,$L$2:$L$978,$B68,$M$2:$M$978,$C68)</f>
        <v>1</v>
      </c>
      <c r="E68" s="4" t="str">
        <f aca="false">IF(SUMIFS($Q$2:$Q$978,$L$2:$L$978,$B68)&gt;1,"Yes -- also friction/need/workaround in "&amp;(SUMIFS($Q$2:$Q$978,$L$2:$L$978,$B68)-1)&amp;" other stage(s); see Section 3","No -- stage-specific in this dataset")</f>
        <v>Yes -- also friction/need/workaround in 4 other stage(s); see Section 3</v>
      </c>
      <c r="F68" s="4" t="s">
        <v>54</v>
      </c>
      <c r="G68" s="4" t="s">
        <v>2231</v>
      </c>
      <c r="H68" s="4" t="s">
        <v>1162</v>
      </c>
      <c r="J68" s="1" t="str">
        <f aca="false">'Raw Atomic Data (Pro)'!A68</f>
        <v>Erika</v>
      </c>
      <c r="K68" s="1" t="str">
        <f aca="false">'Raw Atomic Data (Pro)'!C68</f>
        <v>Context and provider model</v>
      </c>
      <c r="L68" s="1" t="str">
        <f aca="false">'Raw Atomic Data (Pro)'!D68</f>
        <v>client-dog-screening-criteria</v>
      </c>
      <c r="M68" s="1" t="str">
        <f aca="false">'Raw Atomic Data (Pro)'!E68</f>
        <v>fact</v>
      </c>
      <c r="N68" s="1" t="n">
        <f aca="false">IF(OR(M68="friction",M68="need",M68="workaround"),1,0)</f>
        <v>0</v>
      </c>
      <c r="O68" s="1" t="n">
        <f aca="false">IF(COUNTIFS($K$2:K68,K68,$L$2:L68,L68,$M$2:M68,M68,$J$2:J68,J68)=1,1,0)</f>
        <v>1</v>
      </c>
      <c r="P68" s="1" t="n">
        <f aca="false">IF(AND(N68=1,S68=1,COUNTIFS($L$2:L68,L68,$J$2:J68,J68,$N$2:N68,1,$S$2:S68,1)=1),1,0)</f>
        <v>0</v>
      </c>
      <c r="Q68" s="1" t="n">
        <f aca="false">IF(AND(N68=1,S68=1,COUNTIFS($L$2:L68,L68,$K$2:K68,K68,$N$2:N68,1,$S$2:S68,1)=1),1,0)</f>
        <v>0</v>
      </c>
      <c r="R68" s="1" t="n">
        <f aca="false">IF(AND(N68=1,COUNTIFS($K$2:K68,K68,$L$2:L68,L68,$J$2:J68,J68,$N$2:N68,1)=1),1,0)</f>
        <v>0</v>
      </c>
      <c r="S68" s="1" t="n">
        <f aca="false">IF(AND(K68&lt;&gt;"Context and provider model",K68&lt;&gt;"Motivation"),1,0)</f>
        <v>0</v>
      </c>
    </row>
    <row r="69" customFormat="false" ht="45.75" hidden="false" customHeight="true" outlineLevel="0" collapsed="false">
      <c r="A69" s="3" t="s">
        <v>1268</v>
      </c>
      <c r="B69" s="3" t="s">
        <v>1271</v>
      </c>
      <c r="C69" s="3" t="s">
        <v>96</v>
      </c>
      <c r="D69" s="12" t="n">
        <f aca="false">SUMIFS($O$2:$O$978,$K$2:$K$978,$A69,$L$2:$L$978,$B69,$M$2:$M$978,$C69)</f>
        <v>4</v>
      </c>
      <c r="E69" s="4" t="str">
        <f aca="false">IF(SUMIFS($Q$2:$Q$978,$L$2:$L$978,$B69)&gt;1,"Yes -- also friction/need/workaround in "&amp;(SUMIFS($Q$2:$Q$978,$L$2:$L$978,$B69)-1)&amp;" other stage(s); see Section 3","No -- stage-specific in this dataset")</f>
        <v>Yes -- also friction/need/workaround in 1 other stage(s); see Section 3</v>
      </c>
      <c r="F69" s="4" t="s">
        <v>2026</v>
      </c>
      <c r="G69" s="4" t="s">
        <v>2027</v>
      </c>
      <c r="H69" s="4" t="s">
        <v>1281</v>
      </c>
      <c r="J69" s="1" t="str">
        <f aca="false">'Raw Atomic Data (Pro)'!A69</f>
        <v>Erika</v>
      </c>
      <c r="K69" s="1" t="str">
        <f aca="false">'Raw Atomic Data (Pro)'!C69</f>
        <v>Context and provider model</v>
      </c>
      <c r="L69" s="1" t="str">
        <f aca="false">'Raw Atomic Data (Pro)'!D69</f>
        <v>repeat-client-relationships</v>
      </c>
      <c r="M69" s="1" t="str">
        <f aca="false">'Raw Atomic Data (Pro)'!E69</f>
        <v>fact</v>
      </c>
      <c r="N69" s="1" t="n">
        <f aca="false">IF(OR(M69="friction",M69="need",M69="workaround"),1,0)</f>
        <v>0</v>
      </c>
      <c r="O69" s="1" t="n">
        <f aca="false">IF(COUNTIFS($K$2:K69,K69,$L$2:L69,L69,$M$2:M69,M69,$J$2:J69,J69)=1,1,0)</f>
        <v>1</v>
      </c>
      <c r="P69" s="1" t="n">
        <f aca="false">IF(AND(N69=1,S69=1,COUNTIFS($L$2:L69,L69,$J$2:J69,J69,$N$2:N69,1,$S$2:S69,1)=1),1,0)</f>
        <v>0</v>
      </c>
      <c r="Q69" s="1" t="n">
        <f aca="false">IF(AND(N69=1,S69=1,COUNTIFS($L$2:L69,L69,$K$2:K69,K69,$N$2:N69,1,$S$2:S69,1)=1),1,0)</f>
        <v>0</v>
      </c>
      <c r="R69" s="1" t="n">
        <f aca="false">IF(AND(N69=1,COUNTIFS($K$2:K69,K69,$L$2:L69,L69,$J$2:J69,J69,$N$2:N69,1)=1),1,0)</f>
        <v>0</v>
      </c>
      <c r="S69" s="1" t="n">
        <f aca="false">IF(AND(K69&lt;&gt;"Context and provider model",K69&lt;&gt;"Motivation"),1,0)</f>
        <v>0</v>
      </c>
    </row>
    <row r="70" customFormat="false" ht="57" hidden="false" customHeight="true" outlineLevel="0" collapsed="false">
      <c r="A70" s="3" t="s">
        <v>1268</v>
      </c>
      <c r="B70" s="3" t="s">
        <v>117</v>
      </c>
      <c r="C70" s="3" t="s">
        <v>96</v>
      </c>
      <c r="D70" s="12" t="n">
        <f aca="false">SUMIFS($O$2:$O$978,$K$2:$K$978,$A70,$L$2:$L$978,$B70,$M$2:$M$978,$C70)</f>
        <v>1</v>
      </c>
      <c r="E70" s="4" t="str">
        <f aca="false">IF(SUMIFS($Q$2:$Q$978,$L$2:$L$978,$B70)&gt;1,"Yes -- also friction/need/workaround in "&amp;(SUMIFS($Q$2:$Q$978,$L$2:$L$978,$B70)-1)&amp;" other stage(s); see Section 3","No -- stage-specific in this dataset")</f>
        <v>Yes -- also friction/need/workaround in 2 other stage(s); see Section 3</v>
      </c>
      <c r="F70" s="4" t="s">
        <v>1863</v>
      </c>
      <c r="G70" s="4" t="s">
        <v>2232</v>
      </c>
      <c r="H70" s="4" t="s">
        <v>1953</v>
      </c>
      <c r="J70" s="1" t="str">
        <f aca="false">'Raw Atomic Data (Pro)'!A70</f>
        <v>Erika</v>
      </c>
      <c r="K70" s="1" t="str">
        <f aca="false">'Raw Atomic Data (Pro)'!C70</f>
        <v>Context and provider model</v>
      </c>
      <c r="L70" s="1" t="str">
        <f aca="false">'Raw Atomic Data (Pro)'!D70</f>
        <v>provider-background</v>
      </c>
      <c r="M70" s="1" t="str">
        <f aca="false">'Raw Atomic Data (Pro)'!E70</f>
        <v>fact</v>
      </c>
      <c r="N70" s="1" t="n">
        <f aca="false">IF(OR(M70="friction",M70="need",M70="workaround"),1,0)</f>
        <v>0</v>
      </c>
      <c r="O70" s="1" t="n">
        <f aca="false">IF(COUNTIFS($K$2:K70,K70,$L$2:L70,L70,$M$2:M70,M70,$J$2:J70,J70)=1,1,0)</f>
        <v>0</v>
      </c>
      <c r="P70" s="1" t="n">
        <f aca="false">IF(AND(N70=1,S70=1,COUNTIFS($L$2:L70,L70,$J$2:J70,J70,$N$2:N70,1,$S$2:S70,1)=1),1,0)</f>
        <v>0</v>
      </c>
      <c r="Q70" s="1" t="n">
        <f aca="false">IF(AND(N70=1,S70=1,COUNTIFS($L$2:L70,L70,$K$2:K70,K70,$N$2:N70,1,$S$2:S70,1)=1),1,0)</f>
        <v>0</v>
      </c>
      <c r="R70" s="1" t="n">
        <f aca="false">IF(AND(N70=1,COUNTIFS($K$2:K70,K70,$L$2:L70,L70,$J$2:J70,J70,$N$2:N70,1)=1),1,0)</f>
        <v>0</v>
      </c>
      <c r="S70" s="1" t="n">
        <f aca="false">IF(AND(K70&lt;&gt;"Context and provider model",K70&lt;&gt;"Motivation"),1,0)</f>
        <v>0</v>
      </c>
    </row>
    <row r="71" customFormat="false" ht="45.75" hidden="false" customHeight="true" outlineLevel="0" collapsed="false">
      <c r="A71" s="3" t="s">
        <v>1268</v>
      </c>
      <c r="B71" s="3" t="s">
        <v>1271</v>
      </c>
      <c r="C71" s="3" t="s">
        <v>59</v>
      </c>
      <c r="D71" s="12" t="n">
        <f aca="false">SUMIFS($O$2:$O$978,$K$2:$K$978,$A71,$L$2:$L$978,$B71,$M$2:$M$978,$C71)</f>
        <v>2</v>
      </c>
      <c r="E71" s="4" t="str">
        <f aca="false">IF(SUMIFS($Q$2:$Q$978,$L$2:$L$978,$B71)&gt;1,"Yes -- also friction/need/workaround in "&amp;(SUMIFS($Q$2:$Q$978,$L$2:$L$978,$B71)-1)&amp;" other stage(s); see Section 3","No -- stage-specific in this dataset")</f>
        <v>Yes -- also friction/need/workaround in 1 other stage(s); see Section 3</v>
      </c>
      <c r="F71" s="4" t="s">
        <v>2061</v>
      </c>
      <c r="G71" s="4" t="s">
        <v>2074</v>
      </c>
      <c r="H71" s="4" t="s">
        <v>1380</v>
      </c>
      <c r="J71" s="1" t="str">
        <f aca="false">'Raw Atomic Data (Pro)'!A71</f>
        <v>Erika</v>
      </c>
      <c r="K71" s="1" t="str">
        <f aca="false">'Raw Atomic Data (Pro)'!C71</f>
        <v>Context and provider model</v>
      </c>
      <c r="L71" s="1" t="str">
        <f aca="false">'Raw Atomic Data (Pro)'!D71</f>
        <v>client-acquisition-discovery</v>
      </c>
      <c r="M71" s="1" t="str">
        <f aca="false">'Raw Atomic Data (Pro)'!E71</f>
        <v>fact</v>
      </c>
      <c r="N71" s="1" t="n">
        <f aca="false">IF(OR(M71="friction",M71="need",M71="workaround"),1,0)</f>
        <v>0</v>
      </c>
      <c r="O71" s="1" t="n">
        <f aca="false">IF(COUNTIFS($K$2:K71,K71,$L$2:L71,L71,$M$2:M71,M71,$J$2:J71,J71)=1,1,0)</f>
        <v>1</v>
      </c>
      <c r="P71" s="1" t="n">
        <f aca="false">IF(AND(N71=1,S71=1,COUNTIFS($L$2:L71,L71,$J$2:J71,J71,$N$2:N71,1,$S$2:S71,1)=1),1,0)</f>
        <v>0</v>
      </c>
      <c r="Q71" s="1" t="n">
        <f aca="false">IF(AND(N71=1,S71=1,COUNTIFS($L$2:L71,L71,$K$2:K71,K71,$N$2:N71,1,$S$2:S71,1)=1),1,0)</f>
        <v>0</v>
      </c>
      <c r="R71" s="1" t="n">
        <f aca="false">IF(AND(N71=1,COUNTIFS($K$2:K71,K71,$L$2:L71,L71,$J$2:J71,J71,$N$2:N71,1)=1),1,0)</f>
        <v>0</v>
      </c>
      <c r="S71" s="1" t="n">
        <f aca="false">IF(AND(K71&lt;&gt;"Context and provider model",K71&lt;&gt;"Motivation"),1,0)</f>
        <v>0</v>
      </c>
    </row>
    <row r="72" customFormat="false" ht="90.75" hidden="false" customHeight="true" outlineLevel="0" collapsed="false">
      <c r="A72" s="3" t="s">
        <v>1268</v>
      </c>
      <c r="B72" s="3" t="s">
        <v>117</v>
      </c>
      <c r="C72" s="3" t="s">
        <v>59</v>
      </c>
      <c r="D72" s="12" t="n">
        <f aca="false">SUMIFS($O$2:$O$978,$K$2:$K$978,$A72,$L$2:$L$978,$B72,$M$2:$M$978,$C72)</f>
        <v>1</v>
      </c>
      <c r="E72" s="4" t="str">
        <f aca="false">IF(SUMIFS($Q$2:$Q$978,$L$2:$L$978,$B72)&gt;1,"Yes -- also friction/need/workaround in "&amp;(SUMIFS($Q$2:$Q$978,$L$2:$L$978,$B72)-1)&amp;" other stage(s); see Section 3","No -- stage-specific in this dataset")</f>
        <v>Yes -- also friction/need/workaround in 2 other stage(s); see Section 3</v>
      </c>
      <c r="F72" s="4" t="s">
        <v>1863</v>
      </c>
      <c r="G72" s="4" t="s">
        <v>2233</v>
      </c>
      <c r="H72" s="4" t="s">
        <v>1955</v>
      </c>
      <c r="J72" s="1" t="str">
        <f aca="false">'Raw Atomic Data (Pro)'!A72</f>
        <v>Kristin</v>
      </c>
      <c r="K72" s="1" t="str">
        <f aca="false">'Raw Atomic Data (Pro)'!C72</f>
        <v>Context and provider model</v>
      </c>
      <c r="L72" s="1" t="str">
        <f aca="false">'Raw Atomic Data (Pro)'!D72</f>
        <v>business-model-fit</v>
      </c>
      <c r="M72" s="1" t="str">
        <f aca="false">'Raw Atomic Data (Pro)'!E72</f>
        <v>fact</v>
      </c>
      <c r="N72" s="1" t="n">
        <f aca="false">IF(OR(M72="friction",M72="need",M72="workaround"),1,0)</f>
        <v>0</v>
      </c>
      <c r="O72" s="1" t="n">
        <f aca="false">IF(COUNTIFS($K$2:K72,K72,$L$2:L72,L72,$M$2:M72,M72,$J$2:J72,J72)=1,1,0)</f>
        <v>1</v>
      </c>
      <c r="P72" s="1" t="n">
        <f aca="false">IF(AND(N72=1,S72=1,COUNTIFS($L$2:L72,L72,$J$2:J72,J72,$N$2:N72,1,$S$2:S72,1)=1),1,0)</f>
        <v>0</v>
      </c>
      <c r="Q72" s="1" t="n">
        <f aca="false">IF(AND(N72=1,S72=1,COUNTIFS($L$2:L72,L72,$K$2:K72,K72,$N$2:N72,1,$S$2:S72,1)=1),1,0)</f>
        <v>0</v>
      </c>
      <c r="R72" s="1" t="n">
        <f aca="false">IF(AND(N72=1,COUNTIFS($K$2:K72,K72,$L$2:L72,L72,$J$2:J72,J72,$N$2:N72,1)=1),1,0)</f>
        <v>0</v>
      </c>
      <c r="S72" s="1" t="n">
        <f aca="false">IF(AND(K72&lt;&gt;"Context and provider model",K72&lt;&gt;"Motivation"),1,0)</f>
        <v>0</v>
      </c>
    </row>
    <row r="73" customFormat="false" ht="79.5" hidden="false" customHeight="true" outlineLevel="0" collapsed="false">
      <c r="A73" s="3" t="s">
        <v>1268</v>
      </c>
      <c r="B73" s="3" t="s">
        <v>619</v>
      </c>
      <c r="C73" s="3" t="s">
        <v>222</v>
      </c>
      <c r="D73" s="12" t="n">
        <f aca="false">SUMIFS($O$2:$O$978,$K$2:$K$978,$A73,$L$2:$L$978,$B73,$M$2:$M$978,$C73)</f>
        <v>1</v>
      </c>
      <c r="E73" s="4" t="str">
        <f aca="false">IF(SUMIFS($Q$2:$Q$978,$L$2:$L$978,$B73)&gt;1,"Yes -- also friction/need/workaround in "&amp;(SUMIFS($Q$2:$Q$978,$L$2:$L$978,$B73)-1)&amp;" other stage(s); see Section 3","No -- stage-specific in this dataset")</f>
        <v>Yes -- also friction/need/workaround in 2 other stage(s); see Section 3</v>
      </c>
      <c r="F73" s="4" t="s">
        <v>99</v>
      </c>
      <c r="G73" s="4" t="s">
        <v>2234</v>
      </c>
      <c r="H73" s="4" t="s">
        <v>1323</v>
      </c>
      <c r="J73" s="1" t="str">
        <f aca="false">'Raw Atomic Data (Pro)'!A73</f>
        <v>Kristin</v>
      </c>
      <c r="K73" s="1" t="str">
        <f aca="false">'Raw Atomic Data (Pro)'!C73</f>
        <v>Context and provider model</v>
      </c>
      <c r="L73" s="1" t="str">
        <f aca="false">'Raw Atomic Data (Pro)'!D73</f>
        <v>provider-background</v>
      </c>
      <c r="M73" s="1" t="str">
        <f aca="false">'Raw Atomic Data (Pro)'!E73</f>
        <v>fact</v>
      </c>
      <c r="N73" s="1" t="n">
        <f aca="false">IF(OR(M73="friction",M73="need",M73="workaround"),1,0)</f>
        <v>0</v>
      </c>
      <c r="O73" s="1" t="n">
        <f aca="false">IF(COUNTIFS($K$2:K73,K73,$L$2:L73,L73,$M$2:M73,M73,$J$2:J73,J73)=1,1,0)</f>
        <v>1</v>
      </c>
      <c r="P73" s="1" t="n">
        <f aca="false">IF(AND(N73=1,S73=1,COUNTIFS($L$2:L73,L73,$J$2:J73,J73,$N$2:N73,1,$S$2:S73,1)=1),1,0)</f>
        <v>0</v>
      </c>
      <c r="Q73" s="1" t="n">
        <f aca="false">IF(AND(N73=1,S73=1,COUNTIFS($L$2:L73,L73,$K$2:K73,K73,$N$2:N73,1,$S$2:S73,1)=1),1,0)</f>
        <v>0</v>
      </c>
      <c r="R73" s="1" t="n">
        <f aca="false">IF(AND(N73=1,COUNTIFS($K$2:K73,K73,$L$2:L73,L73,$J$2:J73,J73,$N$2:N73,1)=1),1,0)</f>
        <v>0</v>
      </c>
      <c r="S73" s="1" t="n">
        <f aca="false">IF(AND(K73&lt;&gt;"Context and provider model",K73&lt;&gt;"Motivation"),1,0)</f>
        <v>0</v>
      </c>
    </row>
    <row r="74" customFormat="false" ht="57" hidden="false" customHeight="true" outlineLevel="0" collapsed="false">
      <c r="A74" s="3" t="s">
        <v>1268</v>
      </c>
      <c r="B74" s="3" t="s">
        <v>952</v>
      </c>
      <c r="C74" s="3" t="s">
        <v>222</v>
      </c>
      <c r="D74" s="12" t="n">
        <f aca="false">SUMIFS($O$2:$O$978,$K$2:$K$978,$A74,$L$2:$L$978,$B74,$M$2:$M$978,$C74)</f>
        <v>1</v>
      </c>
      <c r="E74" s="4" t="str">
        <f aca="false">IF(SUMIFS($Q$2:$Q$978,$L$2:$L$978,$B74)&gt;1,"Yes -- also friction/need/workaround in "&amp;(SUMIFS($Q$2:$Q$978,$L$2:$L$978,$B74)-1)&amp;" other stage(s); see Section 3","No -- stage-specific in this dataset")</f>
        <v>Yes -- also friction/need/workaround in 2 other stage(s); see Section 3</v>
      </c>
      <c r="F74" s="4" t="s">
        <v>99</v>
      </c>
      <c r="G74" s="4" t="s">
        <v>2235</v>
      </c>
      <c r="H74" s="4" t="s">
        <v>1315</v>
      </c>
      <c r="J74" s="1" t="str">
        <f aca="false">'Raw Atomic Data (Pro)'!A74</f>
        <v>Kristin</v>
      </c>
      <c r="K74" s="1" t="str">
        <f aca="false">'Raw Atomic Data (Pro)'!C74</f>
        <v>Context and provider model</v>
      </c>
      <c r="L74" s="1" t="str">
        <f aca="false">'Raw Atomic Data (Pro)'!D74</f>
        <v>business-model-fit</v>
      </c>
      <c r="M74" s="1" t="str">
        <f aca="false">'Raw Atomic Data (Pro)'!E74</f>
        <v>fact</v>
      </c>
      <c r="N74" s="1" t="n">
        <f aca="false">IF(OR(M74="friction",M74="need",M74="workaround"),1,0)</f>
        <v>0</v>
      </c>
      <c r="O74" s="1" t="n">
        <f aca="false">IF(COUNTIFS($K$2:K74,K74,$L$2:L74,L74,$M$2:M74,M74,$J$2:J74,J74)=1,1,0)</f>
        <v>0</v>
      </c>
      <c r="P74" s="1" t="n">
        <f aca="false">IF(AND(N74=1,S74=1,COUNTIFS($L$2:L74,L74,$J$2:J74,J74,$N$2:N74,1,$S$2:S74,1)=1),1,0)</f>
        <v>0</v>
      </c>
      <c r="Q74" s="1" t="n">
        <f aca="false">IF(AND(N74=1,S74=1,COUNTIFS($L$2:L74,L74,$K$2:K74,K74,$N$2:N74,1,$S$2:S74,1)=1),1,0)</f>
        <v>0</v>
      </c>
      <c r="R74" s="1" t="n">
        <f aca="false">IF(AND(N74=1,COUNTIFS($K$2:K74,K74,$L$2:L74,L74,$J$2:J74,J74,$N$2:N74,1)=1),1,0)</f>
        <v>0</v>
      </c>
      <c r="S74" s="1" t="n">
        <f aca="false">IF(AND(K74&lt;&gt;"Context and provider model",K74&lt;&gt;"Motivation"),1,0)</f>
        <v>0</v>
      </c>
    </row>
    <row r="75" customFormat="false" ht="57" hidden="false" customHeight="true" outlineLevel="0" collapsed="false">
      <c r="A75" s="3" t="s">
        <v>1268</v>
      </c>
      <c r="B75" s="3" t="s">
        <v>1271</v>
      </c>
      <c r="C75" s="3" t="s">
        <v>222</v>
      </c>
      <c r="D75" s="12" t="n">
        <f aca="false">SUMIFS($O$2:$O$978,$K$2:$K$978,$A75,$L$2:$L$978,$B75,$M$2:$M$978,$C75)</f>
        <v>1</v>
      </c>
      <c r="E75" s="4" t="str">
        <f aca="false">IF(SUMIFS($Q$2:$Q$978,$L$2:$L$978,$B75)&gt;1,"Yes -- also friction/need/workaround in "&amp;(SUMIFS($Q$2:$Q$978,$L$2:$L$978,$B75)-1)&amp;" other stage(s); see Section 3","No -- stage-specific in this dataset")</f>
        <v>Yes -- also friction/need/workaround in 1 other stage(s); see Section 3</v>
      </c>
      <c r="F75" s="4" t="s">
        <v>251</v>
      </c>
      <c r="G75" s="4" t="s">
        <v>2093</v>
      </c>
      <c r="H75" s="4" t="s">
        <v>1395</v>
      </c>
      <c r="J75" s="1" t="str">
        <f aca="false">'Raw Atomic Data (Pro)'!A75</f>
        <v>Kristin</v>
      </c>
      <c r="K75" s="1" t="str">
        <f aca="false">'Raw Atomic Data (Pro)'!C75</f>
        <v>Context and provider model</v>
      </c>
      <c r="L75" s="1" t="str">
        <f aca="false">'Raw Atomic Data (Pro)'!D75</f>
        <v>provider-background</v>
      </c>
      <c r="M75" s="1" t="str">
        <f aca="false">'Raw Atomic Data (Pro)'!E75</f>
        <v>fact</v>
      </c>
      <c r="N75" s="1" t="n">
        <f aca="false">IF(OR(M75="friction",M75="need",M75="workaround"),1,0)</f>
        <v>0</v>
      </c>
      <c r="O75" s="1" t="n">
        <f aca="false">IF(COUNTIFS($K$2:K75,K75,$L$2:L75,L75,$M$2:M75,M75,$J$2:J75,J75)=1,1,0)</f>
        <v>0</v>
      </c>
      <c r="P75" s="1" t="n">
        <f aca="false">IF(AND(N75=1,S75=1,COUNTIFS($L$2:L75,L75,$J$2:J75,J75,$N$2:N75,1,$S$2:S75,1)=1),1,0)</f>
        <v>0</v>
      </c>
      <c r="Q75" s="1" t="n">
        <f aca="false">IF(AND(N75=1,S75=1,COUNTIFS($L$2:L75,L75,$K$2:K75,K75,$N$2:N75,1,$S$2:S75,1)=1),1,0)</f>
        <v>0</v>
      </c>
      <c r="R75" s="1" t="n">
        <f aca="false">IF(AND(N75=1,COUNTIFS($K$2:K75,K75,$L$2:L75,L75,$J$2:J75,J75,$N$2:N75,1)=1),1,0)</f>
        <v>0</v>
      </c>
      <c r="S75" s="1" t="n">
        <f aca="false">IF(AND(K75&lt;&gt;"Context and provider model",K75&lt;&gt;"Motivation"),1,0)</f>
        <v>0</v>
      </c>
    </row>
    <row r="76" customFormat="false" ht="57" hidden="false" customHeight="true" outlineLevel="0" collapsed="false">
      <c r="A76" s="3" t="s">
        <v>1402</v>
      </c>
      <c r="B76" s="3" t="s">
        <v>1411</v>
      </c>
      <c r="C76" s="3" t="s">
        <v>96</v>
      </c>
      <c r="D76" s="12" t="n">
        <f aca="false">SUMIFS($O$2:$O$978,$K$2:$K$978,$A76,$L$2:$L$978,$B76,$M$2:$M$978,$C76)</f>
        <v>2</v>
      </c>
      <c r="E76" s="4" t="str">
        <f aca="false">IF(SUMIFS($Q$2:$Q$978,$L$2:$L$978,$B76)&gt;1,"Yes -- also friction/need/workaround in "&amp;(SUMIFS($Q$2:$Q$978,$L$2:$L$978,$B76)-1)&amp;" other stage(s); see Section 3","No -- stage-specific in this dataset")</f>
        <v>Yes -- also friction/need/workaround in 1 other stage(s); see Section 3</v>
      </c>
      <c r="F76" s="4" t="s">
        <v>2049</v>
      </c>
      <c r="G76" s="4" t="s">
        <v>2075</v>
      </c>
      <c r="H76" s="4" t="s">
        <v>1466</v>
      </c>
      <c r="J76" s="1" t="str">
        <f aca="false">'Raw Atomic Data (Pro)'!A76</f>
        <v>Kristin</v>
      </c>
      <c r="K76" s="1" t="str">
        <f aca="false">'Raw Atomic Data (Pro)'!C76</f>
        <v>Context and provider model</v>
      </c>
      <c r="L76" s="1" t="str">
        <f aca="false">'Raw Atomic Data (Pro)'!D76</f>
        <v>provider-background</v>
      </c>
      <c r="M76" s="1" t="str">
        <f aca="false">'Raw Atomic Data (Pro)'!E76</f>
        <v>fact</v>
      </c>
      <c r="N76" s="1" t="n">
        <f aca="false">IF(OR(M76="friction",M76="need",M76="workaround"),1,0)</f>
        <v>0</v>
      </c>
      <c r="O76" s="1" t="n">
        <f aca="false">IF(COUNTIFS($K$2:K76,K76,$L$2:L76,L76,$M$2:M76,M76,$J$2:J76,J76)=1,1,0)</f>
        <v>0</v>
      </c>
      <c r="P76" s="1" t="n">
        <f aca="false">IF(AND(N76=1,S76=1,COUNTIFS($L$2:L76,L76,$J$2:J76,J76,$N$2:N76,1,$S$2:S76,1)=1),1,0)</f>
        <v>0</v>
      </c>
      <c r="Q76" s="1" t="n">
        <f aca="false">IF(AND(N76=1,S76=1,COUNTIFS($L$2:L76,L76,$K$2:K76,K76,$N$2:N76,1,$S$2:S76,1)=1),1,0)</f>
        <v>0</v>
      </c>
      <c r="R76" s="1" t="n">
        <f aca="false">IF(AND(N76=1,COUNTIFS($K$2:K76,K76,$L$2:L76,L76,$J$2:J76,J76,$N$2:N76,1)=1),1,0)</f>
        <v>0</v>
      </c>
      <c r="S76" s="1" t="n">
        <f aca="false">IF(AND(K76&lt;&gt;"Context and provider model",K76&lt;&gt;"Motivation"),1,0)</f>
        <v>0</v>
      </c>
    </row>
    <row r="77" customFormat="false" ht="57" hidden="false" customHeight="true" outlineLevel="0" collapsed="false">
      <c r="A77" s="3" t="s">
        <v>1402</v>
      </c>
      <c r="B77" s="3" t="s">
        <v>117</v>
      </c>
      <c r="C77" s="3" t="s">
        <v>96</v>
      </c>
      <c r="D77" s="12" t="n">
        <f aca="false">SUMIFS($O$2:$O$978,$K$2:$K$978,$A77,$L$2:$L$978,$B77,$M$2:$M$978,$C77)</f>
        <v>2</v>
      </c>
      <c r="E77" s="4" t="str">
        <f aca="false">IF(SUMIFS($Q$2:$Q$978,$L$2:$L$978,$B77)&gt;1,"Yes -- also friction/need/workaround in "&amp;(SUMIFS($Q$2:$Q$978,$L$2:$L$978,$B77)-1)&amp;" other stage(s); see Section 3","No -- stage-specific in this dataset")</f>
        <v>Yes -- also friction/need/workaround in 2 other stage(s); see Section 3</v>
      </c>
      <c r="F77" s="4" t="s">
        <v>2229</v>
      </c>
      <c r="G77" s="4" t="s">
        <v>2042</v>
      </c>
      <c r="H77" s="4" t="s">
        <v>1566</v>
      </c>
      <c r="J77" s="1" t="str">
        <f aca="false">'Raw Atomic Data (Pro)'!A77</f>
        <v>Kristin</v>
      </c>
      <c r="K77" s="1" t="str">
        <f aca="false">'Raw Atomic Data (Pro)'!C77</f>
        <v>Context and provider model</v>
      </c>
      <c r="L77" s="1" t="str">
        <f aca="false">'Raw Atomic Data (Pro)'!D77</f>
        <v>provider-background</v>
      </c>
      <c r="M77" s="1" t="str">
        <f aca="false">'Raw Atomic Data (Pro)'!E77</f>
        <v>fact</v>
      </c>
      <c r="N77" s="1" t="n">
        <f aca="false">IF(OR(M77="friction",M77="need",M77="workaround"),1,0)</f>
        <v>0</v>
      </c>
      <c r="O77" s="1" t="n">
        <f aca="false">IF(COUNTIFS($K$2:K77,K77,$L$2:L77,L77,$M$2:M77,M77,$J$2:J77,J77)=1,1,0)</f>
        <v>0</v>
      </c>
      <c r="P77" s="1" t="n">
        <f aca="false">IF(AND(N77=1,S77=1,COUNTIFS($L$2:L77,L77,$J$2:J77,J77,$N$2:N77,1,$S$2:S77,1)=1),1,0)</f>
        <v>0</v>
      </c>
      <c r="Q77" s="1" t="n">
        <f aca="false">IF(AND(N77=1,S77=1,COUNTIFS($L$2:L77,L77,$K$2:K77,K77,$N$2:N77,1,$S$2:S77,1)=1),1,0)</f>
        <v>0</v>
      </c>
      <c r="R77" s="1" t="n">
        <f aca="false">IF(AND(N77=1,COUNTIFS($K$2:K77,K77,$L$2:L77,L77,$J$2:J77,J77,$N$2:N77,1)=1),1,0)</f>
        <v>0</v>
      </c>
      <c r="S77" s="1" t="n">
        <f aca="false">IF(AND(K77&lt;&gt;"Context and provider model",K77&lt;&gt;"Motivation"),1,0)</f>
        <v>0</v>
      </c>
    </row>
    <row r="78" customFormat="false" ht="57" hidden="false" customHeight="true" outlineLevel="0" collapsed="false">
      <c r="A78" s="3" t="s">
        <v>1402</v>
      </c>
      <c r="B78" s="3" t="s">
        <v>486</v>
      </c>
      <c r="C78" s="3" t="s">
        <v>96</v>
      </c>
      <c r="D78" s="12" t="n">
        <f aca="false">SUMIFS($O$2:$O$978,$K$2:$K$978,$A78,$L$2:$L$978,$B78,$M$2:$M$978,$C78)</f>
        <v>1</v>
      </c>
      <c r="E78" s="4" t="str">
        <f aca="false">IF(SUMIFS($Q$2:$Q$978,$L$2:$L$978,$B78)&gt;1,"Yes -- also friction/need/workaround in "&amp;(SUMIFS($Q$2:$Q$978,$L$2:$L$978,$B78)-1)&amp;" other stage(s); see Section 3","No -- stage-specific in this dataset")</f>
        <v>Yes -- also friction/need/workaround in 2 other stage(s); see Section 3</v>
      </c>
      <c r="F78" s="4" t="s">
        <v>32</v>
      </c>
      <c r="G78" s="4" t="s">
        <v>2236</v>
      </c>
      <c r="H78" s="4" t="s">
        <v>1426</v>
      </c>
      <c r="J78" s="1" t="str">
        <f aca="false">'Raw Atomic Data (Pro)'!A78</f>
        <v>Kristin</v>
      </c>
      <c r="K78" s="1" t="str">
        <f aca="false">'Raw Atomic Data (Pro)'!C78</f>
        <v>Context and provider model</v>
      </c>
      <c r="L78" s="1" t="str">
        <f aca="false">'Raw Atomic Data (Pro)'!D78</f>
        <v>motivation-emotional-connection</v>
      </c>
      <c r="M78" s="1" t="str">
        <f aca="false">'Raw Atomic Data (Pro)'!E78</f>
        <v>value-statement</v>
      </c>
      <c r="N78" s="1" t="n">
        <f aca="false">IF(OR(M78="friction",M78="need",M78="workaround"),1,0)</f>
        <v>0</v>
      </c>
      <c r="O78" s="1" t="n">
        <f aca="false">IF(COUNTIFS($K$2:K78,K78,$L$2:L78,L78,$M$2:M78,M78,$J$2:J78,J78)=1,1,0)</f>
        <v>1</v>
      </c>
      <c r="P78" s="1" t="n">
        <f aca="false">IF(AND(N78=1,S78=1,COUNTIFS($L$2:L78,L78,$J$2:J78,J78,$N$2:N78,1,$S$2:S78,1)=1),1,0)</f>
        <v>0</v>
      </c>
      <c r="Q78" s="1" t="n">
        <f aca="false">IF(AND(N78=1,S78=1,COUNTIFS($L$2:L78,L78,$K$2:K78,K78,$N$2:N78,1,$S$2:S78,1)=1),1,0)</f>
        <v>0</v>
      </c>
      <c r="R78" s="1" t="n">
        <f aca="false">IF(AND(N78=1,COUNTIFS($K$2:K78,K78,$L$2:L78,L78,$J$2:J78,J78,$N$2:N78,1)=1),1,0)</f>
        <v>0</v>
      </c>
      <c r="S78" s="1" t="n">
        <f aca="false">IF(AND(K78&lt;&gt;"Context and provider model",K78&lt;&gt;"Motivation"),1,0)</f>
        <v>0</v>
      </c>
    </row>
    <row r="79" customFormat="false" ht="57" hidden="false" customHeight="true" outlineLevel="0" collapsed="false">
      <c r="A79" s="3" t="s">
        <v>1402</v>
      </c>
      <c r="B79" s="3" t="s">
        <v>19</v>
      </c>
      <c r="C79" s="3" t="s">
        <v>96</v>
      </c>
      <c r="D79" s="12" t="n">
        <f aca="false">SUMIFS($O$2:$O$978,$K$2:$K$978,$A79,$L$2:$L$978,$B79,$M$2:$M$978,$C79)</f>
        <v>1</v>
      </c>
      <c r="E79" s="4" t="str">
        <f aca="false">IF(SUMIFS($Q$2:$Q$978,$L$2:$L$978,$B79)&gt;1,"Yes -- also friction/need/workaround in "&amp;(SUMIFS($Q$2:$Q$978,$L$2:$L$978,$B79)-1)&amp;" other stage(s); see Section 3","No -- stage-specific in this dataset")</f>
        <v>Yes -- also friction/need/workaround in 1 other stage(s); see Section 3</v>
      </c>
      <c r="F79" s="4" t="s">
        <v>54</v>
      </c>
      <c r="G79" s="4" t="s">
        <v>2237</v>
      </c>
      <c r="H79" s="4" t="s">
        <v>1450</v>
      </c>
      <c r="J79" s="1" t="str">
        <f aca="false">'Raw Atomic Data (Pro)'!A79</f>
        <v>Naomi</v>
      </c>
      <c r="K79" s="1" t="str">
        <f aca="false">'Raw Atomic Data (Pro)'!C79</f>
        <v>Context and provider model</v>
      </c>
      <c r="L79" s="1" t="str">
        <f aca="false">'Raw Atomic Data (Pro)'!D79</f>
        <v>provider-background</v>
      </c>
      <c r="M79" s="1" t="str">
        <f aca="false">'Raw Atomic Data (Pro)'!E79</f>
        <v>fact</v>
      </c>
      <c r="N79" s="1" t="n">
        <f aca="false">IF(OR(M79="friction",M79="need",M79="workaround"),1,0)</f>
        <v>0</v>
      </c>
      <c r="O79" s="1" t="n">
        <f aca="false">IF(COUNTIFS($K$2:K79,K79,$L$2:L79,L79,$M$2:M79,M79,$J$2:J79,J79)=1,1,0)</f>
        <v>1</v>
      </c>
      <c r="P79" s="1" t="n">
        <f aca="false">IF(AND(N79=1,S79=1,COUNTIFS($L$2:L79,L79,$J$2:J79,J79,$N$2:N79,1,$S$2:S79,1)=1),1,0)</f>
        <v>0</v>
      </c>
      <c r="Q79" s="1" t="n">
        <f aca="false">IF(AND(N79=1,S79=1,COUNTIFS($L$2:L79,L79,$K$2:K79,K79,$N$2:N79,1,$S$2:S79,1)=1),1,0)</f>
        <v>0</v>
      </c>
      <c r="R79" s="1" t="n">
        <f aca="false">IF(AND(N79=1,COUNTIFS($K$2:K79,K79,$L$2:L79,L79,$J$2:J79,J79,$N$2:N79,1)=1),1,0)</f>
        <v>0</v>
      </c>
      <c r="S79" s="1" t="n">
        <f aca="false">IF(AND(K79&lt;&gt;"Context and provider model",K79&lt;&gt;"Motivation"),1,0)</f>
        <v>0</v>
      </c>
    </row>
    <row r="80" customFormat="false" ht="57" hidden="false" customHeight="true" outlineLevel="0" collapsed="false">
      <c r="A80" s="3" t="s">
        <v>1402</v>
      </c>
      <c r="B80" s="3" t="s">
        <v>1503</v>
      </c>
      <c r="C80" s="3" t="s">
        <v>96</v>
      </c>
      <c r="D80" s="12" t="n">
        <f aca="false">SUMIFS($O$2:$O$978,$K$2:$K$978,$A80,$L$2:$L$978,$B80,$M$2:$M$978,$C80)</f>
        <v>1</v>
      </c>
      <c r="E80" s="4" t="str">
        <f aca="false">IF(SUMIFS($Q$2:$Q$978,$L$2:$L$978,$B80)&gt;1,"Yes -- also friction/need/workaround in "&amp;(SUMIFS($Q$2:$Q$978,$L$2:$L$978,$B80)-1)&amp;" other stage(s); see Section 3","No -- stage-specific in this dataset")</f>
        <v>Yes -- also friction/need/workaround in 1 other stage(s); see Section 3</v>
      </c>
      <c r="F80" s="4" t="s">
        <v>150</v>
      </c>
      <c r="G80" s="4" t="s">
        <v>2077</v>
      </c>
      <c r="H80" s="4" t="s">
        <v>1507</v>
      </c>
      <c r="J80" s="1" t="str">
        <f aca="false">'Raw Atomic Data (Pro)'!A80</f>
        <v>Naomi</v>
      </c>
      <c r="K80" s="1" t="str">
        <f aca="false">'Raw Atomic Data (Pro)'!C80</f>
        <v>Context and provider model</v>
      </c>
      <c r="L80" s="1" t="str">
        <f aca="false">'Raw Atomic Data (Pro)'!D80</f>
        <v>business-model-fit</v>
      </c>
      <c r="M80" s="1" t="str">
        <f aca="false">'Raw Atomic Data (Pro)'!E80</f>
        <v>fact</v>
      </c>
      <c r="N80" s="1" t="n">
        <f aca="false">IF(OR(M80="friction",M80="need",M80="workaround"),1,0)</f>
        <v>0</v>
      </c>
      <c r="O80" s="1" t="n">
        <f aca="false">IF(COUNTIFS($K$2:K80,K80,$L$2:L80,L80,$M$2:M80,M80,$J$2:J80,J80)=1,1,0)</f>
        <v>1</v>
      </c>
      <c r="P80" s="1" t="n">
        <f aca="false">IF(AND(N80=1,S80=1,COUNTIFS($L$2:L80,L80,$J$2:J80,J80,$N$2:N80,1,$S$2:S80,1)=1),1,0)</f>
        <v>0</v>
      </c>
      <c r="Q80" s="1" t="n">
        <f aca="false">IF(AND(N80=1,S80=1,COUNTIFS($L$2:L80,L80,$K$2:K80,K80,$N$2:N80,1,$S$2:S80,1)=1),1,0)</f>
        <v>0</v>
      </c>
      <c r="R80" s="1" t="n">
        <f aca="false">IF(AND(N80=1,COUNTIFS($K$2:K80,K80,$L$2:L80,L80,$J$2:J80,J80,$N$2:N80,1)=1),1,0)</f>
        <v>0</v>
      </c>
      <c r="S80" s="1" t="n">
        <f aca="false">IF(AND(K80&lt;&gt;"Context and provider model",K80&lt;&gt;"Motivation"),1,0)</f>
        <v>0</v>
      </c>
    </row>
    <row r="81" customFormat="false" ht="68.25" hidden="false" customHeight="true" outlineLevel="0" collapsed="false">
      <c r="A81" s="3" t="s">
        <v>1402</v>
      </c>
      <c r="B81" s="3" t="s">
        <v>470</v>
      </c>
      <c r="C81" s="3" t="s">
        <v>96</v>
      </c>
      <c r="D81" s="12" t="n">
        <f aca="false">SUMIFS($O$2:$O$978,$K$2:$K$978,$A81,$L$2:$L$978,$B81,$M$2:$M$978,$C81)</f>
        <v>1</v>
      </c>
      <c r="E81" s="4" t="str">
        <f aca="false">IF(SUMIFS($Q$2:$Q$978,$L$2:$L$978,$B81)&gt;1,"Yes -- also friction/need/workaround in "&amp;(SUMIFS($Q$2:$Q$978,$L$2:$L$978,$B81)-1)&amp;" other stage(s); see Section 3","No -- stage-specific in this dataset")</f>
        <v>Yes -- also friction/need/workaround in 1 other stage(s); see Section 3</v>
      </c>
      <c r="F81" s="4" t="s">
        <v>251</v>
      </c>
      <c r="G81" s="4" t="s">
        <v>2238</v>
      </c>
      <c r="H81" s="4" t="s">
        <v>1582</v>
      </c>
      <c r="J81" s="1" t="str">
        <f aca="false">'Raw Atomic Data (Pro)'!A81</f>
        <v>Naomi</v>
      </c>
      <c r="K81" s="1" t="str">
        <f aca="false">'Raw Atomic Data (Pro)'!C81</f>
        <v>Context and provider model</v>
      </c>
      <c r="L81" s="1" t="str">
        <f aca="false">'Raw Atomic Data (Pro)'!D81</f>
        <v>business-model-fit</v>
      </c>
      <c r="M81" s="1" t="str">
        <f aca="false">'Raw Atomic Data (Pro)'!E81</f>
        <v>fact</v>
      </c>
      <c r="N81" s="1" t="n">
        <f aca="false">IF(OR(M81="friction",M81="need",M81="workaround"),1,0)</f>
        <v>0</v>
      </c>
      <c r="O81" s="1" t="n">
        <f aca="false">IF(COUNTIFS($K$2:K81,K81,$L$2:L81,L81,$M$2:M81,M81,$J$2:J81,J81)=1,1,0)</f>
        <v>0</v>
      </c>
      <c r="P81" s="1" t="n">
        <f aca="false">IF(AND(N81=1,S81=1,COUNTIFS($L$2:L81,L81,$J$2:J81,J81,$N$2:N81,1,$S$2:S81,1)=1),1,0)</f>
        <v>0</v>
      </c>
      <c r="Q81" s="1" t="n">
        <f aca="false">IF(AND(N81=1,S81=1,COUNTIFS($L$2:L81,L81,$K$2:K81,K81,$N$2:N81,1,$S$2:S81,1)=1),1,0)</f>
        <v>0</v>
      </c>
      <c r="R81" s="1" t="n">
        <f aca="false">IF(AND(N81=1,COUNTIFS($K$2:K81,K81,$L$2:L81,L81,$J$2:J81,J81,$N$2:N81,1)=1),1,0)</f>
        <v>0</v>
      </c>
      <c r="S81" s="1" t="n">
        <f aca="false">IF(AND(K81&lt;&gt;"Context and provider model",K81&lt;&gt;"Motivation"),1,0)</f>
        <v>0</v>
      </c>
    </row>
    <row r="82" customFormat="false" ht="102" hidden="false" customHeight="true" outlineLevel="0" collapsed="false">
      <c r="A82" s="3" t="s">
        <v>1402</v>
      </c>
      <c r="B82" s="3" t="s">
        <v>1416</v>
      </c>
      <c r="C82" s="3" t="s">
        <v>96</v>
      </c>
      <c r="D82" s="12" t="n">
        <f aca="false">SUMIFS($O$2:$O$978,$K$2:$K$978,$A82,$L$2:$L$978,$B82,$M$2:$M$978,$C82)</f>
        <v>1</v>
      </c>
      <c r="E82" s="4" t="str">
        <f aca="false">IF(SUMIFS($Q$2:$Q$978,$L$2:$L$978,$B82)&gt;1,"Yes -- also friction/need/workaround in "&amp;(SUMIFS($Q$2:$Q$978,$L$2:$L$978,$B82)-1)&amp;" other stage(s); see Section 3","No -- stage-specific in this dataset")</f>
        <v>No -- stage-specific in this dataset</v>
      </c>
      <c r="F82" s="4" t="s">
        <v>1863</v>
      </c>
      <c r="G82" s="4" t="s">
        <v>2100</v>
      </c>
      <c r="H82" s="4" t="s">
        <v>1977</v>
      </c>
      <c r="J82" s="1" t="str">
        <f aca="false">'Raw Atomic Data (Pro)'!A82</f>
        <v>Naomi</v>
      </c>
      <c r="K82" s="1" t="str">
        <f aca="false">'Raw Atomic Data (Pro)'!C82</f>
        <v>Context and provider model</v>
      </c>
      <c r="L82" s="1" t="str">
        <f aca="false">'Raw Atomic Data (Pro)'!D82</f>
        <v>capacity-multi-pet-management</v>
      </c>
      <c r="M82" s="1" t="str">
        <f aca="false">'Raw Atomic Data (Pro)'!E82</f>
        <v>fact</v>
      </c>
      <c r="N82" s="1" t="n">
        <f aca="false">IF(OR(M82="friction",M82="need",M82="workaround"),1,0)</f>
        <v>0</v>
      </c>
      <c r="O82" s="1" t="n">
        <f aca="false">IF(COUNTIFS($K$2:K82,K82,$L$2:L82,L82,$M$2:M82,M82,$J$2:J82,J82)=1,1,0)</f>
        <v>1</v>
      </c>
      <c r="P82" s="1" t="n">
        <f aca="false">IF(AND(N82=1,S82=1,COUNTIFS($L$2:L82,L82,$J$2:J82,J82,$N$2:N82,1,$S$2:S82,1)=1),1,0)</f>
        <v>0</v>
      </c>
      <c r="Q82" s="1" t="n">
        <f aca="false">IF(AND(N82=1,S82=1,COUNTIFS($L$2:L82,L82,$K$2:K82,K82,$N$2:N82,1,$S$2:S82,1)=1),1,0)</f>
        <v>0</v>
      </c>
      <c r="R82" s="1" t="n">
        <f aca="false">IF(AND(N82=1,COUNTIFS($K$2:K82,K82,$L$2:L82,L82,$J$2:J82,J82,$N$2:N82,1)=1),1,0)</f>
        <v>0</v>
      </c>
      <c r="S82" s="1" t="n">
        <f aca="false">IF(AND(K82&lt;&gt;"Context and provider model",K82&lt;&gt;"Motivation"),1,0)</f>
        <v>0</v>
      </c>
    </row>
    <row r="83" customFormat="false" ht="45.75" hidden="false" customHeight="true" outlineLevel="0" collapsed="false">
      <c r="A83" s="3" t="s">
        <v>1402</v>
      </c>
      <c r="B83" s="3" t="s">
        <v>1411</v>
      </c>
      <c r="C83" s="3" t="s">
        <v>59</v>
      </c>
      <c r="D83" s="12" t="n">
        <f aca="false">SUMIFS($O$2:$O$978,$K$2:$K$978,$A83,$L$2:$L$978,$B83,$M$2:$M$978,$C83)</f>
        <v>3</v>
      </c>
      <c r="E83" s="4" t="str">
        <f aca="false">IF(SUMIFS($Q$2:$Q$978,$L$2:$L$978,$B83)&gt;1,"Yes -- also friction/need/workaround in "&amp;(SUMIFS($Q$2:$Q$978,$L$2:$L$978,$B83)-1)&amp;" other stage(s); see Section 3","No -- stage-specific in this dataset")</f>
        <v>Yes -- also friction/need/workaround in 1 other stage(s); see Section 3</v>
      </c>
      <c r="F83" s="4" t="s">
        <v>2038</v>
      </c>
      <c r="G83" s="4" t="s">
        <v>2039</v>
      </c>
      <c r="H83" s="4" t="s">
        <v>1458</v>
      </c>
      <c r="J83" s="1" t="str">
        <f aca="false">'Raw Atomic Data (Pro)'!A83</f>
        <v>Naomi</v>
      </c>
      <c r="K83" s="1" t="str">
        <f aca="false">'Raw Atomic Data (Pro)'!C83</f>
        <v>Context and provider model</v>
      </c>
      <c r="L83" s="1" t="str">
        <f aca="false">'Raw Atomic Data (Pro)'!D83</f>
        <v>capacity-multi-pet-management</v>
      </c>
      <c r="M83" s="1" t="str">
        <f aca="false">'Raw Atomic Data (Pro)'!E83</f>
        <v>fact</v>
      </c>
      <c r="N83" s="1" t="n">
        <f aca="false">IF(OR(M83="friction",M83="need",M83="workaround"),1,0)</f>
        <v>0</v>
      </c>
      <c r="O83" s="1" t="n">
        <f aca="false">IF(COUNTIFS($K$2:K83,K83,$L$2:L83,L83,$M$2:M83,M83,$J$2:J83,J83)=1,1,0)</f>
        <v>0</v>
      </c>
      <c r="P83" s="1" t="n">
        <f aca="false">IF(AND(N83=1,S83=1,COUNTIFS($L$2:L83,L83,$J$2:J83,J83,$N$2:N83,1,$S$2:S83,1)=1),1,0)</f>
        <v>0</v>
      </c>
      <c r="Q83" s="1" t="n">
        <f aca="false">IF(AND(N83=1,S83=1,COUNTIFS($L$2:L83,L83,$K$2:K83,K83,$N$2:N83,1,$S$2:S83,1)=1),1,0)</f>
        <v>0</v>
      </c>
      <c r="R83" s="1" t="n">
        <f aca="false">IF(AND(N83=1,COUNTIFS($K$2:K83,K83,$L$2:L83,L83,$J$2:J83,J83,$N$2:N83,1)=1),1,0)</f>
        <v>0</v>
      </c>
      <c r="S83" s="1" t="n">
        <f aca="false">IF(AND(K83&lt;&gt;"Context and provider model",K83&lt;&gt;"Motivation"),1,0)</f>
        <v>0</v>
      </c>
    </row>
    <row r="84" customFormat="false" ht="45.75" hidden="false" customHeight="true" outlineLevel="0" collapsed="false">
      <c r="A84" s="3" t="s">
        <v>1402</v>
      </c>
      <c r="B84" s="3" t="s">
        <v>117</v>
      </c>
      <c r="C84" s="3" t="s">
        <v>59</v>
      </c>
      <c r="D84" s="12" t="n">
        <f aca="false">SUMIFS($O$2:$O$978,$K$2:$K$978,$A84,$L$2:$L$978,$B84,$M$2:$M$978,$C84)</f>
        <v>3</v>
      </c>
      <c r="E84" s="4" t="str">
        <f aca="false">IF(SUMIFS($Q$2:$Q$978,$L$2:$L$978,$B84)&gt;1,"Yes -- also friction/need/workaround in "&amp;(SUMIFS($Q$2:$Q$978,$L$2:$L$978,$B84)-1)&amp;" other stage(s); see Section 3","No -- stage-specific in this dataset")</f>
        <v>Yes -- also friction/need/workaround in 2 other stage(s); see Section 3</v>
      </c>
      <c r="F84" s="4" t="s">
        <v>2239</v>
      </c>
      <c r="G84" s="4" t="s">
        <v>2015</v>
      </c>
      <c r="H84" s="4" t="s">
        <v>1434</v>
      </c>
      <c r="J84" s="1" t="str">
        <f aca="false">'Raw Atomic Data (Pro)'!A84</f>
        <v>Naomi</v>
      </c>
      <c r="K84" s="1" t="str">
        <f aca="false">'Raw Atomic Data (Pro)'!C84</f>
        <v>Context and provider model</v>
      </c>
      <c r="L84" s="1" t="str">
        <f aca="false">'Raw Atomic Data (Pro)'!D84</f>
        <v>capacity-multi-pet-management</v>
      </c>
      <c r="M84" s="1" t="str">
        <f aca="false">'Raw Atomic Data (Pro)'!E84</f>
        <v>friction</v>
      </c>
      <c r="N84" s="1" t="n">
        <f aca="false">IF(OR(M84="friction",M84="need",M84="workaround"),1,0)</f>
        <v>1</v>
      </c>
      <c r="O84" s="1" t="n">
        <f aca="false">IF(COUNTIFS($K$2:K84,K84,$L$2:L84,L84,$M$2:M84,M84,$J$2:J84,J84)=1,1,0)</f>
        <v>1</v>
      </c>
      <c r="P84" s="1" t="n">
        <f aca="false">IF(AND(N84=1,S84=1,COUNTIFS($L$2:L84,L84,$J$2:J84,J84,$N$2:N84,1,$S$2:S84,1)=1),1,0)</f>
        <v>0</v>
      </c>
      <c r="Q84" s="1" t="n">
        <f aca="false">IF(AND(N84=1,S84=1,COUNTIFS($L$2:L84,L84,$K$2:K84,K84,$N$2:N84,1,$S$2:S84,1)=1),1,0)</f>
        <v>0</v>
      </c>
      <c r="R84" s="1" t="n">
        <f aca="false">IF(AND(N84=1,COUNTIFS($K$2:K84,K84,$L$2:L84,L84,$J$2:J84,J84,$N$2:N84,1)=1),1,0)</f>
        <v>1</v>
      </c>
      <c r="S84" s="1" t="n">
        <f aca="false">IF(AND(K84&lt;&gt;"Context and provider model",K84&lt;&gt;"Motivation"),1,0)</f>
        <v>0</v>
      </c>
    </row>
    <row r="85" customFormat="false" ht="57" hidden="false" customHeight="true" outlineLevel="0" collapsed="false">
      <c r="A85" s="3" t="s">
        <v>1402</v>
      </c>
      <c r="B85" s="3" t="s">
        <v>168</v>
      </c>
      <c r="C85" s="3" t="s">
        <v>59</v>
      </c>
      <c r="D85" s="12" t="n">
        <f aca="false">SUMIFS($O$2:$O$978,$K$2:$K$978,$A85,$L$2:$L$978,$B85,$M$2:$M$978,$C85)</f>
        <v>1</v>
      </c>
      <c r="E85" s="4" t="str">
        <f aca="false">IF(SUMIFS($Q$2:$Q$978,$L$2:$L$978,$B85)&gt;1,"Yes -- also friction/need/workaround in "&amp;(SUMIFS($Q$2:$Q$978,$L$2:$L$978,$B85)-1)&amp;" other stage(s); see Section 3","No -- stage-specific in this dataset")</f>
        <v>Yes -- also friction/need/workaround in 2 other stage(s); see Section 3</v>
      </c>
      <c r="F85" s="4" t="s">
        <v>99</v>
      </c>
      <c r="G85" s="4" t="s">
        <v>2040</v>
      </c>
      <c r="H85" s="4" t="s">
        <v>1476</v>
      </c>
      <c r="J85" s="1" t="str">
        <f aca="false">'Raw Atomic Data (Pro)'!A85</f>
        <v>Naomi</v>
      </c>
      <c r="K85" s="1" t="str">
        <f aca="false">'Raw Atomic Data (Pro)'!C85</f>
        <v>Context and provider model</v>
      </c>
      <c r="L85" s="1" t="str">
        <f aca="false">'Raw Atomic Data (Pro)'!D85</f>
        <v>private-business-parallel-ops</v>
      </c>
      <c r="M85" s="1" t="str">
        <f aca="false">'Raw Atomic Data (Pro)'!E85</f>
        <v>fact</v>
      </c>
      <c r="N85" s="1" t="n">
        <f aca="false">IF(OR(M85="friction",M85="need",M85="workaround"),1,0)</f>
        <v>0</v>
      </c>
      <c r="O85" s="1" t="n">
        <f aca="false">IF(COUNTIFS($K$2:K85,K85,$L$2:L85,L85,$M$2:M85,M85,$J$2:J85,J85)=1,1,0)</f>
        <v>1</v>
      </c>
      <c r="P85" s="1" t="n">
        <f aca="false">IF(AND(N85=1,S85=1,COUNTIFS($L$2:L85,L85,$J$2:J85,J85,$N$2:N85,1,$S$2:S85,1)=1),1,0)</f>
        <v>0</v>
      </c>
      <c r="Q85" s="1" t="n">
        <f aca="false">IF(AND(N85=1,S85=1,COUNTIFS($L$2:L85,L85,$K$2:K85,K85,$N$2:N85,1,$S$2:S85,1)=1),1,0)</f>
        <v>0</v>
      </c>
      <c r="R85" s="1" t="n">
        <f aca="false">IF(AND(N85=1,COUNTIFS($K$2:K85,K85,$L$2:L85,L85,$J$2:J85,J85,$N$2:N85,1)=1),1,0)</f>
        <v>0</v>
      </c>
      <c r="S85" s="1" t="n">
        <f aca="false">IF(AND(K85&lt;&gt;"Context and provider model",K85&lt;&gt;"Motivation"),1,0)</f>
        <v>0</v>
      </c>
    </row>
    <row r="86" customFormat="false" ht="34.5" hidden="false" customHeight="true" outlineLevel="0" collapsed="false">
      <c r="A86" s="3" t="s">
        <v>1402</v>
      </c>
      <c r="B86" s="3" t="s">
        <v>1503</v>
      </c>
      <c r="C86" s="3" t="s">
        <v>59</v>
      </c>
      <c r="D86" s="12" t="n">
        <f aca="false">SUMIFS($O$2:$O$978,$K$2:$K$978,$A86,$L$2:$L$978,$B86,$M$2:$M$978,$C86)</f>
        <v>1</v>
      </c>
      <c r="E86" s="4" t="str">
        <f aca="false">IF(SUMIFS($Q$2:$Q$978,$L$2:$L$978,$B86)&gt;1,"Yes -- also friction/need/workaround in "&amp;(SUMIFS($Q$2:$Q$978,$L$2:$L$978,$B86)-1)&amp;" other stage(s); see Section 3","No -- stage-specific in this dataset")</f>
        <v>Yes -- also friction/need/workaround in 1 other stage(s); see Section 3</v>
      </c>
      <c r="F86" s="4" t="s">
        <v>150</v>
      </c>
      <c r="G86" s="4" t="s">
        <v>2096</v>
      </c>
      <c r="H86" s="4" t="s">
        <v>1509</v>
      </c>
      <c r="J86" s="1" t="str">
        <f aca="false">'Raw Atomic Data (Pro)'!A86</f>
        <v>Naomi</v>
      </c>
      <c r="K86" s="1" t="str">
        <f aca="false">'Raw Atomic Data (Pro)'!C86</f>
        <v>Context and provider model</v>
      </c>
      <c r="L86" s="1" t="str">
        <f aca="false">'Raw Atomic Data (Pro)'!D86</f>
        <v>provider-background</v>
      </c>
      <c r="M86" s="1" t="str">
        <f aca="false">'Raw Atomic Data (Pro)'!E86</f>
        <v>fact</v>
      </c>
      <c r="N86" s="1" t="n">
        <f aca="false">IF(OR(M86="friction",M86="need",M86="workaround"),1,0)</f>
        <v>0</v>
      </c>
      <c r="O86" s="1" t="n">
        <f aca="false">IF(COUNTIFS($K$2:K86,K86,$L$2:L86,L86,$M$2:M86,M86,$J$2:J86,J86)=1,1,0)</f>
        <v>0</v>
      </c>
      <c r="P86" s="1" t="n">
        <f aca="false">IF(AND(N86=1,S86=1,COUNTIFS($L$2:L86,L86,$J$2:J86,J86,$N$2:N86,1,$S$2:S86,1)=1),1,0)</f>
        <v>0</v>
      </c>
      <c r="Q86" s="1" t="n">
        <f aca="false">IF(AND(N86=1,S86=1,COUNTIFS($L$2:L86,L86,$K$2:K86,K86,$N$2:N86,1,$S$2:S86,1)=1),1,0)</f>
        <v>0</v>
      </c>
      <c r="R86" s="1" t="n">
        <f aca="false">IF(AND(N86=1,COUNTIFS($K$2:K86,K86,$L$2:L86,L86,$J$2:J86,J86,$N$2:N86,1)=1),1,0)</f>
        <v>0</v>
      </c>
      <c r="S86" s="1" t="n">
        <f aca="false">IF(AND(K86&lt;&gt;"Context and provider model",K86&lt;&gt;"Motivation"),1,0)</f>
        <v>0</v>
      </c>
    </row>
    <row r="87" customFormat="false" ht="113.25" hidden="false" customHeight="true" outlineLevel="0" collapsed="false">
      <c r="A87" s="3" t="s">
        <v>1402</v>
      </c>
      <c r="B87" s="3" t="s">
        <v>556</v>
      </c>
      <c r="C87" s="3" t="s">
        <v>59</v>
      </c>
      <c r="D87" s="12" t="n">
        <f aca="false">SUMIFS($O$2:$O$978,$K$2:$K$978,$A87,$L$2:$L$978,$B87,$M$2:$M$978,$C87)</f>
        <v>1</v>
      </c>
      <c r="E87" s="4" t="str">
        <f aca="false">IF(SUMIFS($Q$2:$Q$978,$L$2:$L$978,$B87)&gt;1,"Yes -- also friction/need/workaround in "&amp;(SUMIFS($Q$2:$Q$978,$L$2:$L$978,$B87)-1)&amp;" other stage(s); see Section 3","No -- stage-specific in this dataset")</f>
        <v>Yes -- also friction/need/workaround in 2 other stage(s); see Section 3</v>
      </c>
      <c r="F87" s="4" t="s">
        <v>1863</v>
      </c>
      <c r="G87" s="4" t="s">
        <v>2240</v>
      </c>
      <c r="H87" s="4" t="s">
        <v>1975</v>
      </c>
      <c r="J87" s="1" t="str">
        <f aca="false">'Raw Atomic Data (Pro)'!A87</f>
        <v>Naomi</v>
      </c>
      <c r="K87" s="1" t="str">
        <f aca="false">'Raw Atomic Data (Pro)'!C87</f>
        <v>Context and provider model</v>
      </c>
      <c r="L87" s="1" t="str">
        <f aca="false">'Raw Atomic Data (Pro)'!D87</f>
        <v>client-dog-screening-criteria</v>
      </c>
      <c r="M87" s="1" t="str">
        <f aca="false">'Raw Atomic Data (Pro)'!E87</f>
        <v>fact</v>
      </c>
      <c r="N87" s="1" t="n">
        <f aca="false">IF(OR(M87="friction",M87="need",M87="workaround"),1,0)</f>
        <v>0</v>
      </c>
      <c r="O87" s="1" t="n">
        <f aca="false">IF(COUNTIFS($K$2:K87,K87,$L$2:L87,L87,$M$2:M87,M87,$J$2:J87,J87)=1,1,0)</f>
        <v>1</v>
      </c>
      <c r="P87" s="1" t="n">
        <f aca="false">IF(AND(N87=1,S87=1,COUNTIFS($L$2:L87,L87,$J$2:J87,J87,$N$2:N87,1,$S$2:S87,1)=1),1,0)</f>
        <v>0</v>
      </c>
      <c r="Q87" s="1" t="n">
        <f aca="false">IF(AND(N87=1,S87=1,COUNTIFS($L$2:L87,L87,$K$2:K87,K87,$N$2:N87,1,$S$2:S87,1)=1),1,0)</f>
        <v>0</v>
      </c>
      <c r="R87" s="1" t="n">
        <f aca="false">IF(AND(N87=1,COUNTIFS($K$2:K87,K87,$L$2:L87,L87,$J$2:J87,J87,$N$2:N87,1)=1),1,0)</f>
        <v>0</v>
      </c>
      <c r="S87" s="1" t="n">
        <f aca="false">IF(AND(K87&lt;&gt;"Context and provider model",K87&lt;&gt;"Motivation"),1,0)</f>
        <v>0</v>
      </c>
    </row>
    <row r="88" customFormat="false" ht="34.5" hidden="false" customHeight="true" outlineLevel="0" collapsed="false">
      <c r="A88" s="3" t="s">
        <v>1402</v>
      </c>
      <c r="B88" s="3" t="s">
        <v>1416</v>
      </c>
      <c r="C88" s="3" t="s">
        <v>59</v>
      </c>
      <c r="D88" s="12" t="n">
        <f aca="false">SUMIFS($O$2:$O$978,$K$2:$K$978,$A88,$L$2:$L$978,$B88,$M$2:$M$978,$C88)</f>
        <v>1</v>
      </c>
      <c r="E88" s="4" t="str">
        <f aca="false">IF(SUMIFS($Q$2:$Q$978,$L$2:$L$978,$B88)&gt;1,"Yes -- also friction/need/workaround in "&amp;(SUMIFS($Q$2:$Q$978,$L$2:$L$978,$B88)-1)&amp;" other stage(s); see Section 3","No -- stage-specific in this dataset")</f>
        <v>No -- stage-specific in this dataset</v>
      </c>
      <c r="F88" s="4" t="s">
        <v>54</v>
      </c>
      <c r="G88" s="4" t="s">
        <v>2094</v>
      </c>
      <c r="H88" s="4" t="s">
        <v>1446</v>
      </c>
      <c r="J88" s="1" t="str">
        <f aca="false">'Raw Atomic Data (Pro)'!A88</f>
        <v>Naomi</v>
      </c>
      <c r="K88" s="1" t="str">
        <f aca="false">'Raw Atomic Data (Pro)'!C88</f>
        <v>Context and provider model</v>
      </c>
      <c r="L88" s="1" t="str">
        <f aca="false">'Raw Atomic Data (Pro)'!D88</f>
        <v>provider-background</v>
      </c>
      <c r="M88" s="1" t="str">
        <f aca="false">'Raw Atomic Data (Pro)'!E88</f>
        <v>fact</v>
      </c>
      <c r="N88" s="1" t="n">
        <f aca="false">IF(OR(M88="friction",M88="need",M88="workaround"),1,0)</f>
        <v>0</v>
      </c>
      <c r="O88" s="1" t="n">
        <f aca="false">IF(COUNTIFS($K$2:K88,K88,$L$2:L88,L88,$M$2:M88,M88,$J$2:J88,J88)=1,1,0)</f>
        <v>0</v>
      </c>
      <c r="P88" s="1" t="n">
        <f aca="false">IF(AND(N88=1,S88=1,COUNTIFS($L$2:L88,L88,$J$2:J88,J88,$N$2:N88,1,$S$2:S88,1)=1),1,0)</f>
        <v>0</v>
      </c>
      <c r="Q88" s="1" t="n">
        <f aca="false">IF(AND(N88=1,S88=1,COUNTIFS($L$2:L88,L88,$K$2:K88,K88,$N$2:N88,1,$S$2:S88,1)=1),1,0)</f>
        <v>0</v>
      </c>
      <c r="R88" s="1" t="n">
        <f aca="false">IF(AND(N88=1,COUNTIFS($K$2:K88,K88,$L$2:L88,L88,$J$2:J88,J88,$N$2:N88,1)=1),1,0)</f>
        <v>0</v>
      </c>
      <c r="S88" s="1" t="n">
        <f aca="false">IF(AND(K88&lt;&gt;"Context and provider model",K88&lt;&gt;"Motivation"),1,0)</f>
        <v>0</v>
      </c>
    </row>
    <row r="89" customFormat="false" ht="45.75" hidden="false" customHeight="true" outlineLevel="0" collapsed="false">
      <c r="A89" s="3" t="s">
        <v>1402</v>
      </c>
      <c r="B89" s="3" t="s">
        <v>470</v>
      </c>
      <c r="C89" s="3" t="s">
        <v>222</v>
      </c>
      <c r="D89" s="12" t="n">
        <f aca="false">SUMIFS($O$2:$O$978,$K$2:$K$978,$A89,$L$2:$L$978,$B89,$M$2:$M$978,$C89)</f>
        <v>3</v>
      </c>
      <c r="E89" s="4" t="str">
        <f aca="false">IF(SUMIFS($Q$2:$Q$978,$L$2:$L$978,$B89)&gt;1,"Yes -- also friction/need/workaround in "&amp;(SUMIFS($Q$2:$Q$978,$L$2:$L$978,$B89)-1)&amp;" other stage(s); see Section 3","No -- stage-specific in this dataset")</f>
        <v>Yes -- also friction/need/workaround in 1 other stage(s); see Section 3</v>
      </c>
      <c r="F89" s="4" t="s">
        <v>2036</v>
      </c>
      <c r="G89" s="4" t="s">
        <v>2037</v>
      </c>
      <c r="H89" s="4" t="s">
        <v>1422</v>
      </c>
      <c r="J89" s="1" t="str">
        <f aca="false">'Raw Atomic Data (Pro)'!A89</f>
        <v>Shania</v>
      </c>
      <c r="K89" s="1" t="str">
        <f aca="false">'Raw Atomic Data (Pro)'!C89</f>
        <v>Context and provider model</v>
      </c>
      <c r="L89" s="1" t="str">
        <f aca="false">'Raw Atomic Data (Pro)'!D89</f>
        <v>provider-background</v>
      </c>
      <c r="M89" s="1" t="str">
        <f aca="false">'Raw Atomic Data (Pro)'!E89</f>
        <v>fact</v>
      </c>
      <c r="N89" s="1" t="n">
        <f aca="false">IF(OR(M89="friction",M89="need",M89="workaround"),1,0)</f>
        <v>0</v>
      </c>
      <c r="O89" s="1" t="n">
        <f aca="false">IF(COUNTIFS($K$2:K89,K89,$L$2:L89,L89,$M$2:M89,M89,$J$2:J89,J89)=1,1,0)</f>
        <v>1</v>
      </c>
      <c r="P89" s="1" t="n">
        <f aca="false">IF(AND(N89=1,S89=1,COUNTIFS($L$2:L89,L89,$J$2:J89,J89,$N$2:N89,1,$S$2:S89,1)=1),1,0)</f>
        <v>0</v>
      </c>
      <c r="Q89" s="1" t="n">
        <f aca="false">IF(AND(N89=1,S89=1,COUNTIFS($L$2:L89,L89,$K$2:K89,K89,$N$2:N89,1,$S$2:S89,1)=1),1,0)</f>
        <v>0</v>
      </c>
      <c r="R89" s="1" t="n">
        <f aca="false">IF(AND(N89=1,COUNTIFS($K$2:K89,K89,$L$2:L89,L89,$J$2:J89,J89,$N$2:N89,1)=1),1,0)</f>
        <v>0</v>
      </c>
      <c r="S89" s="1" t="n">
        <f aca="false">IF(AND(K89&lt;&gt;"Context and provider model",K89&lt;&gt;"Motivation"),1,0)</f>
        <v>0</v>
      </c>
    </row>
    <row r="90" customFormat="false" ht="45.75" hidden="false" customHeight="true" outlineLevel="0" collapsed="false">
      <c r="A90" s="3" t="s">
        <v>1402</v>
      </c>
      <c r="B90" s="3" t="s">
        <v>486</v>
      </c>
      <c r="C90" s="3" t="s">
        <v>222</v>
      </c>
      <c r="D90" s="12" t="n">
        <f aca="false">SUMIFS($O$2:$O$978,$K$2:$K$978,$A90,$L$2:$L$978,$B90,$M$2:$M$978,$C90)</f>
        <v>2</v>
      </c>
      <c r="E90" s="4" t="str">
        <f aca="false">IF(SUMIFS($Q$2:$Q$978,$L$2:$L$978,$B90)&gt;1,"Yes -- also friction/need/workaround in "&amp;(SUMIFS($Q$2:$Q$978,$L$2:$L$978,$B90)-1)&amp;" other stage(s); see Section 3","No -- stage-specific in this dataset")</f>
        <v>Yes -- also friction/need/workaround in 2 other stage(s); see Section 3</v>
      </c>
      <c r="F90" s="4" t="s">
        <v>2241</v>
      </c>
      <c r="G90" s="4" t="s">
        <v>2242</v>
      </c>
      <c r="H90" s="4" t="s">
        <v>1428</v>
      </c>
      <c r="J90" s="1" t="str">
        <f aca="false">'Raw Atomic Data (Pro)'!A90</f>
        <v>Shania</v>
      </c>
      <c r="K90" s="1" t="str">
        <f aca="false">'Raw Atomic Data (Pro)'!C90</f>
        <v>Context and provider model</v>
      </c>
      <c r="L90" s="1" t="str">
        <f aca="false">'Raw Atomic Data (Pro)'!D90</f>
        <v>business-model-fit</v>
      </c>
      <c r="M90" s="1" t="str">
        <f aca="false">'Raw Atomic Data (Pro)'!E90</f>
        <v>fact</v>
      </c>
      <c r="N90" s="1" t="n">
        <f aca="false">IF(OR(M90="friction",M90="need",M90="workaround"),1,0)</f>
        <v>0</v>
      </c>
      <c r="O90" s="1" t="n">
        <f aca="false">IF(COUNTIFS($K$2:K90,K90,$L$2:L90,L90,$M$2:M90,M90,$J$2:J90,J90)=1,1,0)</f>
        <v>1</v>
      </c>
      <c r="P90" s="1" t="n">
        <f aca="false">IF(AND(N90=1,S90=1,COUNTIFS($L$2:L90,L90,$J$2:J90,J90,$N$2:N90,1,$S$2:S90,1)=1),1,0)</f>
        <v>0</v>
      </c>
      <c r="Q90" s="1" t="n">
        <f aca="false">IF(AND(N90=1,S90=1,COUNTIFS($L$2:L90,L90,$K$2:K90,K90,$N$2:N90,1,$S$2:S90,1)=1),1,0)</f>
        <v>0</v>
      </c>
      <c r="R90" s="1" t="n">
        <f aca="false">IF(AND(N90=1,COUNTIFS($K$2:K90,K90,$L$2:L90,L90,$J$2:J90,J90,$N$2:N90,1)=1),1,0)</f>
        <v>0</v>
      </c>
      <c r="S90" s="1" t="n">
        <f aca="false">IF(AND(K90&lt;&gt;"Context and provider model",K90&lt;&gt;"Motivation"),1,0)</f>
        <v>0</v>
      </c>
    </row>
    <row r="91" customFormat="false" ht="45.75" hidden="false" customHeight="true" outlineLevel="0" collapsed="false">
      <c r="A91" s="3" t="s">
        <v>1402</v>
      </c>
      <c r="B91" s="3" t="s">
        <v>168</v>
      </c>
      <c r="C91" s="3" t="s">
        <v>222</v>
      </c>
      <c r="D91" s="12" t="n">
        <f aca="false">SUMIFS($O$2:$O$978,$K$2:$K$978,$A91,$L$2:$L$978,$B91,$M$2:$M$978,$C91)</f>
        <v>1</v>
      </c>
      <c r="E91" s="4" t="str">
        <f aca="false">IF(SUMIFS($Q$2:$Q$978,$L$2:$L$978,$B91)&gt;1,"Yes -- also friction/need/workaround in "&amp;(SUMIFS($Q$2:$Q$978,$L$2:$L$978,$B91)-1)&amp;" other stage(s); see Section 3","No -- stage-specific in this dataset")</f>
        <v>Yes -- also friction/need/workaround in 2 other stage(s); see Section 3</v>
      </c>
      <c r="F91" s="4" t="s">
        <v>99</v>
      </c>
      <c r="G91" s="4" t="s">
        <v>2243</v>
      </c>
      <c r="H91" s="4" t="s">
        <v>1474</v>
      </c>
      <c r="J91" s="1" t="str">
        <f aca="false">'Raw Atomic Data (Pro)'!A91</f>
        <v>Shania</v>
      </c>
      <c r="K91" s="1" t="str">
        <f aca="false">'Raw Atomic Data (Pro)'!C91</f>
        <v>Context and provider model</v>
      </c>
      <c r="L91" s="1" t="str">
        <f aca="false">'Raw Atomic Data (Pro)'!D91</f>
        <v>motivation-emotional-connection</v>
      </c>
      <c r="M91" s="1" t="str">
        <f aca="false">'Raw Atomic Data (Pro)'!E91</f>
        <v>fact</v>
      </c>
      <c r="N91" s="1" t="n">
        <f aca="false">IF(OR(M91="friction",M91="need",M91="workaround"),1,0)</f>
        <v>0</v>
      </c>
      <c r="O91" s="1" t="n">
        <f aca="false">IF(COUNTIFS($K$2:K91,K91,$L$2:L91,L91,$M$2:M91,M91,$J$2:J91,J91)=1,1,0)</f>
        <v>1</v>
      </c>
      <c r="P91" s="1" t="n">
        <f aca="false">IF(AND(N91=1,S91=1,COUNTIFS($L$2:L91,L91,$J$2:J91,J91,$N$2:N91,1,$S$2:S91,1)=1),1,0)</f>
        <v>0</v>
      </c>
      <c r="Q91" s="1" t="n">
        <f aca="false">IF(AND(N91=1,S91=1,COUNTIFS($L$2:L91,L91,$K$2:K91,K91,$N$2:N91,1,$S$2:S91,1)=1),1,0)</f>
        <v>0</v>
      </c>
      <c r="R91" s="1" t="n">
        <f aca="false">IF(AND(N91=1,COUNTIFS($K$2:K91,K91,$L$2:L91,L91,$J$2:J91,J91,$N$2:N91,1)=1),1,0)</f>
        <v>0</v>
      </c>
      <c r="S91" s="1" t="n">
        <f aca="false">IF(AND(K91&lt;&gt;"Context and provider model",K91&lt;&gt;"Motivation"),1,0)</f>
        <v>0</v>
      </c>
    </row>
    <row r="92" customFormat="false" ht="68.25" hidden="false" customHeight="true" outlineLevel="0" collapsed="false">
      <c r="A92" s="3" t="s">
        <v>1402</v>
      </c>
      <c r="B92" s="3" t="s">
        <v>117</v>
      </c>
      <c r="C92" s="3" t="s">
        <v>222</v>
      </c>
      <c r="D92" s="12" t="n">
        <f aca="false">SUMIFS($O$2:$O$978,$K$2:$K$978,$A92,$L$2:$L$978,$B92,$M$2:$M$978,$C92)</f>
        <v>1</v>
      </c>
      <c r="E92" s="4" t="str">
        <f aca="false">IF(SUMIFS($Q$2:$Q$978,$L$2:$L$978,$B92)&gt;1,"Yes -- also friction/need/workaround in "&amp;(SUMIFS($Q$2:$Q$978,$L$2:$L$978,$B92)-1)&amp;" other stage(s); see Section 3","No -- stage-specific in this dataset")</f>
        <v>Yes -- also friction/need/workaround in 2 other stage(s); see Section 3</v>
      </c>
      <c r="F92" s="4" t="s">
        <v>72</v>
      </c>
      <c r="G92" s="4" t="s">
        <v>2095</v>
      </c>
      <c r="H92" s="4" t="s">
        <v>1462</v>
      </c>
      <c r="J92" s="1" t="str">
        <f aca="false">'Raw Atomic Data (Pro)'!A92</f>
        <v>Shania</v>
      </c>
      <c r="K92" s="1" t="str">
        <f aca="false">'Raw Atomic Data (Pro)'!C92</f>
        <v>Context and provider model</v>
      </c>
      <c r="L92" s="1" t="str">
        <f aca="false">'Raw Atomic Data (Pro)'!D92</f>
        <v>provider-background</v>
      </c>
      <c r="M92" s="1" t="str">
        <f aca="false">'Raw Atomic Data (Pro)'!E92</f>
        <v>fact</v>
      </c>
      <c r="N92" s="1" t="n">
        <f aca="false">IF(OR(M92="friction",M92="need",M92="workaround"),1,0)</f>
        <v>0</v>
      </c>
      <c r="O92" s="1" t="n">
        <f aca="false">IF(COUNTIFS($K$2:K92,K92,$L$2:L92,L92,$M$2:M92,M92,$J$2:J92,J92)=1,1,0)</f>
        <v>0</v>
      </c>
      <c r="P92" s="1" t="n">
        <f aca="false">IF(AND(N92=1,S92=1,COUNTIFS($L$2:L92,L92,$J$2:J92,J92,$N$2:N92,1,$S$2:S92,1)=1),1,0)</f>
        <v>0</v>
      </c>
      <c r="Q92" s="1" t="n">
        <f aca="false">IF(AND(N92=1,S92=1,COUNTIFS($L$2:L92,L92,$K$2:K92,K92,$N$2:N92,1,$S$2:S92,1)=1),1,0)</f>
        <v>0</v>
      </c>
      <c r="R92" s="1" t="n">
        <f aca="false">IF(AND(N92=1,COUNTIFS($K$2:K92,K92,$L$2:L92,L92,$J$2:J92,J92,$N$2:N92,1)=1),1,0)</f>
        <v>0</v>
      </c>
      <c r="S92" s="1" t="n">
        <f aca="false">IF(AND(K92&lt;&gt;"Context and provider model",K92&lt;&gt;"Motivation"),1,0)</f>
        <v>0</v>
      </c>
    </row>
    <row r="93" customFormat="false" ht="68.25" hidden="false" customHeight="true" outlineLevel="0" collapsed="false">
      <c r="A93" s="3" t="s">
        <v>1591</v>
      </c>
      <c r="B93" s="3" t="s">
        <v>416</v>
      </c>
      <c r="C93" s="3" t="s">
        <v>222</v>
      </c>
      <c r="D93" s="12" t="n">
        <f aca="false">SUMIFS($O$2:$O$978,$K$2:$K$978,$A93,$L$2:$L$978,$B93,$M$2:$M$978,$C93)</f>
        <v>1</v>
      </c>
      <c r="E93" s="4" t="str">
        <f aca="false">IF(SUMIFS($Q$2:$Q$978,$L$2:$L$978,$B93)&gt;1,"Yes -- also friction/need/workaround in "&amp;(SUMIFS($Q$2:$Q$978,$L$2:$L$978,$B93)-1)&amp;" other stage(s); see Section 3","No -- stage-specific in this dataset")</f>
        <v>Yes -- also friction/need/workaround in 1 other stage(s); see Section 3</v>
      </c>
      <c r="F93" s="4" t="s">
        <v>171</v>
      </c>
      <c r="G93" s="4" t="s">
        <v>2244</v>
      </c>
      <c r="H93" s="4" t="s">
        <v>1664</v>
      </c>
      <c r="J93" s="1" t="str">
        <f aca="false">'Raw Atomic Data (Pro)'!A93</f>
        <v>Shania</v>
      </c>
      <c r="K93" s="1" t="str">
        <f aca="false">'Raw Atomic Data (Pro)'!C93</f>
        <v>Context and provider model</v>
      </c>
      <c r="L93" s="1" t="str">
        <f aca="false">'Raw Atomic Data (Pro)'!D93</f>
        <v>provider-background</v>
      </c>
      <c r="M93" s="1" t="str">
        <f aca="false">'Raw Atomic Data (Pro)'!E93</f>
        <v>fact</v>
      </c>
      <c r="N93" s="1" t="n">
        <f aca="false">IF(OR(M93="friction",M93="need",M93="workaround"),1,0)</f>
        <v>0</v>
      </c>
      <c r="O93" s="1" t="n">
        <f aca="false">IF(COUNTIFS($K$2:K93,K93,$L$2:L93,L93,$M$2:M93,M93,$J$2:J93,J93)=1,1,0)</f>
        <v>0</v>
      </c>
      <c r="P93" s="1" t="n">
        <f aca="false">IF(AND(N93=1,S93=1,COUNTIFS($L$2:L93,L93,$J$2:J93,J93,$N$2:N93,1,$S$2:S93,1)=1),1,0)</f>
        <v>0</v>
      </c>
      <c r="Q93" s="1" t="n">
        <f aca="false">IF(AND(N93=1,S93=1,COUNTIFS($L$2:L93,L93,$K$2:K93,K93,$N$2:N93,1,$S$2:S93,1)=1),1,0)</f>
        <v>0</v>
      </c>
      <c r="R93" s="1" t="n">
        <f aca="false">IF(AND(N93=1,COUNTIFS($K$2:K93,K93,$L$2:L93,L93,$J$2:J93,J93,$N$2:N93,1)=1),1,0)</f>
        <v>0</v>
      </c>
      <c r="S93" s="1" t="n">
        <f aca="false">IF(AND(K93&lt;&gt;"Context and provider model",K93&lt;&gt;"Motivation"),1,0)</f>
        <v>0</v>
      </c>
    </row>
    <row r="94" customFormat="false" ht="34.5" hidden="false" customHeight="true" outlineLevel="0" collapsed="false">
      <c r="A94" s="3" t="s">
        <v>1699</v>
      </c>
      <c r="B94" s="3" t="s">
        <v>413</v>
      </c>
      <c r="C94" s="3" t="s">
        <v>96</v>
      </c>
      <c r="D94" s="12" t="n">
        <f aca="false">SUMIFS($O$2:$O$978,$K$2:$K$978,$A94,$L$2:$L$978,$B94,$M$2:$M$978,$C94)</f>
        <v>2</v>
      </c>
      <c r="E94" s="4" t="str">
        <f aca="false">IF(SUMIFS($Q$2:$Q$978,$L$2:$L$978,$B94)&gt;1,"Yes -- also friction/need/workaround in "&amp;(SUMIFS($Q$2:$Q$978,$L$2:$L$978,$B94)-1)&amp;" other stage(s); see Section 3","No -- stage-specific in this dataset")</f>
        <v>Yes -- also friction/need/workaround in 5 other stage(s); see Section 3</v>
      </c>
      <c r="F94" s="4" t="s">
        <v>2245</v>
      </c>
      <c r="G94" s="4" t="s">
        <v>2246</v>
      </c>
      <c r="H94" s="4" t="s">
        <v>1803</v>
      </c>
      <c r="J94" s="1" t="str">
        <f aca="false">'Raw Atomic Data (Pro)'!A94</f>
        <v>Shania</v>
      </c>
      <c r="K94" s="1" t="str">
        <f aca="false">'Raw Atomic Data (Pro)'!C94</f>
        <v>Context and provider model</v>
      </c>
      <c r="L94" s="1" t="str">
        <f aca="false">'Raw Atomic Data (Pro)'!D94</f>
        <v>provider-background</v>
      </c>
      <c r="M94" s="1" t="str">
        <f aca="false">'Raw Atomic Data (Pro)'!E94</f>
        <v>fact</v>
      </c>
      <c r="N94" s="1" t="n">
        <f aca="false">IF(OR(M94="friction",M94="need",M94="workaround"),1,0)</f>
        <v>0</v>
      </c>
      <c r="O94" s="1" t="n">
        <f aca="false">IF(COUNTIFS($K$2:K94,K94,$L$2:L94,L94,$M$2:M94,M94,$J$2:J94,J94)=1,1,0)</f>
        <v>0</v>
      </c>
      <c r="P94" s="1" t="n">
        <f aca="false">IF(AND(N94=1,S94=1,COUNTIFS($L$2:L94,L94,$J$2:J94,J94,$N$2:N94,1,$S$2:S94,1)=1),1,0)</f>
        <v>0</v>
      </c>
      <c r="Q94" s="1" t="n">
        <f aca="false">IF(AND(N94=1,S94=1,COUNTIFS($L$2:L94,L94,$K$2:K94,K94,$N$2:N94,1,$S$2:S94,1)=1),1,0)</f>
        <v>0</v>
      </c>
      <c r="R94" s="1" t="n">
        <f aca="false">IF(AND(N94=1,COUNTIFS($K$2:K94,K94,$L$2:L94,L94,$J$2:J94,J94,$N$2:N94,1)=1),1,0)</f>
        <v>0</v>
      </c>
      <c r="S94" s="1" t="n">
        <f aca="false">IF(AND(K94&lt;&gt;"Context and provider model",K94&lt;&gt;"Motivation"),1,0)</f>
        <v>0</v>
      </c>
    </row>
    <row r="95" customFormat="false" ht="34.5" hidden="false" customHeight="true" outlineLevel="0" collapsed="false">
      <c r="A95" s="3" t="s">
        <v>1699</v>
      </c>
      <c r="B95" s="3" t="s">
        <v>37</v>
      </c>
      <c r="C95" s="3" t="s">
        <v>96</v>
      </c>
      <c r="D95" s="12" t="n">
        <f aca="false">SUMIFS($O$2:$O$978,$K$2:$K$978,$A95,$L$2:$L$978,$B95,$M$2:$M$978,$C95)</f>
        <v>1</v>
      </c>
      <c r="E95" s="4" t="str">
        <f aca="false">IF(SUMIFS($Q$2:$Q$978,$L$2:$L$978,$B95)&gt;1,"Yes -- also friction/need/workaround in "&amp;(SUMIFS($Q$2:$Q$978,$L$2:$L$978,$B95)-1)&amp;" other stage(s); see Section 3","No -- stage-specific in this dataset")</f>
        <v>No -- stage-specific in this dataset</v>
      </c>
      <c r="F95" s="4" t="s">
        <v>120</v>
      </c>
      <c r="G95" s="4" t="s">
        <v>2247</v>
      </c>
      <c r="H95" s="4" t="s">
        <v>1785</v>
      </c>
      <c r="J95" s="1" t="str">
        <f aca="false">'Raw Atomic Data (Pro)'!A95</f>
        <v>Shania</v>
      </c>
      <c r="K95" s="1" t="str">
        <f aca="false">'Raw Atomic Data (Pro)'!C95</f>
        <v>Context and provider model</v>
      </c>
      <c r="L95" s="1" t="str">
        <f aca="false">'Raw Atomic Data (Pro)'!D95</f>
        <v>repeat-client-relationships</v>
      </c>
      <c r="M95" s="1" t="str">
        <f aca="false">'Raw Atomic Data (Pro)'!E95</f>
        <v>fact</v>
      </c>
      <c r="N95" s="1" t="n">
        <f aca="false">IF(OR(M95="friction",M95="need",M95="workaround"),1,0)</f>
        <v>0</v>
      </c>
      <c r="O95" s="1" t="n">
        <f aca="false">IF(COUNTIFS($K$2:K95,K95,$L$2:L95,L95,$M$2:M95,M95,$J$2:J95,J95)=1,1,0)</f>
        <v>1</v>
      </c>
      <c r="P95" s="1" t="n">
        <f aca="false">IF(AND(N95=1,S95=1,COUNTIFS($L$2:L95,L95,$J$2:J95,J95,$N$2:N95,1,$S$2:S95,1)=1),1,0)</f>
        <v>0</v>
      </c>
      <c r="Q95" s="1" t="n">
        <f aca="false">IF(AND(N95=1,S95=1,COUNTIFS($L$2:L95,L95,$K$2:K95,K95,$N$2:N95,1,$S$2:S95,1)=1),1,0)</f>
        <v>0</v>
      </c>
      <c r="R95" s="1" t="n">
        <f aca="false">IF(AND(N95=1,COUNTIFS($K$2:K95,K95,$L$2:L95,L95,$J$2:J95,J95,$N$2:N95,1)=1),1,0)</f>
        <v>0</v>
      </c>
      <c r="S95" s="1" t="n">
        <f aca="false">IF(AND(K95&lt;&gt;"Context and provider model",K95&lt;&gt;"Motivation"),1,0)</f>
        <v>0</v>
      </c>
    </row>
    <row r="96" customFormat="false" ht="45.75" hidden="false" customHeight="true" outlineLevel="0" collapsed="false">
      <c r="A96" s="3" t="s">
        <v>1699</v>
      </c>
      <c r="B96" s="3" t="s">
        <v>1411</v>
      </c>
      <c r="C96" s="3" t="s">
        <v>96</v>
      </c>
      <c r="D96" s="12" t="n">
        <f aca="false">SUMIFS($O$2:$O$978,$K$2:$K$978,$A96,$L$2:$L$978,$B96,$M$2:$M$978,$C96)</f>
        <v>1</v>
      </c>
      <c r="E96" s="4" t="str">
        <f aca="false">IF(SUMIFS($Q$2:$Q$978,$L$2:$L$978,$B96)&gt;1,"Yes -- also friction/need/workaround in "&amp;(SUMIFS($Q$2:$Q$978,$L$2:$L$978,$B96)-1)&amp;" other stage(s); see Section 3","No -- stage-specific in this dataset")</f>
        <v>Yes -- also friction/need/workaround in 1 other stage(s); see Section 3</v>
      </c>
      <c r="F96" s="4" t="s">
        <v>99</v>
      </c>
      <c r="G96" s="4" t="s">
        <v>2248</v>
      </c>
      <c r="H96" s="4" t="s">
        <v>1771</v>
      </c>
      <c r="J96" s="1" t="str">
        <f aca="false">'Raw Atomic Data (Pro)'!A96</f>
        <v>Shania</v>
      </c>
      <c r="K96" s="1" t="str">
        <f aca="false">'Raw Atomic Data (Pro)'!C96</f>
        <v>Context and provider model</v>
      </c>
      <c r="L96" s="1" t="str">
        <f aca="false">'Raw Atomic Data (Pro)'!D96</f>
        <v>business-model-fit</v>
      </c>
      <c r="M96" s="1" t="str">
        <f aca="false">'Raw Atomic Data (Pro)'!E96</f>
        <v>workaround</v>
      </c>
      <c r="N96" s="1" t="n">
        <f aca="false">IF(OR(M96="friction",M96="need",M96="workaround"),1,0)</f>
        <v>1</v>
      </c>
      <c r="O96" s="1" t="n">
        <f aca="false">IF(COUNTIFS($K$2:K96,K96,$L$2:L96,L96,$M$2:M96,M96,$J$2:J96,J96)=1,1,0)</f>
        <v>1</v>
      </c>
      <c r="P96" s="1" t="n">
        <f aca="false">IF(AND(N96=1,S96=1,COUNTIFS($L$2:L96,L96,$J$2:J96,J96,$N$2:N96,1,$S$2:S96,1)=1),1,0)</f>
        <v>0</v>
      </c>
      <c r="Q96" s="1" t="n">
        <f aca="false">IF(AND(N96=1,S96=1,COUNTIFS($L$2:L96,L96,$K$2:K96,K96,$N$2:N96,1,$S$2:S96,1)=1),1,0)</f>
        <v>0</v>
      </c>
      <c r="R96" s="1" t="n">
        <f aca="false">IF(AND(N96=1,COUNTIFS($K$2:K96,K96,$L$2:L96,L96,$J$2:J96,J96,$N$2:N96,1)=1),1,0)</f>
        <v>1</v>
      </c>
      <c r="S96" s="1" t="n">
        <f aca="false">IF(AND(K96&lt;&gt;"Context and provider model",K96&lt;&gt;"Motivation"),1,0)</f>
        <v>0</v>
      </c>
    </row>
    <row r="97" customFormat="false" ht="79.5" hidden="false" customHeight="true" outlineLevel="0" collapsed="false">
      <c r="A97" s="3" t="s">
        <v>1699</v>
      </c>
      <c r="B97" s="3" t="s">
        <v>1503</v>
      </c>
      <c r="C97" s="3" t="s">
        <v>96</v>
      </c>
      <c r="D97" s="12" t="n">
        <f aca="false">SUMIFS($O$2:$O$978,$K$2:$K$978,$A97,$L$2:$L$978,$B97,$M$2:$M$978,$C97)</f>
        <v>1</v>
      </c>
      <c r="E97" s="4" t="str">
        <f aca="false">IF(SUMIFS($Q$2:$Q$978,$L$2:$L$978,$B97)&gt;1,"Yes -- also friction/need/workaround in "&amp;(SUMIFS($Q$2:$Q$978,$L$2:$L$978,$B97)-1)&amp;" other stage(s); see Section 3","No -- stage-specific in this dataset")</f>
        <v>Yes -- also friction/need/workaround in 1 other stage(s); see Section 3</v>
      </c>
      <c r="F97" s="4" t="s">
        <v>251</v>
      </c>
      <c r="G97" s="4" t="s">
        <v>2249</v>
      </c>
      <c r="H97" s="4" t="s">
        <v>1862</v>
      </c>
      <c r="J97" s="1" t="str">
        <f aca="false">'Raw Atomic Data (Pro)'!A97</f>
        <v>Shania</v>
      </c>
      <c r="K97" s="1" t="str">
        <f aca="false">'Raw Atomic Data (Pro)'!C97</f>
        <v>Context and provider model</v>
      </c>
      <c r="L97" s="1" t="str">
        <f aca="false">'Raw Atomic Data (Pro)'!D97</f>
        <v>motivation-emotional-connection</v>
      </c>
      <c r="M97" s="1" t="str">
        <f aca="false">'Raw Atomic Data (Pro)'!E97</f>
        <v>value-statement</v>
      </c>
      <c r="N97" s="1" t="n">
        <f aca="false">IF(OR(M97="friction",M97="need",M97="workaround"),1,0)</f>
        <v>0</v>
      </c>
      <c r="O97" s="1" t="n">
        <f aca="false">IF(COUNTIFS($K$2:K97,K97,$L$2:L97,L97,$M$2:M97,M97,$J$2:J97,J97)=1,1,0)</f>
        <v>1</v>
      </c>
      <c r="P97" s="1" t="n">
        <f aca="false">IF(AND(N97=1,S97=1,COUNTIFS($L$2:L97,L97,$J$2:J97,J97,$N$2:N97,1,$S$2:S97,1)=1),1,0)</f>
        <v>0</v>
      </c>
      <c r="Q97" s="1" t="n">
        <f aca="false">IF(AND(N97=1,S97=1,COUNTIFS($L$2:L97,L97,$K$2:K97,K97,$N$2:N97,1,$S$2:S97,1)=1),1,0)</f>
        <v>0</v>
      </c>
      <c r="R97" s="1" t="n">
        <f aca="false">IF(AND(N97=1,COUNTIFS($K$2:K97,K97,$L$2:L97,L97,$J$2:J97,J97,$N$2:N97,1)=1),1,0)</f>
        <v>0</v>
      </c>
      <c r="S97" s="1" t="n">
        <f aca="false">IF(AND(K97&lt;&gt;"Context and provider model",K97&lt;&gt;"Motivation"),1,0)</f>
        <v>0</v>
      </c>
    </row>
    <row r="98" customFormat="false" ht="79.5" hidden="false" customHeight="true" outlineLevel="0" collapsed="false">
      <c r="A98" s="3" t="s">
        <v>1699</v>
      </c>
      <c r="B98" s="3" t="s">
        <v>27</v>
      </c>
      <c r="C98" s="3" t="s">
        <v>96</v>
      </c>
      <c r="D98" s="12" t="n">
        <f aca="false">SUMIFS($O$2:$O$978,$K$2:$K$978,$A98,$L$2:$L$978,$B98,$M$2:$M$978,$C98)</f>
        <v>1</v>
      </c>
      <c r="E98" s="4" t="str">
        <f aca="false">IF(SUMIFS($Q$2:$Q$978,$L$2:$L$978,$B98)&gt;1,"Yes -- also friction/need/workaround in "&amp;(SUMIFS($Q$2:$Q$978,$L$2:$L$978,$B98)-1)&amp;" other stage(s); see Section 3","No -- stage-specific in this dataset")</f>
        <v>No -- stage-specific in this dataset</v>
      </c>
      <c r="F98" s="4" t="s">
        <v>54</v>
      </c>
      <c r="G98" s="4" t="s">
        <v>2097</v>
      </c>
      <c r="H98" s="4" t="s">
        <v>1739</v>
      </c>
      <c r="J98" s="1" t="str">
        <f aca="false">'Raw Atomic Data (Pro)'!A98</f>
        <v>Tianrui</v>
      </c>
      <c r="K98" s="1" t="str">
        <f aca="false">'Raw Atomic Data (Pro)'!C98</f>
        <v>Context and provider model</v>
      </c>
      <c r="L98" s="1" t="str">
        <f aca="false">'Raw Atomic Data (Pro)'!D98</f>
        <v>provider-background</v>
      </c>
      <c r="M98" s="1" t="str">
        <f aca="false">'Raw Atomic Data (Pro)'!E98</f>
        <v>fact</v>
      </c>
      <c r="N98" s="1" t="n">
        <f aca="false">IF(OR(M98="friction",M98="need",M98="workaround"),1,0)</f>
        <v>0</v>
      </c>
      <c r="O98" s="1" t="n">
        <f aca="false">IF(COUNTIFS($K$2:K98,K98,$L$2:L98,L98,$M$2:M98,M98,$J$2:J98,J98)=1,1,0)</f>
        <v>1</v>
      </c>
      <c r="P98" s="1" t="n">
        <f aca="false">IF(AND(N98=1,S98=1,COUNTIFS($L$2:L98,L98,$J$2:J98,J98,$N$2:N98,1,$S$2:S98,1)=1),1,0)</f>
        <v>0</v>
      </c>
      <c r="Q98" s="1" t="n">
        <f aca="false">IF(AND(N98=1,S98=1,COUNTIFS($L$2:L98,L98,$K$2:K98,K98,$N$2:N98,1,$S$2:S98,1)=1),1,0)</f>
        <v>0</v>
      </c>
      <c r="R98" s="1" t="n">
        <f aca="false">IF(AND(N98=1,COUNTIFS($K$2:K98,K98,$L$2:L98,L98,$J$2:J98,J98,$N$2:N98,1)=1),1,0)</f>
        <v>0</v>
      </c>
      <c r="S98" s="1" t="n">
        <f aca="false">IF(AND(K98&lt;&gt;"Context and provider model",K98&lt;&gt;"Motivation"),1,0)</f>
        <v>0</v>
      </c>
    </row>
    <row r="99" customFormat="false" ht="68.25" hidden="false" customHeight="true" outlineLevel="0" collapsed="false">
      <c r="A99" s="3" t="s">
        <v>1699</v>
      </c>
      <c r="B99" s="3" t="s">
        <v>129</v>
      </c>
      <c r="C99" s="3" t="s">
        <v>59</v>
      </c>
      <c r="D99" s="12" t="n">
        <f aca="false">SUMIFS($O$2:$O$978,$K$2:$K$978,$A99,$L$2:$L$978,$B99,$M$2:$M$978,$C99)</f>
        <v>4</v>
      </c>
      <c r="E99" s="4" t="str">
        <f aca="false">IF(SUMIFS($Q$2:$Q$978,$L$2:$L$978,$B99)&gt;1,"Yes -- also friction/need/workaround in "&amp;(SUMIFS($Q$2:$Q$978,$L$2:$L$978,$B99)-1)&amp;" other stage(s); see Section 3","No -- stage-specific in this dataset")</f>
        <v>No -- stage-specific in this dataset</v>
      </c>
      <c r="F99" s="4" t="s">
        <v>2028</v>
      </c>
      <c r="G99" s="4" t="s">
        <v>2029</v>
      </c>
      <c r="H99" s="4" t="s">
        <v>1707</v>
      </c>
      <c r="J99" s="1" t="str">
        <f aca="false">'Raw Atomic Data (Pro)'!A99</f>
        <v>Tianrui</v>
      </c>
      <c r="K99" s="1" t="str">
        <f aca="false">'Raw Atomic Data (Pro)'!C99</f>
        <v>Context and provider model</v>
      </c>
      <c r="L99" s="1" t="str">
        <f aca="false">'Raw Atomic Data (Pro)'!D99</f>
        <v>provider-background</v>
      </c>
      <c r="M99" s="1" t="str">
        <f aca="false">'Raw Atomic Data (Pro)'!E99</f>
        <v>fact</v>
      </c>
      <c r="N99" s="1" t="n">
        <f aca="false">IF(OR(M99="friction",M99="need",M99="workaround"),1,0)</f>
        <v>0</v>
      </c>
      <c r="O99" s="1" t="n">
        <f aca="false">IF(COUNTIFS($K$2:K99,K99,$L$2:L99,L99,$M$2:M99,M99,$J$2:J99,J99)=1,1,0)</f>
        <v>0</v>
      </c>
      <c r="P99" s="1" t="n">
        <f aca="false">IF(AND(N99=1,S99=1,COUNTIFS($L$2:L99,L99,$J$2:J99,J99,$N$2:N99,1,$S$2:S99,1)=1),1,0)</f>
        <v>0</v>
      </c>
      <c r="Q99" s="1" t="n">
        <f aca="false">IF(AND(N99=1,S99=1,COUNTIFS($L$2:L99,L99,$K$2:K99,K99,$N$2:N99,1,$S$2:S99,1)=1),1,0)</f>
        <v>0</v>
      </c>
      <c r="R99" s="1" t="n">
        <f aca="false">IF(AND(N99=1,COUNTIFS($K$2:K99,K99,$L$2:L99,L99,$J$2:J99,J99,$N$2:N99,1)=1),1,0)</f>
        <v>0</v>
      </c>
      <c r="S99" s="1" t="n">
        <f aca="false">IF(AND(K99&lt;&gt;"Context and provider model",K99&lt;&gt;"Motivation"),1,0)</f>
        <v>0</v>
      </c>
    </row>
    <row r="100" customFormat="false" ht="57" hidden="false" customHeight="true" outlineLevel="0" collapsed="false">
      <c r="A100" s="3" t="s">
        <v>1699</v>
      </c>
      <c r="B100" s="3" t="s">
        <v>413</v>
      </c>
      <c r="C100" s="3" t="s">
        <v>59</v>
      </c>
      <c r="D100" s="12" t="n">
        <f aca="false">SUMIFS($O$2:$O$978,$K$2:$K$978,$A100,$L$2:$L$978,$B100,$M$2:$M$978,$C100)</f>
        <v>4</v>
      </c>
      <c r="E100" s="4" t="str">
        <f aca="false">IF(SUMIFS($Q$2:$Q$978,$L$2:$L$978,$B100)&gt;1,"Yes -- also friction/need/workaround in "&amp;(SUMIFS($Q$2:$Q$978,$L$2:$L$978,$B100)-1)&amp;" other stage(s); see Section 3","No -- stage-specific in this dataset")</f>
        <v>Yes -- also friction/need/workaround in 5 other stage(s); see Section 3</v>
      </c>
      <c r="F100" s="4" t="s">
        <v>2250</v>
      </c>
      <c r="G100" s="4" t="s">
        <v>2251</v>
      </c>
      <c r="H100" s="4" t="s">
        <v>1801</v>
      </c>
      <c r="J100" s="1" t="str">
        <f aca="false">'Raw Atomic Data (Pro)'!A100</f>
        <v>Tianrui</v>
      </c>
      <c r="K100" s="1" t="str">
        <f aca="false">'Raw Atomic Data (Pro)'!C100</f>
        <v>Context and provider model</v>
      </c>
      <c r="L100" s="1" t="str">
        <f aca="false">'Raw Atomic Data (Pro)'!D100</f>
        <v>business-model-fit</v>
      </c>
      <c r="M100" s="1" t="str">
        <f aca="false">'Raw Atomic Data (Pro)'!E100</f>
        <v>fact</v>
      </c>
      <c r="N100" s="1" t="n">
        <f aca="false">IF(OR(M100="friction",M100="need",M100="workaround"),1,0)</f>
        <v>0</v>
      </c>
      <c r="O100" s="1" t="n">
        <f aca="false">IF(COUNTIFS($K$2:K100,K100,$L$2:L100,L100,$M$2:M100,M100,$J$2:J100,J100)=1,1,0)</f>
        <v>1</v>
      </c>
      <c r="P100" s="1" t="n">
        <f aca="false">IF(AND(N100=1,S100=1,COUNTIFS($L$2:L100,L100,$J$2:J100,J100,$N$2:N100,1,$S$2:S100,1)=1),1,0)</f>
        <v>0</v>
      </c>
      <c r="Q100" s="1" t="n">
        <f aca="false">IF(AND(N100=1,S100=1,COUNTIFS($L$2:L100,L100,$K$2:K100,K100,$N$2:N100,1,$S$2:S100,1)=1),1,0)</f>
        <v>0</v>
      </c>
      <c r="R100" s="1" t="n">
        <f aca="false">IF(AND(N100=1,COUNTIFS($K$2:K100,K100,$L$2:L100,L100,$J$2:J100,J100,$N$2:N100,1)=1),1,0)</f>
        <v>0</v>
      </c>
      <c r="S100" s="1" t="n">
        <f aca="false">IF(AND(K100&lt;&gt;"Context and provider model",K100&lt;&gt;"Motivation"),1,0)</f>
        <v>0</v>
      </c>
    </row>
    <row r="101" customFormat="false" ht="68.25" hidden="false" customHeight="true" outlineLevel="0" collapsed="false">
      <c r="A101" s="3" t="s">
        <v>1699</v>
      </c>
      <c r="B101" s="3" t="s">
        <v>168</v>
      </c>
      <c r="C101" s="3" t="s">
        <v>59</v>
      </c>
      <c r="D101" s="12" t="n">
        <f aca="false">SUMIFS($O$2:$O$978,$K$2:$K$978,$A101,$L$2:$L$978,$B101,$M$2:$M$978,$C101)</f>
        <v>2</v>
      </c>
      <c r="E101" s="4" t="str">
        <f aca="false">IF(SUMIFS($Q$2:$Q$978,$L$2:$L$978,$B101)&gt;1,"Yes -- also friction/need/workaround in "&amp;(SUMIFS($Q$2:$Q$978,$L$2:$L$978,$B101)-1)&amp;" other stage(s); see Section 3","No -- stage-specific in this dataset")</f>
        <v>Yes -- also friction/need/workaround in 2 other stage(s); see Section 3</v>
      </c>
      <c r="F101" s="4" t="s">
        <v>2226</v>
      </c>
      <c r="G101" s="4" t="s">
        <v>2252</v>
      </c>
      <c r="H101" s="4" t="s">
        <v>1743</v>
      </c>
      <c r="J101" s="1" t="str">
        <f aca="false">'Raw Atomic Data (Pro)'!A101</f>
        <v>Tianrui</v>
      </c>
      <c r="K101" s="1" t="str">
        <f aca="false">'Raw Atomic Data (Pro)'!C101</f>
        <v>Context and provider model</v>
      </c>
      <c r="L101" s="1" t="str">
        <f aca="false">'Raw Atomic Data (Pro)'!D101</f>
        <v>off-platform-clients-leakage</v>
      </c>
      <c r="M101" s="1" t="str">
        <f aca="false">'Raw Atomic Data (Pro)'!E101</f>
        <v>fact</v>
      </c>
      <c r="N101" s="1" t="n">
        <f aca="false">IF(OR(M101="friction",M101="need",M101="workaround"),1,0)</f>
        <v>0</v>
      </c>
      <c r="O101" s="1" t="n">
        <f aca="false">IF(COUNTIFS($K$2:K101,K101,$L$2:L101,L101,$M$2:M101,M101,$J$2:J101,J101)=1,1,0)</f>
        <v>1</v>
      </c>
      <c r="P101" s="1" t="n">
        <f aca="false">IF(AND(N101=1,S101=1,COUNTIFS($L$2:L101,L101,$J$2:J101,J101,$N$2:N101,1,$S$2:S101,1)=1),1,0)</f>
        <v>0</v>
      </c>
      <c r="Q101" s="1" t="n">
        <f aca="false">IF(AND(N101=1,S101=1,COUNTIFS($L$2:L101,L101,$K$2:K101,K101,$N$2:N101,1,$S$2:S101,1)=1),1,0)</f>
        <v>0</v>
      </c>
      <c r="R101" s="1" t="n">
        <f aca="false">IF(AND(N101=1,COUNTIFS($K$2:K101,K101,$L$2:L101,L101,$J$2:J101,J101,$N$2:N101,1)=1),1,0)</f>
        <v>0</v>
      </c>
      <c r="S101" s="1" t="n">
        <f aca="false">IF(AND(K101&lt;&gt;"Context and provider model",K101&lt;&gt;"Motivation"),1,0)</f>
        <v>0</v>
      </c>
    </row>
    <row r="102" customFormat="false" ht="45.75" hidden="false" customHeight="true" outlineLevel="0" collapsed="false">
      <c r="A102" s="3" t="s">
        <v>1699</v>
      </c>
      <c r="B102" s="3" t="s">
        <v>457</v>
      </c>
      <c r="C102" s="3" t="s">
        <v>59</v>
      </c>
      <c r="D102" s="12" t="n">
        <f aca="false">SUMIFS($O$2:$O$978,$K$2:$K$978,$A102,$L$2:$L$978,$B102,$M$2:$M$978,$C102)</f>
        <v>2</v>
      </c>
      <c r="E102" s="4" t="str">
        <f aca="false">IF(SUMIFS($Q$2:$Q$978,$L$2:$L$978,$B102)&gt;1,"Yes -- also friction/need/workaround in "&amp;(SUMIFS($Q$2:$Q$978,$L$2:$L$978,$B102)-1)&amp;" other stage(s); see Section 3","No -- stage-specific in this dataset")</f>
        <v>No -- stage-specific in this dataset</v>
      </c>
      <c r="F102" s="4" t="s">
        <v>2078</v>
      </c>
      <c r="G102" s="4" t="s">
        <v>2079</v>
      </c>
      <c r="H102" s="4" t="s">
        <v>1765</v>
      </c>
      <c r="J102" s="1" t="str">
        <f aca="false">'Raw Atomic Data (Pro)'!A102</f>
        <v>Tianrui</v>
      </c>
      <c r="K102" s="1" t="str">
        <f aca="false">'Raw Atomic Data (Pro)'!C102</f>
        <v>Context and provider model</v>
      </c>
      <c r="L102" s="1" t="str">
        <f aca="false">'Raw Atomic Data (Pro)'!D102</f>
        <v>provider-background</v>
      </c>
      <c r="M102" s="1" t="str">
        <f aca="false">'Raw Atomic Data (Pro)'!E102</f>
        <v>fact</v>
      </c>
      <c r="N102" s="1" t="n">
        <f aca="false">IF(OR(M102="friction",M102="need",M102="workaround"),1,0)</f>
        <v>0</v>
      </c>
      <c r="O102" s="1" t="n">
        <f aca="false">IF(COUNTIFS($K$2:K102,K102,$L$2:L102,L102,$M$2:M102,M102,$J$2:J102,J102)=1,1,0)</f>
        <v>0</v>
      </c>
      <c r="P102" s="1" t="n">
        <f aca="false">IF(AND(N102=1,S102=1,COUNTIFS($L$2:L102,L102,$J$2:J102,J102,$N$2:N102,1,$S$2:S102,1)=1),1,0)</f>
        <v>0</v>
      </c>
      <c r="Q102" s="1" t="n">
        <f aca="false">IF(AND(N102=1,S102=1,COUNTIFS($L$2:L102,L102,$K$2:K102,K102,$N$2:N102,1,$S$2:S102,1)=1),1,0)</f>
        <v>0</v>
      </c>
      <c r="R102" s="1" t="n">
        <f aca="false">IF(AND(N102=1,COUNTIFS($K$2:K102,K102,$L$2:L102,L102,$J$2:J102,J102,$N$2:N102,1)=1),1,0)</f>
        <v>0</v>
      </c>
      <c r="S102" s="1" t="n">
        <f aca="false">IF(AND(K102&lt;&gt;"Context and provider model",K102&lt;&gt;"Motivation"),1,0)</f>
        <v>0</v>
      </c>
    </row>
    <row r="103" customFormat="false" ht="34.5" hidden="false" customHeight="true" outlineLevel="0" collapsed="false">
      <c r="A103" s="3" t="s">
        <v>1699</v>
      </c>
      <c r="B103" s="3" t="s">
        <v>757</v>
      </c>
      <c r="C103" s="3" t="s">
        <v>59</v>
      </c>
      <c r="D103" s="12" t="n">
        <f aca="false">SUMIFS($O$2:$O$978,$K$2:$K$978,$A103,$L$2:$L$978,$B103,$M$2:$M$978,$C103)</f>
        <v>1</v>
      </c>
      <c r="E103" s="4" t="str">
        <f aca="false">IF(SUMIFS($Q$2:$Q$978,$L$2:$L$978,$B103)&gt;1,"Yes -- also friction/need/workaround in "&amp;(SUMIFS($Q$2:$Q$978,$L$2:$L$978,$B103)-1)&amp;" other stage(s); see Section 3","No -- stage-specific in this dataset")</f>
        <v>Yes -- also friction/need/workaround in 1 other stage(s); see Section 3</v>
      </c>
      <c r="F103" s="4" t="s">
        <v>251</v>
      </c>
      <c r="G103" s="4" t="s">
        <v>2253</v>
      </c>
      <c r="H103" s="4"/>
      <c r="J103" s="1" t="str">
        <f aca="false">'Raw Atomic Data (Pro)'!A103</f>
        <v>Tianrui</v>
      </c>
      <c r="K103" s="1" t="str">
        <f aca="false">'Raw Atomic Data (Pro)'!C103</f>
        <v>Context and provider model</v>
      </c>
      <c r="L103" s="1" t="str">
        <f aca="false">'Raw Atomic Data (Pro)'!D103</f>
        <v>repeat-client-relationships</v>
      </c>
      <c r="M103" s="1" t="str">
        <f aca="false">'Raw Atomic Data (Pro)'!E103</f>
        <v>fact</v>
      </c>
      <c r="N103" s="1" t="n">
        <f aca="false">IF(OR(M103="friction",M103="need",M103="workaround"),1,0)</f>
        <v>0</v>
      </c>
      <c r="O103" s="1" t="n">
        <f aca="false">IF(COUNTIFS($K$2:K103,K103,$L$2:L103,L103,$M$2:M103,M103,$J$2:J103,J103)=1,1,0)</f>
        <v>1</v>
      </c>
      <c r="P103" s="1" t="n">
        <f aca="false">IF(AND(N103=1,S103=1,COUNTIFS($L$2:L103,L103,$J$2:J103,J103,$N$2:N103,1,$S$2:S103,1)=1),1,0)</f>
        <v>0</v>
      </c>
      <c r="Q103" s="1" t="n">
        <f aca="false">IF(AND(N103=1,S103=1,COUNTIFS($L$2:L103,L103,$K$2:K103,K103,$N$2:N103,1,$S$2:S103,1)=1),1,0)</f>
        <v>0</v>
      </c>
      <c r="R103" s="1" t="n">
        <f aca="false">IF(AND(N103=1,COUNTIFS($K$2:K103,K103,$L$2:L103,L103,$J$2:J103,J103,$N$2:N103,1)=1),1,0)</f>
        <v>0</v>
      </c>
      <c r="S103" s="1" t="n">
        <f aca="false">IF(AND(K103&lt;&gt;"Context and provider model",K103&lt;&gt;"Motivation"),1,0)</f>
        <v>0</v>
      </c>
    </row>
    <row r="104" customFormat="false" ht="57" hidden="false" customHeight="true" outlineLevel="0" collapsed="false">
      <c r="A104" s="3" t="s">
        <v>1699</v>
      </c>
      <c r="B104" s="3" t="s">
        <v>952</v>
      </c>
      <c r="C104" s="3" t="s">
        <v>59</v>
      </c>
      <c r="D104" s="12" t="n">
        <f aca="false">SUMIFS($O$2:$O$978,$K$2:$K$978,$A104,$L$2:$L$978,$B104,$M$2:$M$978,$C104)</f>
        <v>1</v>
      </c>
      <c r="E104" s="4" t="str">
        <f aca="false">IF(SUMIFS($Q$2:$Q$978,$L$2:$L$978,$B104)&gt;1,"Yes -- also friction/need/workaround in "&amp;(SUMIFS($Q$2:$Q$978,$L$2:$L$978,$B104)-1)&amp;" other stage(s); see Section 3","No -- stage-specific in this dataset")</f>
        <v>Yes -- also friction/need/workaround in 2 other stage(s); see Section 3</v>
      </c>
      <c r="F104" s="4" t="s">
        <v>1863</v>
      </c>
      <c r="G104" s="4" t="s">
        <v>2254</v>
      </c>
      <c r="H104" s="4" t="s">
        <v>1993</v>
      </c>
      <c r="J104" s="1" t="str">
        <f aca="false">'Raw Atomic Data (Pro)'!A104</f>
        <v>Tianrui</v>
      </c>
      <c r="K104" s="1" t="str">
        <f aca="false">'Raw Atomic Data (Pro)'!C104</f>
        <v>Context and provider model</v>
      </c>
      <c r="L104" s="1" t="str">
        <f aca="false">'Raw Atomic Data (Pro)'!D104</f>
        <v>provider-background</v>
      </c>
      <c r="M104" s="1" t="str">
        <f aca="false">'Raw Atomic Data (Pro)'!E104</f>
        <v>fact</v>
      </c>
      <c r="N104" s="1" t="n">
        <f aca="false">IF(OR(M104="friction",M104="need",M104="workaround"),1,0)</f>
        <v>0</v>
      </c>
      <c r="O104" s="1" t="n">
        <f aca="false">IF(COUNTIFS($K$2:K104,K104,$L$2:L104,L104,$M$2:M104,M104,$J$2:J104,J104)=1,1,0)</f>
        <v>0</v>
      </c>
      <c r="P104" s="1" t="n">
        <f aca="false">IF(AND(N104=1,S104=1,COUNTIFS($L$2:L104,L104,$J$2:J104,J104,$N$2:N104,1,$S$2:S104,1)=1),1,0)</f>
        <v>0</v>
      </c>
      <c r="Q104" s="1" t="n">
        <f aca="false">IF(AND(N104=1,S104=1,COUNTIFS($L$2:L104,L104,$K$2:K104,K104,$N$2:N104,1,$S$2:S104,1)=1),1,0)</f>
        <v>0</v>
      </c>
      <c r="R104" s="1" t="n">
        <f aca="false">IF(AND(N104=1,COUNTIFS($K$2:K104,K104,$L$2:L104,L104,$J$2:J104,J104,$N$2:N104,1)=1),1,0)</f>
        <v>0</v>
      </c>
      <c r="S104" s="1" t="n">
        <f aca="false">IF(AND(K104&lt;&gt;"Context and provider model",K104&lt;&gt;"Motivation"),1,0)</f>
        <v>0</v>
      </c>
    </row>
    <row r="105" customFormat="false" ht="45.75" hidden="false" customHeight="true" outlineLevel="0" collapsed="false">
      <c r="A105" s="3" t="s">
        <v>1699</v>
      </c>
      <c r="B105" s="3" t="s">
        <v>117</v>
      </c>
      <c r="C105" s="3" t="s">
        <v>59</v>
      </c>
      <c r="D105" s="12" t="n">
        <f aca="false">SUMIFS($O$2:$O$978,$K$2:$K$978,$A105,$L$2:$L$978,$B105,$M$2:$M$978,$C105)</f>
        <v>1</v>
      </c>
      <c r="E105" s="4" t="str">
        <f aca="false">IF(SUMIFS($Q$2:$Q$978,$L$2:$L$978,$B105)&gt;1,"Yes -- also friction/need/workaround in "&amp;(SUMIFS($Q$2:$Q$978,$L$2:$L$978,$B105)-1)&amp;" other stage(s); see Section 3","No -- stage-specific in this dataset")</f>
        <v>Yes -- also friction/need/workaround in 2 other stage(s); see Section 3</v>
      </c>
      <c r="F105" s="4" t="s">
        <v>251</v>
      </c>
      <c r="G105" s="4" t="s">
        <v>2255</v>
      </c>
      <c r="H105" s="4"/>
      <c r="J105" s="1" t="str">
        <f aca="false">'Raw Atomic Data (Pro)'!A105</f>
        <v>Tianrui</v>
      </c>
      <c r="K105" s="1" t="str">
        <f aca="false">'Raw Atomic Data (Pro)'!C105</f>
        <v>Context and provider model</v>
      </c>
      <c r="L105" s="1" t="str">
        <f aca="false">'Raw Atomic Data (Pro)'!D105</f>
        <v>provider-background</v>
      </c>
      <c r="M105" s="1" t="str">
        <f aca="false">'Raw Atomic Data (Pro)'!E105</f>
        <v>fact</v>
      </c>
      <c r="N105" s="1" t="n">
        <f aca="false">IF(OR(M105="friction",M105="need",M105="workaround"),1,0)</f>
        <v>0</v>
      </c>
      <c r="O105" s="1" t="n">
        <f aca="false">IF(COUNTIFS($K$2:K105,K105,$L$2:L105,L105,$M$2:M105,M105,$J$2:J105,J105)=1,1,0)</f>
        <v>0</v>
      </c>
      <c r="P105" s="1" t="n">
        <f aca="false">IF(AND(N105=1,S105=1,COUNTIFS($L$2:L105,L105,$J$2:J105,J105,$N$2:N105,1,$S$2:S105,1)=1),1,0)</f>
        <v>0</v>
      </c>
      <c r="Q105" s="1" t="n">
        <f aca="false">IF(AND(N105=1,S105=1,COUNTIFS($L$2:L105,L105,$K$2:K105,K105,$N$2:N105,1,$S$2:S105,1)=1),1,0)</f>
        <v>0</v>
      </c>
      <c r="R105" s="1" t="n">
        <f aca="false">IF(AND(N105=1,COUNTIFS($K$2:K105,K105,$L$2:L105,L105,$J$2:J105,J105,$N$2:N105,1)=1),1,0)</f>
        <v>0</v>
      </c>
      <c r="S105" s="1" t="n">
        <f aca="false">IF(AND(K105&lt;&gt;"Context and provider model",K105&lt;&gt;"Motivation"),1,0)</f>
        <v>0</v>
      </c>
    </row>
    <row r="106" customFormat="false" ht="68.25" hidden="false" customHeight="true" outlineLevel="0" collapsed="false">
      <c r="A106" s="3" t="s">
        <v>1699</v>
      </c>
      <c r="B106" s="3" t="s">
        <v>1271</v>
      </c>
      <c r="C106" s="3" t="s">
        <v>59</v>
      </c>
      <c r="D106" s="12" t="n">
        <f aca="false">SUMIFS($O$2:$O$978,$K$2:$K$978,$A106,$L$2:$L$978,$B106,$M$2:$M$978,$C106)</f>
        <v>1</v>
      </c>
      <c r="E106" s="4" t="str">
        <f aca="false">IF(SUMIFS($Q$2:$Q$978,$L$2:$L$978,$B106)&gt;1,"Yes -- also friction/need/workaround in "&amp;(SUMIFS($Q$2:$Q$978,$L$2:$L$978,$B106)-1)&amp;" other stage(s); see Section 3","No -- stage-specific in this dataset")</f>
        <v>Yes -- also friction/need/workaround in 1 other stage(s); see Section 3</v>
      </c>
      <c r="F106" s="4" t="s">
        <v>227</v>
      </c>
      <c r="G106" s="4" t="s">
        <v>2256</v>
      </c>
      <c r="H106" s="4" t="s">
        <v>1854</v>
      </c>
      <c r="J106" s="1" t="str">
        <f aca="false">'Raw Atomic Data (Pro)'!A106</f>
        <v>Tianrui</v>
      </c>
      <c r="K106" s="1" t="str">
        <f aca="false">'Raw Atomic Data (Pro)'!C106</f>
        <v>Context and provider model</v>
      </c>
      <c r="L106" s="1" t="str">
        <f aca="false">'Raw Atomic Data (Pro)'!D106</f>
        <v>provider-background</v>
      </c>
      <c r="M106" s="1" t="str">
        <f aca="false">'Raw Atomic Data (Pro)'!E106</f>
        <v>fact</v>
      </c>
      <c r="N106" s="1" t="n">
        <f aca="false">IF(OR(M106="friction",M106="need",M106="workaround"),1,0)</f>
        <v>0</v>
      </c>
      <c r="O106" s="1" t="n">
        <f aca="false">IF(COUNTIFS($K$2:K106,K106,$L$2:L106,L106,$M$2:M106,M106,$J$2:J106,J106)=1,1,0)</f>
        <v>0</v>
      </c>
      <c r="P106" s="1" t="n">
        <f aca="false">IF(AND(N106=1,S106=1,COUNTIFS($L$2:L106,L106,$J$2:J106,J106,$N$2:N106,1,$S$2:S106,1)=1),1,0)</f>
        <v>0</v>
      </c>
      <c r="Q106" s="1" t="n">
        <f aca="false">IF(AND(N106=1,S106=1,COUNTIFS($L$2:L106,L106,$K$2:K106,K106,$N$2:N106,1,$S$2:S106,1)=1),1,0)</f>
        <v>0</v>
      </c>
      <c r="R106" s="1" t="n">
        <f aca="false">IF(AND(N106=1,COUNTIFS($K$2:K106,K106,$L$2:L106,L106,$J$2:J106,J106,$N$2:N106,1)=1),1,0)</f>
        <v>0</v>
      </c>
      <c r="S106" s="1" t="n">
        <f aca="false">IF(AND(K106&lt;&gt;"Context and provider model",K106&lt;&gt;"Motivation"),1,0)</f>
        <v>0</v>
      </c>
    </row>
    <row r="107" customFormat="false" ht="68.25" hidden="false" customHeight="true" outlineLevel="0" collapsed="false">
      <c r="A107" s="3" t="s">
        <v>1699</v>
      </c>
      <c r="B107" s="3" t="s">
        <v>473</v>
      </c>
      <c r="C107" s="3" t="s">
        <v>59</v>
      </c>
      <c r="D107" s="12" t="n">
        <f aca="false">SUMIFS($O$2:$O$978,$K$2:$K$978,$A107,$L$2:$L$978,$B107,$M$2:$M$978,$C107)</f>
        <v>1</v>
      </c>
      <c r="E107" s="4" t="str">
        <f aca="false">IF(SUMIFS($Q$2:$Q$978,$L$2:$L$978,$B107)&gt;1,"Yes -- also friction/need/workaround in "&amp;(SUMIFS($Q$2:$Q$978,$L$2:$L$978,$B107)-1)&amp;" other stage(s); see Section 3","No -- stage-specific in this dataset")</f>
        <v>Yes -- also friction/need/workaround in 4 other stage(s); see Section 3</v>
      </c>
      <c r="F107" s="4" t="s">
        <v>227</v>
      </c>
      <c r="G107" s="4" t="s">
        <v>2257</v>
      </c>
      <c r="H107" s="4" t="s">
        <v>1852</v>
      </c>
      <c r="J107" s="1" t="str">
        <f aca="false">'Raw Atomic Data (Pro)'!A107</f>
        <v>Tianrui</v>
      </c>
      <c r="K107" s="1" t="str">
        <f aca="false">'Raw Atomic Data (Pro)'!C107</f>
        <v>Context and provider model</v>
      </c>
      <c r="L107" s="1" t="str">
        <f aca="false">'Raw Atomic Data (Pro)'!D107</f>
        <v>motivation-emotional-connection</v>
      </c>
      <c r="M107" s="1" t="str">
        <f aca="false">'Raw Atomic Data (Pro)'!E107</f>
        <v>fact</v>
      </c>
      <c r="N107" s="1" t="n">
        <f aca="false">IF(OR(M107="friction",M107="need",M107="workaround"),1,0)</f>
        <v>0</v>
      </c>
      <c r="O107" s="1" t="n">
        <f aca="false">IF(COUNTIFS($K$2:K107,K107,$L$2:L107,L107,$M$2:M107,M107,$J$2:J107,J107)=1,1,0)</f>
        <v>1</v>
      </c>
      <c r="P107" s="1" t="n">
        <f aca="false">IF(AND(N107=1,S107=1,COUNTIFS($L$2:L107,L107,$J$2:J107,J107,$N$2:N107,1,$S$2:S107,1)=1),1,0)</f>
        <v>0</v>
      </c>
      <c r="Q107" s="1" t="n">
        <f aca="false">IF(AND(N107=1,S107=1,COUNTIFS($L$2:L107,L107,$K$2:K107,K107,$N$2:N107,1,$S$2:S107,1)=1),1,0)</f>
        <v>0</v>
      </c>
      <c r="R107" s="1" t="n">
        <f aca="false">IF(AND(N107=1,COUNTIFS($K$2:K107,K107,$L$2:L107,L107,$J$2:J107,J107,$N$2:N107,1)=1),1,0)</f>
        <v>0</v>
      </c>
      <c r="S107" s="1" t="n">
        <f aca="false">IF(AND(K107&lt;&gt;"Context and provider model",K107&lt;&gt;"Motivation"),1,0)</f>
        <v>0</v>
      </c>
    </row>
    <row r="108" customFormat="false" ht="113.25" hidden="false" customHeight="true" outlineLevel="0" collapsed="false">
      <c r="A108" s="3" t="s">
        <v>1699</v>
      </c>
      <c r="B108" s="3" t="s">
        <v>431</v>
      </c>
      <c r="C108" s="3" t="s">
        <v>59</v>
      </c>
      <c r="D108" s="12" t="n">
        <f aca="false">SUMIFS($O$2:$O$978,$K$2:$K$978,$A108,$L$2:$L$978,$B108,$M$2:$M$978,$C108)</f>
        <v>1</v>
      </c>
      <c r="E108" s="4" t="str">
        <f aca="false">IF(SUMIFS($Q$2:$Q$978,$L$2:$L$978,$B108)&gt;1,"Yes -- also friction/need/workaround in "&amp;(SUMIFS($Q$2:$Q$978,$L$2:$L$978,$B108)-1)&amp;" other stage(s); see Section 3","No -- stage-specific in this dataset")</f>
        <v>Yes -- also friction/need/workaround in 2 other stage(s); see Section 3</v>
      </c>
      <c r="F108" s="4" t="s">
        <v>227</v>
      </c>
      <c r="G108" s="4" t="s">
        <v>2258</v>
      </c>
      <c r="H108" s="4" t="s">
        <v>1848</v>
      </c>
      <c r="J108" s="1" t="str">
        <f aca="false">'Raw Atomic Data (Pro)'!A108</f>
        <v>Tianrui</v>
      </c>
      <c r="K108" s="1" t="str">
        <f aca="false">'Raw Atomic Data (Pro)'!C108</f>
        <v>Context and provider model</v>
      </c>
      <c r="L108" s="1" t="str">
        <f aca="false">'Raw Atomic Data (Pro)'!D108</f>
        <v>motivation-emotional-connection</v>
      </c>
      <c r="M108" s="1" t="str">
        <f aca="false">'Raw Atomic Data (Pro)'!E108</f>
        <v>value-statement</v>
      </c>
      <c r="N108" s="1" t="n">
        <f aca="false">IF(OR(M108="friction",M108="need",M108="workaround"),1,0)</f>
        <v>0</v>
      </c>
      <c r="O108" s="1" t="n">
        <f aca="false">IF(COUNTIFS($K$2:K108,K108,$L$2:L108,L108,$M$2:M108,M108,$J$2:J108,J108)=1,1,0)</f>
        <v>1</v>
      </c>
      <c r="P108" s="1" t="n">
        <f aca="false">IF(AND(N108=1,S108=1,COUNTIFS($L$2:L108,L108,$J$2:J108,J108,$N$2:N108,1,$S$2:S108,1)=1),1,0)</f>
        <v>0</v>
      </c>
      <c r="Q108" s="1" t="n">
        <f aca="false">IF(AND(N108=1,S108=1,COUNTIFS($L$2:L108,L108,$K$2:K108,K108,$N$2:N108,1,$S$2:S108,1)=1),1,0)</f>
        <v>0</v>
      </c>
      <c r="R108" s="1" t="n">
        <f aca="false">IF(AND(N108=1,COUNTIFS($K$2:K108,K108,$L$2:L108,L108,$J$2:J108,J108,$N$2:N108,1)=1),1,0)</f>
        <v>0</v>
      </c>
      <c r="S108" s="1" t="n">
        <f aca="false">IF(AND(K108&lt;&gt;"Context and provider model",K108&lt;&gt;"Motivation"),1,0)</f>
        <v>0</v>
      </c>
    </row>
    <row r="109" customFormat="false" ht="57" hidden="false" customHeight="true" outlineLevel="0" collapsed="false">
      <c r="A109" s="3" t="s">
        <v>1699</v>
      </c>
      <c r="B109" s="3" t="s">
        <v>816</v>
      </c>
      <c r="C109" s="3" t="s">
        <v>59</v>
      </c>
      <c r="D109" s="12" t="n">
        <f aca="false">SUMIFS($O$2:$O$978,$K$2:$K$978,$A109,$L$2:$L$978,$B109,$M$2:$M$978,$C109)</f>
        <v>1</v>
      </c>
      <c r="E109" s="4" t="str">
        <f aca="false">IF(SUMIFS($Q$2:$Q$978,$L$2:$L$978,$B109)&gt;1,"Yes -- also friction/need/workaround in "&amp;(SUMIFS($Q$2:$Q$978,$L$2:$L$978,$B109)-1)&amp;" other stage(s); see Section 3","No -- stage-specific in this dataset")</f>
        <v>Yes -- also friction/need/workaround in 2 other stage(s); see Section 3</v>
      </c>
      <c r="F109" s="4" t="s">
        <v>8</v>
      </c>
      <c r="G109" s="4" t="s">
        <v>2259</v>
      </c>
      <c r="H109" s="4" t="s">
        <v>1713</v>
      </c>
      <c r="J109" s="1" t="str">
        <f aca="false">'Raw Atomic Data (Pro)'!A109</f>
        <v>Tifany</v>
      </c>
      <c r="K109" s="1" t="str">
        <f aca="false">'Raw Atomic Data (Pro)'!C109</f>
        <v>Context and provider model</v>
      </c>
      <c r="L109" s="1" t="str">
        <f aca="false">'Raw Atomic Data (Pro)'!D109</f>
        <v>provider-background</v>
      </c>
      <c r="M109" s="1" t="str">
        <f aca="false">'Raw Atomic Data (Pro)'!E109</f>
        <v>fact</v>
      </c>
      <c r="N109" s="1" t="n">
        <f aca="false">IF(OR(M109="friction",M109="need",M109="workaround"),1,0)</f>
        <v>0</v>
      </c>
      <c r="O109" s="1" t="n">
        <f aca="false">IF(COUNTIFS($K$2:K109,K109,$L$2:L109,L109,$M$2:M109,M109,$J$2:J109,J109)=1,1,0)</f>
        <v>1</v>
      </c>
      <c r="P109" s="1" t="n">
        <f aca="false">IF(AND(N109=1,S109=1,COUNTIFS($L$2:L109,L109,$J$2:J109,J109,$N$2:N109,1,$S$2:S109,1)=1),1,0)</f>
        <v>0</v>
      </c>
      <c r="Q109" s="1" t="n">
        <f aca="false">IF(AND(N109=1,S109=1,COUNTIFS($L$2:L109,L109,$K$2:K109,K109,$N$2:N109,1,$S$2:S109,1)=1),1,0)</f>
        <v>0</v>
      </c>
      <c r="R109" s="1" t="n">
        <f aca="false">IF(AND(N109=1,COUNTIFS($K$2:K109,K109,$L$2:L109,L109,$J$2:J109,J109,$N$2:N109,1)=1),1,0)</f>
        <v>0</v>
      </c>
      <c r="S109" s="1" t="n">
        <f aca="false">IF(AND(K109&lt;&gt;"Context and provider model",K109&lt;&gt;"Motivation"),1,0)</f>
        <v>0</v>
      </c>
    </row>
    <row r="110" customFormat="false" ht="15" hidden="false" customHeight="true" outlineLevel="0" collapsed="false">
      <c r="J110" s="1" t="str">
        <f aca="false">'Raw Atomic Data (Pro)'!A110</f>
        <v>Tifany</v>
      </c>
      <c r="K110" s="1" t="str">
        <f aca="false">'Raw Atomic Data (Pro)'!C110</f>
        <v>Context and provider model</v>
      </c>
      <c r="L110" s="1" t="str">
        <f aca="false">'Raw Atomic Data (Pro)'!D110</f>
        <v>business-model-fit</v>
      </c>
      <c r="M110" s="1" t="str">
        <f aca="false">'Raw Atomic Data (Pro)'!E110</f>
        <v>fact</v>
      </c>
      <c r="N110" s="1" t="n">
        <f aca="false">IF(OR(M110="friction",M110="need",M110="workaround"),1,0)</f>
        <v>0</v>
      </c>
      <c r="O110" s="1" t="n">
        <f aca="false">IF(COUNTIFS($K$2:K110,K110,$L$2:L110,L110,$M$2:M110,M110,$J$2:J110,J110)=1,1,0)</f>
        <v>1</v>
      </c>
      <c r="P110" s="1" t="n">
        <f aca="false">IF(AND(N110=1,S110=1,COUNTIFS($L$2:L110,L110,$J$2:J110,J110,$N$2:N110,1,$S$2:S110,1)=1),1,0)</f>
        <v>0</v>
      </c>
      <c r="Q110" s="1" t="n">
        <f aca="false">IF(AND(N110=1,S110=1,COUNTIFS($L$2:L110,L110,$K$2:K110,K110,$N$2:N110,1,$S$2:S110,1)=1),1,0)</f>
        <v>0</v>
      </c>
      <c r="R110" s="1" t="n">
        <f aca="false">IF(AND(N110=1,COUNTIFS($K$2:K110,K110,$L$2:L110,L110,$J$2:J110,J110,$N$2:N110,1)=1),1,0)</f>
        <v>0</v>
      </c>
      <c r="S110" s="1" t="n">
        <f aca="false">IF(AND(K110&lt;&gt;"Context and provider model",K110&lt;&gt;"Motivation"),1,0)</f>
        <v>0</v>
      </c>
    </row>
    <row r="111" customFormat="false" ht="45" hidden="false" customHeight="true" outlineLevel="0" collapsed="false">
      <c r="A111" s="6" t="s">
        <v>2260</v>
      </c>
      <c r="B111" s="6"/>
      <c r="C111" s="6"/>
      <c r="D111" s="6"/>
      <c r="E111" s="6"/>
      <c r="F111" s="6"/>
      <c r="G111" s="6"/>
      <c r="H111" s="6"/>
      <c r="J111" s="1" t="str">
        <f aca="false">'Raw Atomic Data (Pro)'!A111</f>
        <v>Tifany</v>
      </c>
      <c r="K111" s="1" t="str">
        <f aca="false">'Raw Atomic Data (Pro)'!C111</f>
        <v>Context and provider model</v>
      </c>
      <c r="L111" s="1" t="str">
        <f aca="false">'Raw Atomic Data (Pro)'!D111</f>
        <v>provider-background</v>
      </c>
      <c r="M111" s="1" t="str">
        <f aca="false">'Raw Atomic Data (Pro)'!E111</f>
        <v>fact</v>
      </c>
      <c r="N111" s="1" t="n">
        <f aca="false">IF(OR(M111="friction",M111="need",M111="workaround"),1,0)</f>
        <v>0</v>
      </c>
      <c r="O111" s="1" t="n">
        <f aca="false">IF(COUNTIFS($K$2:K111,K111,$L$2:L111,L111,$M$2:M111,M111,$J$2:J111,J111)=1,1,0)</f>
        <v>0</v>
      </c>
      <c r="P111" s="1" t="n">
        <f aca="false">IF(AND(N111=1,S111=1,COUNTIFS($L$2:L111,L111,$J$2:J111,J111,$N$2:N111,1,$S$2:S111,1)=1),1,0)</f>
        <v>0</v>
      </c>
      <c r="Q111" s="1" t="n">
        <f aca="false">IF(AND(N111=1,S111=1,COUNTIFS($L$2:L111,L111,$K$2:K111,K111,$N$2:N111,1,$S$2:S111,1)=1),1,0)</f>
        <v>0</v>
      </c>
      <c r="R111" s="1" t="n">
        <f aca="false">IF(AND(N111=1,COUNTIFS($K$2:K111,K111,$L$2:L111,L111,$J$2:J111,J111,$N$2:N111,1)=1),1,0)</f>
        <v>0</v>
      </c>
      <c r="S111" s="1" t="n">
        <f aca="false">IF(AND(K111&lt;&gt;"Context and provider model",K111&lt;&gt;"Motivation"),1,0)</f>
        <v>0</v>
      </c>
    </row>
    <row r="112" customFormat="false" ht="15" hidden="false" customHeight="true" outlineLevel="0" collapsed="false">
      <c r="J112" s="1" t="str">
        <f aca="false">'Raw Atomic Data (Pro)'!A112</f>
        <v>Tifany</v>
      </c>
      <c r="K112" s="1" t="str">
        <f aca="false">'Raw Atomic Data (Pro)'!C112</f>
        <v>Context and provider model</v>
      </c>
      <c r="L112" s="1" t="str">
        <f aca="false">'Raw Atomic Data (Pro)'!D112</f>
        <v>provider-background</v>
      </c>
      <c r="M112" s="1" t="str">
        <f aca="false">'Raw Atomic Data (Pro)'!E112</f>
        <v>fact</v>
      </c>
      <c r="N112" s="1" t="n">
        <f aca="false">IF(OR(M112="friction",M112="need",M112="workaround"),1,0)</f>
        <v>0</v>
      </c>
      <c r="O112" s="1" t="n">
        <f aca="false">IF(COUNTIFS($K$2:K112,K112,$L$2:L112,L112,$M$2:M112,M112,$J$2:J112,J112)=1,1,0)</f>
        <v>0</v>
      </c>
      <c r="P112" s="1" t="n">
        <f aca="false">IF(AND(N112=1,S112=1,COUNTIFS($L$2:L112,L112,$J$2:J112,J112,$N$2:N112,1,$S$2:S112,1)=1),1,0)</f>
        <v>0</v>
      </c>
      <c r="Q112" s="1" t="n">
        <f aca="false">IF(AND(N112=1,S112=1,COUNTIFS($L$2:L112,L112,$K$2:K112,K112,$N$2:N112,1,$S$2:S112,1)=1),1,0)</f>
        <v>0</v>
      </c>
      <c r="R112" s="1" t="n">
        <f aca="false">IF(AND(N112=1,COUNTIFS($K$2:K112,K112,$L$2:L112,L112,$J$2:J112,J112,$N$2:N112,1)=1),1,0)</f>
        <v>0</v>
      </c>
      <c r="S112" s="1" t="n">
        <f aca="false">IF(AND(K112&lt;&gt;"Context and provider model",K112&lt;&gt;"Motivation"),1,0)</f>
        <v>0</v>
      </c>
    </row>
    <row r="113" customFormat="false" ht="15" hidden="false" customHeight="true" outlineLevel="0" collapsed="false">
      <c r="A113" s="11" t="s">
        <v>2261</v>
      </c>
      <c r="B113" s="11"/>
      <c r="C113" s="11"/>
      <c r="D113" s="11"/>
      <c r="E113" s="11"/>
      <c r="F113" s="11"/>
      <c r="J113" s="1" t="str">
        <f aca="false">'Raw Atomic Data (Pro)'!A113</f>
        <v>Tifany</v>
      </c>
      <c r="K113" s="1" t="str">
        <f aca="false">'Raw Atomic Data (Pro)'!C113</f>
        <v>Context and provider model</v>
      </c>
      <c r="L113" s="1" t="str">
        <f aca="false">'Raw Atomic Data (Pro)'!D113</f>
        <v>provider-background</v>
      </c>
      <c r="M113" s="1" t="str">
        <f aca="false">'Raw Atomic Data (Pro)'!E113</f>
        <v>fact</v>
      </c>
      <c r="N113" s="1" t="n">
        <f aca="false">IF(OR(M113="friction",M113="need",M113="workaround"),1,0)</f>
        <v>0</v>
      </c>
      <c r="O113" s="1" t="n">
        <f aca="false">IF(COUNTIFS($K$2:K113,K113,$L$2:L113,L113,$M$2:M113,M113,$J$2:J113,J113)=1,1,0)</f>
        <v>0</v>
      </c>
      <c r="P113" s="1" t="n">
        <f aca="false">IF(AND(N113=1,S113=1,COUNTIFS($L$2:L113,L113,$J$2:J113,J113,$N$2:N113,1,$S$2:S113,1)=1),1,0)</f>
        <v>0</v>
      </c>
      <c r="Q113" s="1" t="n">
        <f aca="false">IF(AND(N113=1,S113=1,COUNTIFS($L$2:L113,L113,$K$2:K113,K113,$N$2:N113,1,$S$2:S113,1)=1),1,0)</f>
        <v>0</v>
      </c>
      <c r="R113" s="1" t="n">
        <f aca="false">IF(AND(N113=1,COUNTIFS($K$2:K113,K113,$L$2:L113,L113,$J$2:J113,J113,$N$2:N113,1)=1),1,0)</f>
        <v>0</v>
      </c>
      <c r="S113" s="1" t="n">
        <f aca="false">IF(AND(K113&lt;&gt;"Context and provider model",K113&lt;&gt;"Motivation"),1,0)</f>
        <v>0</v>
      </c>
    </row>
    <row r="114" customFormat="false" ht="39" hidden="false" customHeight="true" outlineLevel="0" collapsed="false">
      <c r="A114" s="8" t="s">
        <v>3</v>
      </c>
      <c r="B114" s="8" t="s">
        <v>2262</v>
      </c>
      <c r="C114" s="8" t="s">
        <v>2263</v>
      </c>
      <c r="D114" s="8" t="s">
        <v>2264</v>
      </c>
      <c r="E114" s="8" t="s">
        <v>2265</v>
      </c>
      <c r="F114" s="8" t="s">
        <v>2266</v>
      </c>
      <c r="J114" s="1" t="str">
        <f aca="false">'Raw Atomic Data (Pro)'!A114</f>
        <v>Tifany</v>
      </c>
      <c r="K114" s="1" t="str">
        <f aca="false">'Raw Atomic Data (Pro)'!C114</f>
        <v>Context and provider model</v>
      </c>
      <c r="L114" s="1" t="str">
        <f aca="false">'Raw Atomic Data (Pro)'!D114</f>
        <v>provider-background</v>
      </c>
      <c r="M114" s="1" t="str">
        <f aca="false">'Raw Atomic Data (Pro)'!E114</f>
        <v>fact</v>
      </c>
      <c r="N114" s="1" t="n">
        <f aca="false">IF(OR(M114="friction",M114="need",M114="workaround"),1,0)</f>
        <v>0</v>
      </c>
      <c r="O114" s="1" t="n">
        <f aca="false">IF(COUNTIFS($K$2:K114,K114,$L$2:L114,L114,$M$2:M114,M114,$J$2:J114,J114)=1,1,0)</f>
        <v>0</v>
      </c>
      <c r="P114" s="1" t="n">
        <f aca="false">IF(AND(N114=1,S114=1,COUNTIFS($L$2:L114,L114,$J$2:J114,J114,$N$2:N114,1,$S$2:S114,1)=1),1,0)</f>
        <v>0</v>
      </c>
      <c r="Q114" s="1" t="n">
        <f aca="false">IF(AND(N114=1,S114=1,COUNTIFS($L$2:L114,L114,$K$2:K114,K114,$N$2:N114,1,$S$2:S114,1)=1),1,0)</f>
        <v>0</v>
      </c>
      <c r="R114" s="1" t="n">
        <f aca="false">IF(AND(N114=1,COUNTIFS($K$2:K114,K114,$L$2:L114,L114,$J$2:J114,J114,$N$2:N114,1)=1),1,0)</f>
        <v>0</v>
      </c>
      <c r="S114" s="1" t="n">
        <f aca="false">IF(AND(K114&lt;&gt;"Context and provider model",K114&lt;&gt;"Motivation"),1,0)</f>
        <v>0</v>
      </c>
    </row>
    <row r="115" customFormat="false" ht="57" hidden="false" customHeight="true" outlineLevel="0" collapsed="false">
      <c r="A115" s="7" t="s">
        <v>413</v>
      </c>
      <c r="B115" s="4" t="str">
        <f aca="false">IFERROR(INDEX('Theme Legend'!$B$2:$B$31,MATCH($A115,'Theme Legend'!$A$2:$A$31,0)),"")</f>
        <v>Mechanics, bugs, and preferences around the in-app messaging system itself - chat structure, autosave, notification timing, response-time pressure.</v>
      </c>
      <c r="C115" s="4" t="str">
        <f aca="false">IF(SUMIFS($O$2:$O$978,$L$2:$L$978,$A115,$M$2:$M$978,"friction",$K$2:$K$978,"&lt;&gt;Context and provider model",$K$2:$K$978,"&lt;&gt;Motivation")&gt;0,"friction; ","")&amp;IF(SUMIFS($O$2:$O$978,$L$2:$L$978,$A115,$M$2:$M$978,"need",$K$2:$K$978,"&lt;&gt;Context and provider model",$K$2:$K$978,"&lt;&gt;Motivation")&gt;0,"need; ","")&amp;IF(SUMIFS($O$2:$O$978,$L$2:$L$978,$A115,$M$2:$M$978,"workaround",$K$2:$K$978,"&lt;&gt;Context and provider model",$K$2:$K$978,"&lt;&gt;Motivation")&gt;0,"workaround; ","")</f>
        <v>friction; need; workaround; </v>
      </c>
      <c r="D115" s="12" t="n">
        <f aca="false">SUMIFS($Q$2:$Q$978,$L$2:$L$978,$A115)</f>
        <v>6</v>
      </c>
      <c r="E115" s="4" t="str">
        <f aca="false">IF((SUMIFS($R$2:$R$978,$K$2:$K$978,"Client acquisition",$L$2:$L$978,$A115))&gt;0,"Client acquisition ("&amp;(SUMIFS($R$2:$R$978,$K$2:$K$978,"Client acquisition",$L$2:$L$978,$A115))&amp;"); ","")&amp;IF((SUMIFS($R$2:$R$978,$K$2:$K$978,"Evaluation and meet-and-greet",$L$2:$L$978,$A115))&gt;0,"Evaluation and meet-and-greet ("&amp;(SUMIFS($R$2:$R$978,$K$2:$K$978,"Evaluation and meet-and-greet",$L$2:$L$978,$A115))&amp;"); ","")&amp;IF((SUMIFS($R$2:$R$978,$K$2:$K$978,"Booking and availability",$L$2:$L$978,$A115))&gt;0,"Booking and availability ("&amp;(SUMIFS($R$2:$R$978,$K$2:$K$978,"Booking and availability",$L$2:$L$978,$A115))&amp;"); ","")&amp;IF((SUMIFS($R$2:$R$978,$K$2:$K$978,"Sitting preparation",$L$2:$L$978,$A115))&gt;0,"Sitting preparation ("&amp;(SUMIFS($R$2:$R$978,$K$2:$K$978,"Sitting preparation",$L$2:$L$978,$A115))&amp;"); ","")&amp;IF((SUMIFS($R$2:$R$978,$K$2:$K$978,"Service delivery",$L$2:$L$978,$A115))&gt;0,"Service delivery ("&amp;(SUMIFS($R$2:$R$978,$K$2:$K$978,"Service delivery",$L$2:$L$978,$A115))&amp;"); ","")&amp;IF((SUMIFS($R$2:$R$978,$K$2:$K$978,"Client communication",$L$2:$L$978,$A115))&gt;0,"Client communication ("&amp;(SUMIFS($R$2:$R$978,$K$2:$K$978,"Client communication",$L$2:$L$978,$A115))&amp;"); ","")&amp;IF((SUMIFS($R$2:$R$978,$K$2:$K$978,"Completion and feedback",$L$2:$L$978,$A115))&gt;0,"Completion and feedback ("&amp;(SUMIFS($R$2:$R$978,$K$2:$K$978,"Completion and feedback",$L$2:$L$978,$A115))&amp;"); ","")&amp;IF((SUMIFS($R$2:$R$978,$K$2:$K$978,"Payments and earnings",$L$2:$L$978,$A115))&gt;0,"Payments and earnings ("&amp;(SUMIFS($R$2:$R$978,$K$2:$K$978,"Payments and earnings",$L$2:$L$978,$A115))&amp;"); ","")&amp;IF((SUMIFS($R$2:$R$978,$K$2:$K$978,"Cross-platform behavior",$L$2:$L$978,$A115))&gt;0,"Cross-platform behavior ("&amp;(SUMIFS($R$2:$R$978,$K$2:$K$978,"Cross-platform behavior",$L$2:$L$978,$A115))&amp;"); ","")&amp;IF((SUMIFS($R$2:$R$978,$K$2:$K$978,"Growth and future plans",$L$2:$L$978,$A115))&gt;0,"Growth and future plans ("&amp;(SUMIFS($R$2:$R$978,$K$2:$K$978,"Growth and future plans",$L$2:$L$978,$A115))&amp;"); ","")</f>
        <v>Client acquisition (1); Evaluation and meet-and-greet (1); Sitting preparation (1); Service delivery (2); Client communication (9); Growth and future plans (4); </v>
      </c>
      <c r="F115" s="12" t="n">
        <f aca="false">SUMIFS($P$2:$P$978,$L$2:$L$978,$A115)</f>
        <v>11</v>
      </c>
      <c r="J115" s="1" t="str">
        <f aca="false">'Raw Atomic Data (Pro)'!A115</f>
        <v>Tifany</v>
      </c>
      <c r="K115" s="1" t="str">
        <f aca="false">'Raw Atomic Data (Pro)'!C115</f>
        <v>Context and provider model</v>
      </c>
      <c r="L115" s="1" t="str">
        <f aca="false">'Raw Atomic Data (Pro)'!D115</f>
        <v>provider-background</v>
      </c>
      <c r="M115" s="1" t="str">
        <f aca="false">'Raw Atomic Data (Pro)'!E115</f>
        <v>fact</v>
      </c>
      <c r="N115" s="1" t="n">
        <f aca="false">IF(OR(M115="friction",M115="need",M115="workaround"),1,0)</f>
        <v>0</v>
      </c>
      <c r="O115" s="1" t="n">
        <f aca="false">IF(COUNTIFS($K$2:K115,K115,$L$2:L115,L115,$M$2:M115,M115,$J$2:J115,J115)=1,1,0)</f>
        <v>0</v>
      </c>
      <c r="P115" s="1" t="n">
        <f aca="false">IF(AND(N115=1,S115=1,COUNTIFS($L$2:L115,L115,$J$2:J115,J115,$N$2:N115,1,$S$2:S115,1)=1),1,0)</f>
        <v>0</v>
      </c>
      <c r="Q115" s="1" t="n">
        <f aca="false">IF(AND(N115=1,S115=1,COUNTIFS($L$2:L115,L115,$K$2:K115,K115,$N$2:N115,1,$S$2:S115,1)=1),1,0)</f>
        <v>0</v>
      </c>
      <c r="R115" s="1" t="n">
        <f aca="false">IF(AND(N115=1,COUNTIFS($K$2:K115,K115,$L$2:L115,L115,$J$2:J115,J115,$N$2:N115,1)=1),1,0)</f>
        <v>0</v>
      </c>
      <c r="S115" s="1" t="n">
        <f aca="false">IF(AND(K115&lt;&gt;"Context and provider model",K115&lt;&gt;"Motivation"),1,0)</f>
        <v>0</v>
      </c>
    </row>
    <row r="116" customFormat="false" ht="34.5" hidden="false" customHeight="true" outlineLevel="0" collapsed="false">
      <c r="A116" s="7" t="s">
        <v>757</v>
      </c>
      <c r="B116" s="4" t="str">
        <f aca="false">IFERROR(INDEX('Theme Legend'!$B$2:$B$31,MATCH($A116,'Theme Legend'!$A$2:$A$31,0)),"")</f>
        <v>Tools and behavior for tracking availability and bookings - Rover's calendar, Google Calendar sync, calendar bugs.</v>
      </c>
      <c r="C116" s="4" t="str">
        <f aca="false">IF(SUMIFS($O$2:$O$978,$L$2:$L$978,$A116,$M$2:$M$978,"friction",$K$2:$K$978,"&lt;&gt;Context and provider model",$K$2:$K$978,"&lt;&gt;Motivation")&gt;0,"friction; ","")&amp;IF(SUMIFS($O$2:$O$978,$L$2:$L$978,$A116,$M$2:$M$978,"need",$K$2:$K$978,"&lt;&gt;Context and provider model",$K$2:$K$978,"&lt;&gt;Motivation")&gt;0,"need; ","")&amp;IF(SUMIFS($O$2:$O$978,$L$2:$L$978,$A116,$M$2:$M$978,"workaround",$K$2:$K$978,"&lt;&gt;Context and provider model",$K$2:$K$978,"&lt;&gt;Motivation")&gt;0,"workaround; ","")</f>
        <v>friction; need; workaround; </v>
      </c>
      <c r="D116" s="12" t="n">
        <f aca="false">SUMIFS($Q$2:$Q$978,$L$2:$L$978,$A116)</f>
        <v>2</v>
      </c>
      <c r="E116" s="4" t="str">
        <f aca="false">IF((SUMIFS($R$2:$R$978,$K$2:$K$978,"Client acquisition",$L$2:$L$978,$A116))&gt;0,"Client acquisition ("&amp;(SUMIFS($R$2:$R$978,$K$2:$K$978,"Client acquisition",$L$2:$L$978,$A116))&amp;"); ","")&amp;IF((SUMIFS($R$2:$R$978,$K$2:$K$978,"Evaluation and meet-and-greet",$L$2:$L$978,$A116))&gt;0,"Evaluation and meet-and-greet ("&amp;(SUMIFS($R$2:$R$978,$K$2:$K$978,"Evaluation and meet-and-greet",$L$2:$L$978,$A116))&amp;"); ","")&amp;IF((SUMIFS($R$2:$R$978,$K$2:$K$978,"Booking and availability",$L$2:$L$978,$A116))&gt;0,"Booking and availability ("&amp;(SUMIFS($R$2:$R$978,$K$2:$K$978,"Booking and availability",$L$2:$L$978,$A116))&amp;"); ","")&amp;IF((SUMIFS($R$2:$R$978,$K$2:$K$978,"Sitting preparation",$L$2:$L$978,$A116))&gt;0,"Sitting preparation ("&amp;(SUMIFS($R$2:$R$978,$K$2:$K$978,"Sitting preparation",$L$2:$L$978,$A116))&amp;"); ","")&amp;IF((SUMIFS($R$2:$R$978,$K$2:$K$978,"Service delivery",$L$2:$L$978,$A116))&gt;0,"Service delivery ("&amp;(SUMIFS($R$2:$R$978,$K$2:$K$978,"Service delivery",$L$2:$L$978,$A116))&amp;"); ","")&amp;IF((SUMIFS($R$2:$R$978,$K$2:$K$978,"Client communication",$L$2:$L$978,$A116))&gt;0,"Client communication ("&amp;(SUMIFS($R$2:$R$978,$K$2:$K$978,"Client communication",$L$2:$L$978,$A116))&amp;"); ","")&amp;IF((SUMIFS($R$2:$R$978,$K$2:$K$978,"Completion and feedback",$L$2:$L$978,$A116))&gt;0,"Completion and feedback ("&amp;(SUMIFS($R$2:$R$978,$K$2:$K$978,"Completion and feedback",$L$2:$L$978,$A116))&amp;"); ","")&amp;IF((SUMIFS($R$2:$R$978,$K$2:$K$978,"Payments and earnings",$L$2:$L$978,$A116))&gt;0,"Payments and earnings ("&amp;(SUMIFS($R$2:$R$978,$K$2:$K$978,"Payments and earnings",$L$2:$L$978,$A116))&amp;"); ","")&amp;IF((SUMIFS($R$2:$R$978,$K$2:$K$978,"Cross-platform behavior",$L$2:$L$978,$A116))&gt;0,"Cross-platform behavior ("&amp;(SUMIFS($R$2:$R$978,$K$2:$K$978,"Cross-platform behavior",$L$2:$L$978,$A116))&amp;"); ","")&amp;IF((SUMIFS($R$2:$R$978,$K$2:$K$978,"Growth and future plans",$L$2:$L$978,$A116))&gt;0,"Growth and future plans ("&amp;(SUMIFS($R$2:$R$978,$K$2:$K$978,"Growth and future plans",$L$2:$L$978,$A116))&amp;"); ","")</f>
        <v>Booking and availability (10); Growth and future plans (1); </v>
      </c>
      <c r="F116" s="12" t="n">
        <f aca="false">SUMIFS($P$2:$P$978,$L$2:$L$978,$A116)</f>
        <v>10</v>
      </c>
      <c r="J116" s="1" t="str">
        <f aca="false">'Raw Atomic Data (Pro)'!A116</f>
        <v>Tifany</v>
      </c>
      <c r="K116" s="1" t="str">
        <f aca="false">'Raw Atomic Data (Pro)'!C116</f>
        <v>Context and provider model</v>
      </c>
      <c r="L116" s="1" t="str">
        <f aca="false">'Raw Atomic Data (Pro)'!D116</f>
        <v>business-model-fit</v>
      </c>
      <c r="M116" s="1" t="str">
        <f aca="false">'Raw Atomic Data (Pro)'!E116</f>
        <v>fact</v>
      </c>
      <c r="N116" s="1" t="n">
        <f aca="false">IF(OR(M116="friction",M116="need",M116="workaround"),1,0)</f>
        <v>0</v>
      </c>
      <c r="O116" s="1" t="n">
        <f aca="false">IF(COUNTIFS($K$2:K116,K116,$L$2:L116,L116,$M$2:M116,M116,$J$2:J116,J116)=1,1,0)</f>
        <v>0</v>
      </c>
      <c r="P116" s="1" t="n">
        <f aca="false">IF(AND(N116=1,S116=1,COUNTIFS($L$2:L116,L116,$J$2:J116,J116,$N$2:N116,1,$S$2:S116,1)=1),1,0)</f>
        <v>0</v>
      </c>
      <c r="Q116" s="1" t="n">
        <f aca="false">IF(AND(N116=1,S116=1,COUNTIFS($L$2:L116,L116,$K$2:K116,K116,$N$2:N116,1,$S$2:S116,1)=1),1,0)</f>
        <v>0</v>
      </c>
      <c r="R116" s="1" t="n">
        <f aca="false">IF(AND(N116=1,COUNTIFS($K$2:K116,K116,$L$2:L116,L116,$J$2:J116,J116,$N$2:N116,1)=1),1,0)</f>
        <v>0</v>
      </c>
      <c r="S116" s="1" t="n">
        <f aca="false">IF(AND(K116&lt;&gt;"Context and provider model",K116&lt;&gt;"Motivation"),1,0)</f>
        <v>0</v>
      </c>
    </row>
    <row r="117" customFormat="false" ht="34.5" hidden="false" customHeight="true" outlineLevel="0" collapsed="false">
      <c r="A117" s="7" t="s">
        <v>619</v>
      </c>
      <c r="B117" s="4" t="str">
        <f aca="false">IFERROR(INDEX('Theme Legend'!$B$2:$B$31,MATCH($A117,'Theme Legend'!$A$2:$A$31,0)),"")</f>
        <v>Gathering and recording a pet's care instructions (feeding, meds, routine) before or at the start of a sit.</v>
      </c>
      <c r="C117" s="4" t="str">
        <f aca="false">IF(SUMIFS($O$2:$O$978,$L$2:$L$978,$A117,$M$2:$M$978,"friction",$K$2:$K$978,"&lt;&gt;Context and provider model",$K$2:$K$978,"&lt;&gt;Motivation")&gt;0,"friction; ","")&amp;IF(SUMIFS($O$2:$O$978,$L$2:$L$978,$A117,$M$2:$M$978,"need",$K$2:$K$978,"&lt;&gt;Context and provider model",$K$2:$K$978,"&lt;&gt;Motivation")&gt;0,"need; ","")&amp;IF(SUMIFS($O$2:$O$978,$L$2:$L$978,$A117,$M$2:$M$978,"workaround",$K$2:$K$978,"&lt;&gt;Context and provider model",$K$2:$K$978,"&lt;&gt;Motivation")&gt;0,"workaround; ","")</f>
        <v>friction; need; workaround; </v>
      </c>
      <c r="D117" s="12" t="n">
        <f aca="false">SUMIFS($Q$2:$Q$978,$L$2:$L$978,$A117)</f>
        <v>3</v>
      </c>
      <c r="E117" s="4" t="str">
        <f aca="false">IF((SUMIFS($R$2:$R$978,$K$2:$K$978,"Client acquisition",$L$2:$L$978,$A117))&gt;0,"Client acquisition ("&amp;(SUMIFS($R$2:$R$978,$K$2:$K$978,"Client acquisition",$L$2:$L$978,$A117))&amp;"); ","")&amp;IF((SUMIFS($R$2:$R$978,$K$2:$K$978,"Evaluation and meet-and-greet",$L$2:$L$978,$A117))&gt;0,"Evaluation and meet-and-greet ("&amp;(SUMIFS($R$2:$R$978,$K$2:$K$978,"Evaluation and meet-and-greet",$L$2:$L$978,$A117))&amp;"); ","")&amp;IF((SUMIFS($R$2:$R$978,$K$2:$K$978,"Booking and availability",$L$2:$L$978,$A117))&gt;0,"Booking and availability ("&amp;(SUMIFS($R$2:$R$978,$K$2:$K$978,"Booking and availability",$L$2:$L$978,$A117))&amp;"); ","")&amp;IF((SUMIFS($R$2:$R$978,$K$2:$K$978,"Sitting preparation",$L$2:$L$978,$A117))&gt;0,"Sitting preparation ("&amp;(SUMIFS($R$2:$R$978,$K$2:$K$978,"Sitting preparation",$L$2:$L$978,$A117))&amp;"); ","")&amp;IF((SUMIFS($R$2:$R$978,$K$2:$K$978,"Service delivery",$L$2:$L$978,$A117))&gt;0,"Service delivery ("&amp;(SUMIFS($R$2:$R$978,$K$2:$K$978,"Service delivery",$L$2:$L$978,$A117))&amp;"); ","")&amp;IF((SUMIFS($R$2:$R$978,$K$2:$K$978,"Client communication",$L$2:$L$978,$A117))&gt;0,"Client communication ("&amp;(SUMIFS($R$2:$R$978,$K$2:$K$978,"Client communication",$L$2:$L$978,$A117))&amp;"); ","")&amp;IF((SUMIFS($R$2:$R$978,$K$2:$K$978,"Completion and feedback",$L$2:$L$978,$A117))&gt;0,"Completion and feedback ("&amp;(SUMIFS($R$2:$R$978,$K$2:$K$978,"Completion and feedback",$L$2:$L$978,$A117))&amp;"); ","")&amp;IF((SUMIFS($R$2:$R$978,$K$2:$K$978,"Payments and earnings",$L$2:$L$978,$A117))&gt;0,"Payments and earnings ("&amp;(SUMIFS($R$2:$R$978,$K$2:$K$978,"Payments and earnings",$L$2:$L$978,$A117))&amp;"); ","")&amp;IF((SUMIFS($R$2:$R$978,$K$2:$K$978,"Cross-platform behavior",$L$2:$L$978,$A117))&gt;0,"Cross-platform behavior ("&amp;(SUMIFS($R$2:$R$978,$K$2:$K$978,"Cross-platform behavior",$L$2:$L$978,$A117))&amp;"); ","")&amp;IF((SUMIFS($R$2:$R$978,$K$2:$K$978,"Growth and future plans",$L$2:$L$978,$A117))&gt;0,"Growth and future plans ("&amp;(SUMIFS($R$2:$R$978,$K$2:$K$978,"Growth and future plans",$L$2:$L$978,$A117))&amp;"); ","")</f>
        <v>Evaluation and meet-and-greet (1); Sitting preparation (7); Completion and feedback (1); </v>
      </c>
      <c r="F117" s="12" t="n">
        <f aca="false">SUMIFS($P$2:$P$978,$L$2:$L$978,$A117)</f>
        <v>7</v>
      </c>
      <c r="J117" s="1" t="str">
        <f aca="false">'Raw Atomic Data (Pro)'!A117</f>
        <v>Ami</v>
      </c>
      <c r="K117" s="1" t="str">
        <f aca="false">'Raw Atomic Data (Pro)'!C117</f>
        <v>Motivation</v>
      </c>
      <c r="L117" s="1" t="str">
        <f aca="false">'Raw Atomic Data (Pro)'!D117</f>
        <v>motivation-emotional-connection</v>
      </c>
      <c r="M117" s="1" t="str">
        <f aca="false">'Raw Atomic Data (Pro)'!E117</f>
        <v>value-statement</v>
      </c>
      <c r="N117" s="1" t="n">
        <f aca="false">IF(OR(M117="friction",M117="need",M117="workaround"),1,0)</f>
        <v>0</v>
      </c>
      <c r="O117" s="1" t="n">
        <f aca="false">IF(COUNTIFS($K$2:K117,K117,$L$2:L117,L117,$M$2:M117,M117,$J$2:J117,J117)=1,1,0)</f>
        <v>1</v>
      </c>
      <c r="P117" s="1" t="n">
        <f aca="false">IF(AND(N117=1,S117=1,COUNTIFS($L$2:L117,L117,$J$2:J117,J117,$N$2:N117,1,$S$2:S117,1)=1),1,0)</f>
        <v>0</v>
      </c>
      <c r="Q117" s="1" t="n">
        <f aca="false">IF(AND(N117=1,S117=1,COUNTIFS($L$2:L117,L117,$K$2:K117,K117,$N$2:N117,1,$S$2:S117,1)=1),1,0)</f>
        <v>0</v>
      </c>
      <c r="R117" s="1" t="n">
        <f aca="false">IF(AND(N117=1,COUNTIFS($K$2:K117,K117,$L$2:L117,L117,$J$2:J117,J117,$N$2:N117,1)=1),1,0)</f>
        <v>0</v>
      </c>
      <c r="S117" s="1" t="n">
        <f aca="false">IF(AND(K117&lt;&gt;"Context and provider model",K117&lt;&gt;"Motivation"),1,0)</f>
        <v>0</v>
      </c>
    </row>
    <row r="118" customFormat="false" ht="23.25" hidden="false" customHeight="true" outlineLevel="0" collapsed="false">
      <c r="A118" s="7" t="s">
        <v>168</v>
      </c>
      <c r="B118" s="4" t="str">
        <f aca="false">IFERROR(INDEX('Theme Legend'!$B$2:$B$31,MATCH($A118,'Theme Legend'!$A$2:$A$31,0)),"")</f>
        <v>How new clients first find and contact the sitter, and what the sitter does to attract them.</v>
      </c>
      <c r="C118" s="4" t="str">
        <f aca="false">IF(SUMIFS($O$2:$O$978,$L$2:$L$978,$A118,$M$2:$M$978,"friction",$K$2:$K$978,"&lt;&gt;Context and provider model",$K$2:$K$978,"&lt;&gt;Motivation")&gt;0,"friction; ","")&amp;IF(SUMIFS($O$2:$O$978,$L$2:$L$978,$A118,$M$2:$M$978,"need",$K$2:$K$978,"&lt;&gt;Context and provider model",$K$2:$K$978,"&lt;&gt;Motivation")&gt;0,"need; ","")&amp;IF(SUMIFS($O$2:$O$978,$L$2:$L$978,$A118,$M$2:$M$978,"workaround",$K$2:$K$978,"&lt;&gt;Context and provider model",$K$2:$K$978,"&lt;&gt;Motivation")&gt;0,"workaround; ","")</f>
        <v>friction; need; workaround; </v>
      </c>
      <c r="D118" s="12" t="n">
        <f aca="false">SUMIFS($Q$2:$Q$978,$L$2:$L$978,$A118)</f>
        <v>3</v>
      </c>
      <c r="E118" s="4" t="str">
        <f aca="false">IF((SUMIFS($R$2:$R$978,$K$2:$K$978,"Client acquisition",$L$2:$L$978,$A118))&gt;0,"Client acquisition ("&amp;(SUMIFS($R$2:$R$978,$K$2:$K$978,"Client acquisition",$L$2:$L$978,$A118))&amp;"); ","")&amp;IF((SUMIFS($R$2:$R$978,$K$2:$K$978,"Evaluation and meet-and-greet",$L$2:$L$978,$A118))&gt;0,"Evaluation and meet-and-greet ("&amp;(SUMIFS($R$2:$R$978,$K$2:$K$978,"Evaluation and meet-and-greet",$L$2:$L$978,$A118))&amp;"); ","")&amp;IF((SUMIFS($R$2:$R$978,$K$2:$K$978,"Booking and availability",$L$2:$L$978,$A118))&gt;0,"Booking and availability ("&amp;(SUMIFS($R$2:$R$978,$K$2:$K$978,"Booking and availability",$L$2:$L$978,$A118))&amp;"); ","")&amp;IF((SUMIFS($R$2:$R$978,$K$2:$K$978,"Sitting preparation",$L$2:$L$978,$A118))&gt;0,"Sitting preparation ("&amp;(SUMIFS($R$2:$R$978,$K$2:$K$978,"Sitting preparation",$L$2:$L$978,$A118))&amp;"); ","")&amp;IF((SUMIFS($R$2:$R$978,$K$2:$K$978,"Service delivery",$L$2:$L$978,$A118))&gt;0,"Service delivery ("&amp;(SUMIFS($R$2:$R$978,$K$2:$K$978,"Service delivery",$L$2:$L$978,$A118))&amp;"); ","")&amp;IF((SUMIFS($R$2:$R$978,$K$2:$K$978,"Client communication",$L$2:$L$978,$A118))&gt;0,"Client communication ("&amp;(SUMIFS($R$2:$R$978,$K$2:$K$978,"Client communication",$L$2:$L$978,$A118))&amp;"); ","")&amp;IF((SUMIFS($R$2:$R$978,$K$2:$K$978,"Completion and feedback",$L$2:$L$978,$A118))&gt;0,"Completion and feedback ("&amp;(SUMIFS($R$2:$R$978,$K$2:$K$978,"Completion and feedback",$L$2:$L$978,$A118))&amp;"); ","")&amp;IF((SUMIFS($R$2:$R$978,$K$2:$K$978,"Payments and earnings",$L$2:$L$978,$A118))&gt;0,"Payments and earnings ("&amp;(SUMIFS($R$2:$R$978,$K$2:$K$978,"Payments and earnings",$L$2:$L$978,$A118))&amp;"); ","")&amp;IF((SUMIFS($R$2:$R$978,$K$2:$K$978,"Cross-platform behavior",$L$2:$L$978,$A118))&gt;0,"Cross-platform behavior ("&amp;(SUMIFS($R$2:$R$978,$K$2:$K$978,"Cross-platform behavior",$L$2:$L$978,$A118))&amp;"); ","")&amp;IF((SUMIFS($R$2:$R$978,$K$2:$K$978,"Growth and future plans",$L$2:$L$978,$A118))&gt;0,"Growth and future plans ("&amp;(SUMIFS($R$2:$R$978,$K$2:$K$978,"Growth and future plans",$L$2:$L$978,$A118))&amp;"); ","")</f>
        <v>Client acquisition (3); Payments and earnings (1); Growth and future plans (2); </v>
      </c>
      <c r="F118" s="12" t="n">
        <f aca="false">SUMIFS($P$2:$P$978,$L$2:$L$978,$A118)</f>
        <v>6</v>
      </c>
      <c r="J118" s="1" t="str">
        <f aca="false">'Raw Atomic Data (Pro)'!A118</f>
        <v>Ami</v>
      </c>
      <c r="K118" s="1" t="str">
        <f aca="false">'Raw Atomic Data (Pro)'!C118</f>
        <v>Motivation</v>
      </c>
      <c r="L118" s="1" t="str">
        <f aca="false">'Raw Atomic Data (Pro)'!D118</f>
        <v>motivation-emotional-connection</v>
      </c>
      <c r="M118" s="1" t="str">
        <f aca="false">'Raw Atomic Data (Pro)'!E118</f>
        <v>value-statement</v>
      </c>
      <c r="N118" s="1" t="n">
        <f aca="false">IF(OR(M118="friction",M118="need",M118="workaround"),1,0)</f>
        <v>0</v>
      </c>
      <c r="O118" s="1" t="n">
        <f aca="false">IF(COUNTIFS($K$2:K118,K118,$L$2:L118,L118,$M$2:M118,M118,$J$2:J118,J118)=1,1,0)</f>
        <v>0</v>
      </c>
      <c r="P118" s="1" t="n">
        <f aca="false">IF(AND(N118=1,S118=1,COUNTIFS($L$2:L118,L118,$J$2:J118,J118,$N$2:N118,1,$S$2:S118,1)=1),1,0)</f>
        <v>0</v>
      </c>
      <c r="Q118" s="1" t="n">
        <f aca="false">IF(AND(N118=1,S118=1,COUNTIFS($L$2:L118,L118,$K$2:K118,K118,$N$2:N118,1,$S$2:S118,1)=1),1,0)</f>
        <v>0</v>
      </c>
      <c r="R118" s="1" t="n">
        <f aca="false">IF(AND(N118=1,COUNTIFS($K$2:K118,K118,$L$2:L118,L118,$J$2:J118,J118,$N$2:N118,1)=1),1,0)</f>
        <v>0</v>
      </c>
      <c r="S118" s="1" t="n">
        <f aca="false">IF(AND(K118&lt;&gt;"Context and provider model",K118&lt;&gt;"Motivation"),1,0)</f>
        <v>0</v>
      </c>
    </row>
    <row r="119" customFormat="false" ht="34.5" hidden="false" customHeight="true" outlineLevel="0" collapsed="false">
      <c r="A119" s="7" t="s">
        <v>117</v>
      </c>
      <c r="B119" s="4" t="str">
        <f aca="false">IFERROR(INDEX('Theme Legend'!$B$2:$B$31,MATCH($A119,'Theme Legend'!$A$2:$A$31,0)),"")</f>
        <v>The timing of getting paid out, and visibility into pending versus earned income.</v>
      </c>
      <c r="C119" s="4" t="str">
        <f aca="false">IF(SUMIFS($O$2:$O$978,$L$2:$L$978,$A119,$M$2:$M$978,"friction",$K$2:$K$978,"&lt;&gt;Context and provider model",$K$2:$K$978,"&lt;&gt;Motivation")&gt;0,"friction; ","")&amp;IF(SUMIFS($O$2:$O$978,$L$2:$L$978,$A119,$M$2:$M$978,"need",$K$2:$K$978,"&lt;&gt;Context and provider model",$K$2:$K$978,"&lt;&gt;Motivation")&gt;0,"need; ","")&amp;IF(SUMIFS($O$2:$O$978,$L$2:$L$978,$A119,$M$2:$M$978,"workaround",$K$2:$K$978,"&lt;&gt;Context and provider model",$K$2:$K$978,"&lt;&gt;Motivation")&gt;0,"workaround; ","")</f>
        <v>friction; need; workaround; </v>
      </c>
      <c r="D119" s="12" t="n">
        <f aca="false">SUMIFS($Q$2:$Q$978,$L$2:$L$978,$A119)</f>
        <v>3</v>
      </c>
      <c r="E119" s="4" t="str">
        <f aca="false">IF((SUMIFS($R$2:$R$978,$K$2:$K$978,"Client acquisition",$L$2:$L$978,$A119))&gt;0,"Client acquisition ("&amp;(SUMIFS($R$2:$R$978,$K$2:$K$978,"Client acquisition",$L$2:$L$978,$A119))&amp;"); ","")&amp;IF((SUMIFS($R$2:$R$978,$K$2:$K$978,"Evaluation and meet-and-greet",$L$2:$L$978,$A119))&gt;0,"Evaluation and meet-and-greet ("&amp;(SUMIFS($R$2:$R$978,$K$2:$K$978,"Evaluation and meet-and-greet",$L$2:$L$978,$A119))&amp;"); ","")&amp;IF((SUMIFS($R$2:$R$978,$K$2:$K$978,"Booking and availability",$L$2:$L$978,$A119))&gt;0,"Booking and availability ("&amp;(SUMIFS($R$2:$R$978,$K$2:$K$978,"Booking and availability",$L$2:$L$978,$A119))&amp;"); ","")&amp;IF((SUMIFS($R$2:$R$978,$K$2:$K$978,"Sitting preparation",$L$2:$L$978,$A119))&gt;0,"Sitting preparation ("&amp;(SUMIFS($R$2:$R$978,$K$2:$K$978,"Sitting preparation",$L$2:$L$978,$A119))&amp;"); ","")&amp;IF((SUMIFS($R$2:$R$978,$K$2:$K$978,"Service delivery",$L$2:$L$978,$A119))&gt;0,"Service delivery ("&amp;(SUMIFS($R$2:$R$978,$K$2:$K$978,"Service delivery",$L$2:$L$978,$A119))&amp;"); ","")&amp;IF((SUMIFS($R$2:$R$978,$K$2:$K$978,"Client communication",$L$2:$L$978,$A119))&gt;0,"Client communication ("&amp;(SUMIFS($R$2:$R$978,$K$2:$K$978,"Client communication",$L$2:$L$978,$A119))&amp;"); ","")&amp;IF((SUMIFS($R$2:$R$978,$K$2:$K$978,"Completion and feedback",$L$2:$L$978,$A119))&gt;0,"Completion and feedback ("&amp;(SUMIFS($R$2:$R$978,$K$2:$K$978,"Completion and feedback",$L$2:$L$978,$A119))&amp;"); ","")&amp;IF((SUMIFS($R$2:$R$978,$K$2:$K$978,"Payments and earnings",$L$2:$L$978,$A119))&gt;0,"Payments and earnings ("&amp;(SUMIFS($R$2:$R$978,$K$2:$K$978,"Payments and earnings",$L$2:$L$978,$A119))&amp;"); ","")&amp;IF((SUMIFS($R$2:$R$978,$K$2:$K$978,"Cross-platform behavior",$L$2:$L$978,$A119))&gt;0,"Cross-platform behavior ("&amp;(SUMIFS($R$2:$R$978,$K$2:$K$978,"Cross-platform behavior",$L$2:$L$978,$A119))&amp;"); ","")&amp;IF((SUMIFS($R$2:$R$978,$K$2:$K$978,"Growth and future plans",$L$2:$L$978,$A119))&gt;0,"Growth and future plans ("&amp;(SUMIFS($R$2:$R$978,$K$2:$K$978,"Growth and future plans",$L$2:$L$978,$A119))&amp;"); ","")</f>
        <v>Completion and feedback (1); Payments and earnings (5); Growth and future plans (1); </v>
      </c>
      <c r="F119" s="12" t="n">
        <f aca="false">SUMIFS($P$2:$P$978,$L$2:$L$978,$A119)</f>
        <v>6</v>
      </c>
      <c r="J119" s="1" t="str">
        <f aca="false">'Raw Atomic Data (Pro)'!A119</f>
        <v>Ami</v>
      </c>
      <c r="K119" s="1" t="str">
        <f aca="false">'Raw Atomic Data (Pro)'!C119</f>
        <v>Motivation</v>
      </c>
      <c r="L119" s="1" t="str">
        <f aca="false">'Raw Atomic Data (Pro)'!D119</f>
        <v>motivation-emotional-connection</v>
      </c>
      <c r="M119" s="1" t="str">
        <f aca="false">'Raw Atomic Data (Pro)'!E119</f>
        <v>value-statement</v>
      </c>
      <c r="N119" s="1" t="n">
        <f aca="false">IF(OR(M119="friction",M119="need",M119="workaround"),1,0)</f>
        <v>0</v>
      </c>
      <c r="O119" s="1" t="n">
        <f aca="false">IF(COUNTIFS($K$2:K119,K119,$L$2:L119,L119,$M$2:M119,M119,$J$2:J119,J119)=1,1,0)</f>
        <v>0</v>
      </c>
      <c r="P119" s="1" t="n">
        <f aca="false">IF(AND(N119=1,S119=1,COUNTIFS($L$2:L119,L119,$J$2:J119,J119,$N$2:N119,1,$S$2:S119,1)=1),1,0)</f>
        <v>0</v>
      </c>
      <c r="Q119" s="1" t="n">
        <f aca="false">IF(AND(N119=1,S119=1,COUNTIFS($L$2:L119,L119,$K$2:K119,K119,$N$2:N119,1,$S$2:S119,1)=1),1,0)</f>
        <v>0</v>
      </c>
      <c r="R119" s="1" t="n">
        <f aca="false">IF(AND(N119=1,COUNTIFS($K$2:K119,K119,$L$2:L119,L119,$J$2:J119,J119,$N$2:N119,1)=1),1,0)</f>
        <v>0</v>
      </c>
      <c r="S119" s="1" t="n">
        <f aca="false">IF(AND(K119&lt;&gt;"Context and provider model",K119&lt;&gt;"Motivation"),1,0)</f>
        <v>0</v>
      </c>
    </row>
    <row r="120" customFormat="false" ht="23.25" hidden="false" customHeight="true" outlineLevel="0" collapsed="false">
      <c r="A120" s="7" t="s">
        <v>470</v>
      </c>
      <c r="B120" s="4" t="str">
        <f aca="false">IFERROR(INDEX('Theme Legend'!$B$2:$B$31,MATCH($A120,'Theme Legend'!$A$2:$A$31,0)),"")</f>
        <v>How sitters set, and change, their own service rates.</v>
      </c>
      <c r="C120" s="4" t="str">
        <f aca="false">IF(SUMIFS($O$2:$O$978,$L$2:$L$978,$A120,$M$2:$M$978,"friction",$K$2:$K$978,"&lt;&gt;Context and provider model",$K$2:$K$978,"&lt;&gt;Motivation")&gt;0,"friction; ","")&amp;IF(SUMIFS($O$2:$O$978,$L$2:$L$978,$A120,$M$2:$M$978,"need",$K$2:$K$978,"&lt;&gt;Context and provider model",$K$2:$K$978,"&lt;&gt;Motivation")&gt;0,"need; ","")&amp;IF(SUMIFS($O$2:$O$978,$L$2:$L$978,$A120,$M$2:$M$978,"workaround",$K$2:$K$978,"&lt;&gt;Context and provider model",$K$2:$K$978,"&lt;&gt;Motivation")&gt;0,"workaround; ","")</f>
        <v>friction; workaround; </v>
      </c>
      <c r="D120" s="12" t="n">
        <f aca="false">SUMIFS($Q$2:$Q$978,$L$2:$L$978,$A120)</f>
        <v>2</v>
      </c>
      <c r="E120" s="4" t="str">
        <f aca="false">IF((SUMIFS($R$2:$R$978,$K$2:$K$978,"Client acquisition",$L$2:$L$978,$A120))&gt;0,"Client acquisition ("&amp;(SUMIFS($R$2:$R$978,$K$2:$K$978,"Client acquisition",$L$2:$L$978,$A120))&amp;"); ","")&amp;IF((SUMIFS($R$2:$R$978,$K$2:$K$978,"Evaluation and meet-and-greet",$L$2:$L$978,$A120))&gt;0,"Evaluation and meet-and-greet ("&amp;(SUMIFS($R$2:$R$978,$K$2:$K$978,"Evaluation and meet-and-greet",$L$2:$L$978,$A120))&amp;"); ","")&amp;IF((SUMIFS($R$2:$R$978,$K$2:$K$978,"Booking and availability",$L$2:$L$978,$A120))&gt;0,"Booking and availability ("&amp;(SUMIFS($R$2:$R$978,$K$2:$K$978,"Booking and availability",$L$2:$L$978,$A120))&amp;"); ","")&amp;IF((SUMIFS($R$2:$R$978,$K$2:$K$978,"Sitting preparation",$L$2:$L$978,$A120))&gt;0,"Sitting preparation ("&amp;(SUMIFS($R$2:$R$978,$K$2:$K$978,"Sitting preparation",$L$2:$L$978,$A120))&amp;"); ","")&amp;IF((SUMIFS($R$2:$R$978,$K$2:$K$978,"Service delivery",$L$2:$L$978,$A120))&gt;0,"Service delivery ("&amp;(SUMIFS($R$2:$R$978,$K$2:$K$978,"Service delivery",$L$2:$L$978,$A120))&amp;"); ","")&amp;IF((SUMIFS($R$2:$R$978,$K$2:$K$978,"Client communication",$L$2:$L$978,$A120))&gt;0,"Client communication ("&amp;(SUMIFS($R$2:$R$978,$K$2:$K$978,"Client communication",$L$2:$L$978,$A120))&amp;"); ","")&amp;IF((SUMIFS($R$2:$R$978,$K$2:$K$978,"Completion and feedback",$L$2:$L$978,$A120))&gt;0,"Completion and feedback ("&amp;(SUMIFS($R$2:$R$978,$K$2:$K$978,"Completion and feedback",$L$2:$L$978,$A120))&amp;"); ","")&amp;IF((SUMIFS($R$2:$R$978,$K$2:$K$978,"Payments and earnings",$L$2:$L$978,$A120))&gt;0,"Payments and earnings ("&amp;(SUMIFS($R$2:$R$978,$K$2:$K$978,"Payments and earnings",$L$2:$L$978,$A120))&amp;"); ","")&amp;IF((SUMIFS($R$2:$R$978,$K$2:$K$978,"Cross-platform behavior",$L$2:$L$978,$A120))&gt;0,"Cross-platform behavior ("&amp;(SUMIFS($R$2:$R$978,$K$2:$K$978,"Cross-platform behavior",$L$2:$L$978,$A120))&amp;"); ","")&amp;IF((SUMIFS($R$2:$R$978,$K$2:$K$978,"Growth and future plans",$L$2:$L$978,$A120))&gt;0,"Growth and future plans ("&amp;(SUMIFS($R$2:$R$978,$K$2:$K$978,"Growth and future plans",$L$2:$L$978,$A120))&amp;"); ","")</f>
        <v>Client acquisition (1); Payments and earnings (4); </v>
      </c>
      <c r="F120" s="12" t="n">
        <f aca="false">SUMIFS($P$2:$P$978,$L$2:$L$978,$A120)</f>
        <v>5</v>
      </c>
      <c r="J120" s="1" t="str">
        <f aca="false">'Raw Atomic Data (Pro)'!A120</f>
        <v>Andrew</v>
      </c>
      <c r="K120" s="1" t="str">
        <f aca="false">'Raw Atomic Data (Pro)'!C120</f>
        <v>Motivation</v>
      </c>
      <c r="L120" s="1" t="str">
        <f aca="false">'Raw Atomic Data (Pro)'!D120</f>
        <v>motivation-emotional-connection</v>
      </c>
      <c r="M120" s="1" t="str">
        <f aca="false">'Raw Atomic Data (Pro)'!E120</f>
        <v>value-statement</v>
      </c>
      <c r="N120" s="1" t="n">
        <f aca="false">IF(OR(M120="friction",M120="need",M120="workaround"),1,0)</f>
        <v>0</v>
      </c>
      <c r="O120" s="1" t="n">
        <f aca="false">IF(COUNTIFS($K$2:K120,K120,$L$2:L120,L120,$M$2:M120,M120,$J$2:J120,J120)=1,1,0)</f>
        <v>1</v>
      </c>
      <c r="P120" s="1" t="n">
        <f aca="false">IF(AND(N120=1,S120=1,COUNTIFS($L$2:L120,L120,$J$2:J120,J120,$N$2:N120,1,$S$2:S120,1)=1),1,0)</f>
        <v>0</v>
      </c>
      <c r="Q120" s="1" t="n">
        <f aca="false">IF(AND(N120=1,S120=1,COUNTIFS($L$2:L120,L120,$K$2:K120,K120,$N$2:N120,1,$S$2:S120,1)=1),1,0)</f>
        <v>0</v>
      </c>
      <c r="R120" s="1" t="n">
        <f aca="false">IF(AND(N120=1,COUNTIFS($K$2:K120,K120,$L$2:L120,L120,$J$2:J120,J120,$N$2:N120,1)=1),1,0)</f>
        <v>0</v>
      </c>
      <c r="S120" s="1" t="n">
        <f aca="false">IF(AND(K120&lt;&gt;"Context and provider model",K120&lt;&gt;"Motivation"),1,0)</f>
        <v>0</v>
      </c>
    </row>
    <row r="121" customFormat="false" ht="45.75" hidden="false" customHeight="true" outlineLevel="0" collapsed="false">
      <c r="A121" s="7" t="s">
        <v>473</v>
      </c>
      <c r="B121" s="4" t="str">
        <f aca="false">IFERROR(INDEX('Theme Legend'!$B$2:$B$31,MATCH($A121,'Theme Legend'!$A$2:$A$31,0)),"")</f>
        <v>Physical-safety concerns and incidents involving the sitter, a dog, or an owner, and personal-safety precautions.</v>
      </c>
      <c r="C121" s="4" t="str">
        <f aca="false">IF(SUMIFS($O$2:$O$978,$L$2:$L$978,$A121,$M$2:$M$978,"friction",$K$2:$K$978,"&lt;&gt;Context and provider model",$K$2:$K$978,"&lt;&gt;Motivation")&gt;0,"friction; ","")&amp;IF(SUMIFS($O$2:$O$978,$L$2:$L$978,$A121,$M$2:$M$978,"need",$K$2:$K$978,"&lt;&gt;Context and provider model",$K$2:$K$978,"&lt;&gt;Motivation")&gt;0,"need; ","")&amp;IF(SUMIFS($O$2:$O$978,$L$2:$L$978,$A121,$M$2:$M$978,"workaround",$K$2:$K$978,"&lt;&gt;Context and provider model",$K$2:$K$978,"&lt;&gt;Motivation")&gt;0,"workaround; ","")</f>
        <v>friction; need; workaround; </v>
      </c>
      <c r="D121" s="12" t="n">
        <f aca="false">SUMIFS($Q$2:$Q$978,$L$2:$L$978,$A121)</f>
        <v>5</v>
      </c>
      <c r="E121" s="4" t="str">
        <f aca="false">IF((SUMIFS($R$2:$R$978,$K$2:$K$978,"Client acquisition",$L$2:$L$978,$A121))&gt;0,"Client acquisition ("&amp;(SUMIFS($R$2:$R$978,$K$2:$K$978,"Client acquisition",$L$2:$L$978,$A121))&amp;"); ","")&amp;IF((SUMIFS($R$2:$R$978,$K$2:$K$978,"Evaluation and meet-and-greet",$L$2:$L$978,$A121))&gt;0,"Evaluation and meet-and-greet ("&amp;(SUMIFS($R$2:$R$978,$K$2:$K$978,"Evaluation and meet-and-greet",$L$2:$L$978,$A121))&amp;"); ","")&amp;IF((SUMIFS($R$2:$R$978,$K$2:$K$978,"Booking and availability",$L$2:$L$978,$A121))&gt;0,"Booking and availability ("&amp;(SUMIFS($R$2:$R$978,$K$2:$K$978,"Booking and availability",$L$2:$L$978,$A121))&amp;"); ","")&amp;IF((SUMIFS($R$2:$R$978,$K$2:$K$978,"Sitting preparation",$L$2:$L$978,$A121))&gt;0,"Sitting preparation ("&amp;(SUMIFS($R$2:$R$978,$K$2:$K$978,"Sitting preparation",$L$2:$L$978,$A121))&amp;"); ","")&amp;IF((SUMIFS($R$2:$R$978,$K$2:$K$978,"Service delivery",$L$2:$L$978,$A121))&gt;0,"Service delivery ("&amp;(SUMIFS($R$2:$R$978,$K$2:$K$978,"Service delivery",$L$2:$L$978,$A121))&amp;"); ","")&amp;IF((SUMIFS($R$2:$R$978,$K$2:$K$978,"Client communication",$L$2:$L$978,$A121))&gt;0,"Client communication ("&amp;(SUMIFS($R$2:$R$978,$K$2:$K$978,"Client communication",$L$2:$L$978,$A121))&amp;"); ","")&amp;IF((SUMIFS($R$2:$R$978,$K$2:$K$978,"Completion and feedback",$L$2:$L$978,$A121))&gt;0,"Completion and feedback ("&amp;(SUMIFS($R$2:$R$978,$K$2:$K$978,"Completion and feedback",$L$2:$L$978,$A121))&amp;"); ","")&amp;IF((SUMIFS($R$2:$R$978,$K$2:$K$978,"Payments and earnings",$L$2:$L$978,$A121))&gt;0,"Payments and earnings ("&amp;(SUMIFS($R$2:$R$978,$K$2:$K$978,"Payments and earnings",$L$2:$L$978,$A121))&amp;"); ","")&amp;IF((SUMIFS($R$2:$R$978,$K$2:$K$978,"Cross-platform behavior",$L$2:$L$978,$A121))&gt;0,"Cross-platform behavior ("&amp;(SUMIFS($R$2:$R$978,$K$2:$K$978,"Cross-platform behavior",$L$2:$L$978,$A121))&amp;"); ","")&amp;IF((SUMIFS($R$2:$R$978,$K$2:$K$978,"Growth and future plans",$L$2:$L$978,$A121))&gt;0,"Growth and future plans ("&amp;(SUMIFS($R$2:$R$978,$K$2:$K$978,"Growth and future plans",$L$2:$L$978,$A121))&amp;"); ","")</f>
        <v>Evaluation and meet-and-greet (3); Sitting preparation (1); Service delivery (2); Client communication (1); Growth and future plans (1); </v>
      </c>
      <c r="F121" s="12" t="n">
        <f aca="false">SUMIFS($P$2:$P$978,$L$2:$L$978,$A121)</f>
        <v>5</v>
      </c>
      <c r="J121" s="1" t="str">
        <f aca="false">'Raw Atomic Data (Pro)'!A121</f>
        <v>Andrew</v>
      </c>
      <c r="K121" s="1" t="str">
        <f aca="false">'Raw Atomic Data (Pro)'!C121</f>
        <v>Motivation</v>
      </c>
      <c r="L121" s="1" t="str">
        <f aca="false">'Raw Atomic Data (Pro)'!D121</f>
        <v>motivation-emotional-connection</v>
      </c>
      <c r="M121" s="1" t="str">
        <f aca="false">'Raw Atomic Data (Pro)'!E121</f>
        <v>value-statement</v>
      </c>
      <c r="N121" s="1" t="n">
        <f aca="false">IF(OR(M121="friction",M121="need",M121="workaround"),1,0)</f>
        <v>0</v>
      </c>
      <c r="O121" s="1" t="n">
        <f aca="false">IF(COUNTIFS($K$2:K121,K121,$L$2:L121,L121,$M$2:M121,M121,$J$2:J121,J121)=1,1,0)</f>
        <v>0</v>
      </c>
      <c r="P121" s="1" t="n">
        <f aca="false">IF(AND(N121=1,S121=1,COUNTIFS($L$2:L121,L121,$J$2:J121,J121,$N$2:N121,1,$S$2:S121,1)=1),1,0)</f>
        <v>0</v>
      </c>
      <c r="Q121" s="1" t="n">
        <f aca="false">IF(AND(N121=1,S121=1,COUNTIFS($L$2:L121,L121,$K$2:K121,K121,$N$2:N121,1,$S$2:S121,1)=1),1,0)</f>
        <v>0</v>
      </c>
      <c r="R121" s="1" t="n">
        <f aca="false">IF(AND(N121=1,COUNTIFS($K$2:K121,K121,$L$2:L121,L121,$J$2:J121,J121,$N$2:N121,1)=1),1,0)</f>
        <v>0</v>
      </c>
      <c r="S121" s="1" t="n">
        <f aca="false">IF(AND(K121&lt;&gt;"Context and provider model",K121&lt;&gt;"Motivation"),1,0)</f>
        <v>0</v>
      </c>
    </row>
    <row r="122" customFormat="false" ht="34.5" hidden="false" customHeight="true" outlineLevel="0" collapsed="false">
      <c r="A122" s="7" t="s">
        <v>444</v>
      </c>
      <c r="B122" s="4" t="str">
        <f aca="false">IFERROR(INDEX('Theme Legend'!$B$2:$B$31,MATCH($A122,'Theme Legend'!$A$2:$A$31,0)),"")</f>
        <v>The completeness and quality of client or pet profile information available before or during a sit.</v>
      </c>
      <c r="C122" s="4" t="str">
        <f aca="false">IF(SUMIFS($O$2:$O$978,$L$2:$L$978,$A122,$M$2:$M$978,"friction",$K$2:$K$978,"&lt;&gt;Context and provider model",$K$2:$K$978,"&lt;&gt;Motivation")&gt;0,"friction; ","")&amp;IF(SUMIFS($O$2:$O$978,$L$2:$L$978,$A122,$M$2:$M$978,"need",$K$2:$K$978,"&lt;&gt;Context and provider model",$K$2:$K$978,"&lt;&gt;Motivation")&gt;0,"need; ","")&amp;IF(SUMIFS($O$2:$O$978,$L$2:$L$978,$A122,$M$2:$M$978,"workaround",$K$2:$K$978,"&lt;&gt;Context and provider model",$K$2:$K$978,"&lt;&gt;Motivation")&gt;0,"workaround; ","")</f>
        <v>friction; need; </v>
      </c>
      <c r="D122" s="12" t="n">
        <f aca="false">SUMIFS($Q$2:$Q$978,$L$2:$L$978,$A122)</f>
        <v>3</v>
      </c>
      <c r="E122" s="4" t="str">
        <f aca="false">IF((SUMIFS($R$2:$R$978,$K$2:$K$978,"Client acquisition",$L$2:$L$978,$A122))&gt;0,"Client acquisition ("&amp;(SUMIFS($R$2:$R$978,$K$2:$K$978,"Client acquisition",$L$2:$L$978,$A122))&amp;"); ","")&amp;IF((SUMIFS($R$2:$R$978,$K$2:$K$978,"Evaluation and meet-and-greet",$L$2:$L$978,$A122))&gt;0,"Evaluation and meet-and-greet ("&amp;(SUMIFS($R$2:$R$978,$K$2:$K$978,"Evaluation and meet-and-greet",$L$2:$L$978,$A122))&amp;"); ","")&amp;IF((SUMIFS($R$2:$R$978,$K$2:$K$978,"Booking and availability",$L$2:$L$978,$A122))&gt;0,"Booking and availability ("&amp;(SUMIFS($R$2:$R$978,$K$2:$K$978,"Booking and availability",$L$2:$L$978,$A122))&amp;"); ","")&amp;IF((SUMIFS($R$2:$R$978,$K$2:$K$978,"Sitting preparation",$L$2:$L$978,$A122))&gt;0,"Sitting preparation ("&amp;(SUMIFS($R$2:$R$978,$K$2:$K$978,"Sitting preparation",$L$2:$L$978,$A122))&amp;"); ","")&amp;IF((SUMIFS($R$2:$R$978,$K$2:$K$978,"Service delivery",$L$2:$L$978,$A122))&gt;0,"Service delivery ("&amp;(SUMIFS($R$2:$R$978,$K$2:$K$978,"Service delivery",$L$2:$L$978,$A122))&amp;"); ","")&amp;IF((SUMIFS($R$2:$R$978,$K$2:$K$978,"Client communication",$L$2:$L$978,$A122))&gt;0,"Client communication ("&amp;(SUMIFS($R$2:$R$978,$K$2:$K$978,"Client communication",$L$2:$L$978,$A122))&amp;"); ","")&amp;IF((SUMIFS($R$2:$R$978,$K$2:$K$978,"Completion and feedback",$L$2:$L$978,$A122))&gt;0,"Completion and feedback ("&amp;(SUMIFS($R$2:$R$978,$K$2:$K$978,"Completion and feedback",$L$2:$L$978,$A122))&amp;"); ","")&amp;IF((SUMIFS($R$2:$R$978,$K$2:$K$978,"Payments and earnings",$L$2:$L$978,$A122))&gt;0,"Payments and earnings ("&amp;(SUMIFS($R$2:$R$978,$K$2:$K$978,"Payments and earnings",$L$2:$L$978,$A122))&amp;"); ","")&amp;IF((SUMIFS($R$2:$R$978,$K$2:$K$978,"Cross-platform behavior",$L$2:$L$978,$A122))&gt;0,"Cross-platform behavior ("&amp;(SUMIFS($R$2:$R$978,$K$2:$K$978,"Cross-platform behavior",$L$2:$L$978,$A122))&amp;"); ","")&amp;IF((SUMIFS($R$2:$R$978,$K$2:$K$978,"Growth and future plans",$L$2:$L$978,$A122))&gt;0,"Growth and future plans ("&amp;(SUMIFS($R$2:$R$978,$K$2:$K$978,"Growth and future plans",$L$2:$L$978,$A122))&amp;"); ","")</f>
        <v>Client acquisition (1); Evaluation and meet-and-greet (1); Sitting preparation (2); </v>
      </c>
      <c r="F122" s="12" t="n">
        <f aca="false">SUMIFS($P$2:$P$978,$L$2:$L$978,$A122)</f>
        <v>4</v>
      </c>
      <c r="J122" s="1" t="str">
        <f aca="false">'Raw Atomic Data (Pro)'!A122</f>
        <v>Andrew</v>
      </c>
      <c r="K122" s="1" t="str">
        <f aca="false">'Raw Atomic Data (Pro)'!C122</f>
        <v>Motivation</v>
      </c>
      <c r="L122" s="1" t="str">
        <f aca="false">'Raw Atomic Data (Pro)'!D122</f>
        <v>motivation-emotional-connection</v>
      </c>
      <c r="M122" s="1" t="str">
        <f aca="false">'Raw Atomic Data (Pro)'!E122</f>
        <v>value-statement</v>
      </c>
      <c r="N122" s="1" t="n">
        <f aca="false">IF(OR(M122="friction",M122="need",M122="workaround"),1,0)</f>
        <v>0</v>
      </c>
      <c r="O122" s="1" t="n">
        <f aca="false">IF(COUNTIFS($K$2:K122,K122,$L$2:L122,L122,$M$2:M122,M122,$J$2:J122,J122)=1,1,0)</f>
        <v>0</v>
      </c>
      <c r="P122" s="1" t="n">
        <f aca="false">IF(AND(N122=1,S122=1,COUNTIFS($L$2:L122,L122,$J$2:J122,J122,$N$2:N122,1,$S$2:S122,1)=1),1,0)</f>
        <v>0</v>
      </c>
      <c r="Q122" s="1" t="n">
        <f aca="false">IF(AND(N122=1,S122=1,COUNTIFS($L$2:L122,L122,$K$2:K122,K122,$N$2:N122,1,$S$2:S122,1)=1),1,0)</f>
        <v>0</v>
      </c>
      <c r="R122" s="1" t="n">
        <f aca="false">IF(AND(N122=1,COUNTIFS($K$2:K122,K122,$L$2:L122,L122,$J$2:J122,J122,$N$2:N122,1)=1),1,0)</f>
        <v>0</v>
      </c>
      <c r="S122" s="1" t="n">
        <f aca="false">IF(AND(K122&lt;&gt;"Context and provider model",K122&lt;&gt;"Motivation"),1,0)</f>
        <v>0</v>
      </c>
    </row>
    <row r="123" customFormat="false" ht="34.5" hidden="false" customHeight="true" outlineLevel="0" collapsed="false">
      <c r="A123" s="7" t="s">
        <v>486</v>
      </c>
      <c r="B123" s="4" t="str">
        <f aca="false">IFERROR(INDEX('Theme Legend'!$B$2:$B$31,MATCH($A123,'Theme Legend'!$A$2:$A$31,0)),"")</f>
        <v>The mechanics of how a request becomes a confirmed (or cancelled) booking - blocking dates, mutual confirmation, cancellation rules.</v>
      </c>
      <c r="C123" s="4" t="str">
        <f aca="false">IF(SUMIFS($O$2:$O$978,$L$2:$L$978,$A123,$M$2:$M$978,"friction",$K$2:$K$978,"&lt;&gt;Context and provider model",$K$2:$K$978,"&lt;&gt;Motivation")&gt;0,"friction; ","")&amp;IF(SUMIFS($O$2:$O$978,$L$2:$L$978,$A123,$M$2:$M$978,"need",$K$2:$K$978,"&lt;&gt;Context and provider model",$K$2:$K$978,"&lt;&gt;Motivation")&gt;0,"need; ","")&amp;IF(SUMIFS($O$2:$O$978,$L$2:$L$978,$A123,$M$2:$M$978,"workaround",$K$2:$K$978,"&lt;&gt;Context and provider model",$K$2:$K$978,"&lt;&gt;Motivation")&gt;0,"workaround; ","")</f>
        <v>friction; need; workaround; </v>
      </c>
      <c r="D123" s="12" t="n">
        <f aca="false">SUMIFS($Q$2:$Q$978,$L$2:$L$978,$A123)</f>
        <v>3</v>
      </c>
      <c r="E123" s="4" t="str">
        <f aca="false">IF((SUMIFS($R$2:$R$978,$K$2:$K$978,"Client acquisition",$L$2:$L$978,$A123))&gt;0,"Client acquisition ("&amp;(SUMIFS($R$2:$R$978,$K$2:$K$978,"Client acquisition",$L$2:$L$978,$A123))&amp;"); ","")&amp;IF((SUMIFS($R$2:$R$978,$K$2:$K$978,"Evaluation and meet-and-greet",$L$2:$L$978,$A123))&gt;0,"Evaluation and meet-and-greet ("&amp;(SUMIFS($R$2:$R$978,$K$2:$K$978,"Evaluation and meet-and-greet",$L$2:$L$978,$A123))&amp;"); ","")&amp;IF((SUMIFS($R$2:$R$978,$K$2:$K$978,"Booking and availability",$L$2:$L$978,$A123))&gt;0,"Booking and availability ("&amp;(SUMIFS($R$2:$R$978,$K$2:$K$978,"Booking and availability",$L$2:$L$978,$A123))&amp;"); ","")&amp;IF((SUMIFS($R$2:$R$978,$K$2:$K$978,"Sitting preparation",$L$2:$L$978,$A123))&gt;0,"Sitting preparation ("&amp;(SUMIFS($R$2:$R$978,$K$2:$K$978,"Sitting preparation",$L$2:$L$978,$A123))&amp;"); ","")&amp;IF((SUMIFS($R$2:$R$978,$K$2:$K$978,"Service delivery",$L$2:$L$978,$A123))&gt;0,"Service delivery ("&amp;(SUMIFS($R$2:$R$978,$K$2:$K$978,"Service delivery",$L$2:$L$978,$A123))&amp;"); ","")&amp;IF((SUMIFS($R$2:$R$978,$K$2:$K$978,"Client communication",$L$2:$L$978,$A123))&gt;0,"Client communication ("&amp;(SUMIFS($R$2:$R$978,$K$2:$K$978,"Client communication",$L$2:$L$978,$A123))&amp;"); ","")&amp;IF((SUMIFS($R$2:$R$978,$K$2:$K$978,"Completion and feedback",$L$2:$L$978,$A123))&gt;0,"Completion and feedback ("&amp;(SUMIFS($R$2:$R$978,$K$2:$K$978,"Completion and feedback",$L$2:$L$978,$A123))&amp;"); ","")&amp;IF((SUMIFS($R$2:$R$978,$K$2:$K$978,"Payments and earnings",$L$2:$L$978,$A123))&gt;0,"Payments and earnings ("&amp;(SUMIFS($R$2:$R$978,$K$2:$K$978,"Payments and earnings",$L$2:$L$978,$A123))&amp;"); ","")&amp;IF((SUMIFS($R$2:$R$978,$K$2:$K$978,"Cross-platform behavior",$L$2:$L$978,$A123))&gt;0,"Cross-platform behavior ("&amp;(SUMIFS($R$2:$R$978,$K$2:$K$978,"Cross-platform behavior",$L$2:$L$978,$A123))&amp;"); ","")&amp;IF((SUMIFS($R$2:$R$978,$K$2:$K$978,"Growth and future plans",$L$2:$L$978,$A123))&gt;0,"Growth and future plans ("&amp;(SUMIFS($R$2:$R$978,$K$2:$K$978,"Growth and future plans",$L$2:$L$978,$A123))&amp;"); ","")</f>
        <v>Client acquisition (1); Booking and availability (2); Payments and earnings (2); </v>
      </c>
      <c r="F123" s="12" t="n">
        <f aca="false">SUMIFS($P$2:$P$978,$L$2:$L$978,$A123)</f>
        <v>4</v>
      </c>
      <c r="J123" s="1" t="str">
        <f aca="false">'Raw Atomic Data (Pro)'!A123</f>
        <v>Andrew</v>
      </c>
      <c r="K123" s="1" t="str">
        <f aca="false">'Raw Atomic Data (Pro)'!C123</f>
        <v>Motivation</v>
      </c>
      <c r="L123" s="1" t="str">
        <f aca="false">'Raw Atomic Data (Pro)'!D123</f>
        <v>motivation-emotional-connection</v>
      </c>
      <c r="M123" s="1" t="str">
        <f aca="false">'Raw Atomic Data (Pro)'!E123</f>
        <v>value-statement</v>
      </c>
      <c r="N123" s="1" t="n">
        <f aca="false">IF(OR(M123="friction",M123="need",M123="workaround"),1,0)</f>
        <v>0</v>
      </c>
      <c r="O123" s="1" t="n">
        <f aca="false">IF(COUNTIFS($K$2:K123,K123,$L$2:L123,L123,$M$2:M123,M123,$J$2:J123,J123)=1,1,0)</f>
        <v>0</v>
      </c>
      <c r="P123" s="1" t="n">
        <f aca="false">IF(AND(N123=1,S123=1,COUNTIFS($L$2:L123,L123,$J$2:J123,J123,$N$2:N123,1,$S$2:S123,1)=1),1,0)</f>
        <v>0</v>
      </c>
      <c r="Q123" s="1" t="n">
        <f aca="false">IF(AND(N123=1,S123=1,COUNTIFS($L$2:L123,L123,$K$2:K123,K123,$N$2:N123,1,$S$2:S123,1)=1),1,0)</f>
        <v>0</v>
      </c>
      <c r="R123" s="1" t="n">
        <f aca="false">IF(AND(N123=1,COUNTIFS($K$2:K123,K123,$L$2:L123,L123,$J$2:J123,J123,$N$2:N123,1)=1),1,0)</f>
        <v>0</v>
      </c>
      <c r="S123" s="1" t="n">
        <f aca="false">IF(AND(K123&lt;&gt;"Context and provider model",K123&lt;&gt;"Motivation"),1,0)</f>
        <v>0</v>
      </c>
    </row>
    <row r="124" customFormat="false" ht="34.5" hidden="false" customHeight="true" outlineLevel="0" collapsed="false">
      <c r="A124" s="7" t="s">
        <v>952</v>
      </c>
      <c r="B124" s="4" t="str">
        <f aca="false">IFERROR(INDEX('Theme Legend'!$B$2:$B$31,MATCH($A124,'Theme Legend'!$A$2:$A$31,0)),"")</f>
        <v>Neutral facts about the concrete tasks performed during a sit - feeding, walking, medicating, cleaning.</v>
      </c>
      <c r="C124" s="4" t="str">
        <f aca="false">IF(SUMIFS($O$2:$O$978,$L$2:$L$978,$A124,$M$2:$M$978,"friction",$K$2:$K$978,"&lt;&gt;Context and provider model",$K$2:$K$978,"&lt;&gt;Motivation")&gt;0,"friction; ","")&amp;IF(SUMIFS($O$2:$O$978,$L$2:$L$978,$A124,$M$2:$M$978,"need",$K$2:$K$978,"&lt;&gt;Context and provider model",$K$2:$K$978,"&lt;&gt;Motivation")&gt;0,"need; ","")&amp;IF(SUMIFS($O$2:$O$978,$L$2:$L$978,$A124,$M$2:$M$978,"workaround",$K$2:$K$978,"&lt;&gt;Context and provider model",$K$2:$K$978,"&lt;&gt;Motivation")&gt;0,"workaround; ","")</f>
        <v>friction; need; workaround; </v>
      </c>
      <c r="D124" s="12" t="n">
        <f aca="false">SUMIFS($Q$2:$Q$978,$L$2:$L$978,$A124)</f>
        <v>3</v>
      </c>
      <c r="E124" s="4" t="str">
        <f aca="false">IF((SUMIFS($R$2:$R$978,$K$2:$K$978,"Client acquisition",$L$2:$L$978,$A124))&gt;0,"Client acquisition ("&amp;(SUMIFS($R$2:$R$978,$K$2:$K$978,"Client acquisition",$L$2:$L$978,$A124))&amp;"); ","")&amp;IF((SUMIFS($R$2:$R$978,$K$2:$K$978,"Evaluation and meet-and-greet",$L$2:$L$978,$A124))&gt;0,"Evaluation and meet-and-greet ("&amp;(SUMIFS($R$2:$R$978,$K$2:$K$978,"Evaluation and meet-and-greet",$L$2:$L$978,$A124))&amp;"); ","")&amp;IF((SUMIFS($R$2:$R$978,$K$2:$K$978,"Booking and availability",$L$2:$L$978,$A124))&gt;0,"Booking and availability ("&amp;(SUMIFS($R$2:$R$978,$K$2:$K$978,"Booking and availability",$L$2:$L$978,$A124))&amp;"); ","")&amp;IF((SUMIFS($R$2:$R$978,$K$2:$K$978,"Sitting preparation",$L$2:$L$978,$A124))&gt;0,"Sitting preparation ("&amp;(SUMIFS($R$2:$R$978,$K$2:$K$978,"Sitting preparation",$L$2:$L$978,$A124))&amp;"); ","")&amp;IF((SUMIFS($R$2:$R$978,$K$2:$K$978,"Service delivery",$L$2:$L$978,$A124))&gt;0,"Service delivery ("&amp;(SUMIFS($R$2:$R$978,$K$2:$K$978,"Service delivery",$L$2:$L$978,$A124))&amp;"); ","")&amp;IF((SUMIFS($R$2:$R$978,$K$2:$K$978,"Client communication",$L$2:$L$978,$A124))&gt;0,"Client communication ("&amp;(SUMIFS($R$2:$R$978,$K$2:$K$978,"Client communication",$L$2:$L$978,$A124))&amp;"); ","")&amp;IF((SUMIFS($R$2:$R$978,$K$2:$K$978,"Completion and feedback",$L$2:$L$978,$A124))&gt;0,"Completion and feedback ("&amp;(SUMIFS($R$2:$R$978,$K$2:$K$978,"Completion and feedback",$L$2:$L$978,$A124))&amp;"); ","")&amp;IF((SUMIFS($R$2:$R$978,$K$2:$K$978,"Payments and earnings",$L$2:$L$978,$A124))&gt;0,"Payments and earnings ("&amp;(SUMIFS($R$2:$R$978,$K$2:$K$978,"Payments and earnings",$L$2:$L$978,$A124))&amp;"); ","")&amp;IF((SUMIFS($R$2:$R$978,$K$2:$K$978,"Cross-platform behavior",$L$2:$L$978,$A124))&gt;0,"Cross-platform behavior ("&amp;(SUMIFS($R$2:$R$978,$K$2:$K$978,"Cross-platform behavior",$L$2:$L$978,$A124))&amp;"); ","")&amp;IF((SUMIFS($R$2:$R$978,$K$2:$K$978,"Growth and future plans",$L$2:$L$978,$A124))&gt;0,"Growth and future plans ("&amp;(SUMIFS($R$2:$R$978,$K$2:$K$978,"Growth and future plans",$L$2:$L$978,$A124))&amp;"); ","")</f>
        <v>Service delivery (3); Completion and feedback (1); Growth and future plans (1); </v>
      </c>
      <c r="F124" s="12" t="n">
        <f aca="false">SUMIFS($P$2:$P$978,$L$2:$L$978,$A124)</f>
        <v>4</v>
      </c>
      <c r="J124" s="1" t="str">
        <f aca="false">'Raw Atomic Data (Pro)'!A124</f>
        <v>Andrew</v>
      </c>
      <c r="K124" s="1" t="str">
        <f aca="false">'Raw Atomic Data (Pro)'!C124</f>
        <v>Motivation</v>
      </c>
      <c r="L124" s="1" t="str">
        <f aca="false">'Raw Atomic Data (Pro)'!D124</f>
        <v>motivation-emotional-connection</v>
      </c>
      <c r="M124" s="1" t="str">
        <f aca="false">'Raw Atomic Data (Pro)'!E124</f>
        <v>value-statement</v>
      </c>
      <c r="N124" s="1" t="n">
        <f aca="false">IF(OR(M124="friction",M124="need",M124="workaround"),1,0)</f>
        <v>0</v>
      </c>
      <c r="O124" s="1" t="n">
        <f aca="false">IF(COUNTIFS($K$2:K124,K124,$L$2:L124,L124,$M$2:M124,M124,$J$2:J124,J124)=1,1,0)</f>
        <v>0</v>
      </c>
      <c r="P124" s="1" t="n">
        <f aca="false">IF(AND(N124=1,S124=1,COUNTIFS($L$2:L124,L124,$J$2:J124,J124,$N$2:N124,1,$S$2:S124,1)=1),1,0)</f>
        <v>0</v>
      </c>
      <c r="Q124" s="1" t="n">
        <f aca="false">IF(AND(N124=1,S124=1,COUNTIFS($L$2:L124,L124,$K$2:K124,K124,$N$2:N124,1,$S$2:S124,1)=1),1,0)</f>
        <v>0</v>
      </c>
      <c r="R124" s="1" t="n">
        <f aca="false">IF(AND(N124=1,COUNTIFS($K$2:K124,K124,$L$2:L124,L124,$J$2:J124,J124,$N$2:N124,1)=1),1,0)</f>
        <v>0</v>
      </c>
      <c r="S124" s="1" t="n">
        <f aca="false">IF(AND(K124&lt;&gt;"Context and provider model",K124&lt;&gt;"Motivation"),1,0)</f>
        <v>0</v>
      </c>
    </row>
    <row r="125" customFormat="false" ht="34.5" hidden="false" customHeight="true" outlineLevel="0" collapsed="false">
      <c r="A125" s="7" t="s">
        <v>416</v>
      </c>
      <c r="B125" s="4" t="str">
        <f aca="false">IFERROR(INDEX('Theme Legend'!$B$2:$B$31,MATCH($A125,'Theme Legend'!$A$2:$A$31,0)),"")</f>
        <v>Sitters or clients using channels other than Rover chat to communicate, such as texting, WhatsApp, or Messenger.</v>
      </c>
      <c r="C125" s="4" t="str">
        <f aca="false">IF(SUMIFS($O$2:$O$978,$L$2:$L$978,$A125,$M$2:$M$978,"friction",$K$2:$K$978,"&lt;&gt;Context and provider model",$K$2:$K$978,"&lt;&gt;Motivation")&gt;0,"friction; ","")&amp;IF(SUMIFS($O$2:$O$978,$L$2:$L$978,$A125,$M$2:$M$978,"need",$K$2:$K$978,"&lt;&gt;Context and provider model",$K$2:$K$978,"&lt;&gt;Motivation")&gt;0,"need; ","")&amp;IF(SUMIFS($O$2:$O$978,$L$2:$L$978,$A125,$M$2:$M$978,"workaround",$K$2:$K$978,"&lt;&gt;Context and provider model",$K$2:$K$978,"&lt;&gt;Motivation")&gt;0,"workaround; ","")</f>
        <v>workaround; </v>
      </c>
      <c r="D125" s="12" t="n">
        <f aca="false">SUMIFS($Q$2:$Q$978,$L$2:$L$978,$A125)</f>
        <v>2</v>
      </c>
      <c r="E125" s="4" t="str">
        <f aca="false">IF((SUMIFS($R$2:$R$978,$K$2:$K$978,"Client acquisition",$L$2:$L$978,$A125))&gt;0,"Client acquisition ("&amp;(SUMIFS($R$2:$R$978,$K$2:$K$978,"Client acquisition",$L$2:$L$978,$A125))&amp;"); ","")&amp;IF((SUMIFS($R$2:$R$978,$K$2:$K$978,"Evaluation and meet-and-greet",$L$2:$L$978,$A125))&gt;0,"Evaluation and meet-and-greet ("&amp;(SUMIFS($R$2:$R$978,$K$2:$K$978,"Evaluation and meet-and-greet",$L$2:$L$978,$A125))&amp;"); ","")&amp;IF((SUMIFS($R$2:$R$978,$K$2:$K$978,"Booking and availability",$L$2:$L$978,$A125))&gt;0,"Booking and availability ("&amp;(SUMIFS($R$2:$R$978,$K$2:$K$978,"Booking and availability",$L$2:$L$978,$A125))&amp;"); ","")&amp;IF((SUMIFS($R$2:$R$978,$K$2:$K$978,"Sitting preparation",$L$2:$L$978,$A125))&gt;0,"Sitting preparation ("&amp;(SUMIFS($R$2:$R$978,$K$2:$K$978,"Sitting preparation",$L$2:$L$978,$A125))&amp;"); ","")&amp;IF((SUMIFS($R$2:$R$978,$K$2:$K$978,"Service delivery",$L$2:$L$978,$A125))&gt;0,"Service delivery ("&amp;(SUMIFS($R$2:$R$978,$K$2:$K$978,"Service delivery",$L$2:$L$978,$A125))&amp;"); ","")&amp;IF((SUMIFS($R$2:$R$978,$K$2:$K$978,"Client communication",$L$2:$L$978,$A125))&gt;0,"Client communication ("&amp;(SUMIFS($R$2:$R$978,$K$2:$K$978,"Client communication",$L$2:$L$978,$A125))&amp;"); ","")&amp;IF((SUMIFS($R$2:$R$978,$K$2:$K$978,"Completion and feedback",$L$2:$L$978,$A125))&gt;0,"Completion and feedback ("&amp;(SUMIFS($R$2:$R$978,$K$2:$K$978,"Completion and feedback",$L$2:$L$978,$A125))&amp;"); ","")&amp;IF((SUMIFS($R$2:$R$978,$K$2:$K$978,"Payments and earnings",$L$2:$L$978,$A125))&gt;0,"Payments and earnings ("&amp;(SUMIFS($R$2:$R$978,$K$2:$K$978,"Payments and earnings",$L$2:$L$978,$A125))&amp;"); ","")&amp;IF((SUMIFS($R$2:$R$978,$K$2:$K$978,"Cross-platform behavior",$L$2:$L$978,$A125))&gt;0,"Cross-platform behavior ("&amp;(SUMIFS($R$2:$R$978,$K$2:$K$978,"Cross-platform behavior",$L$2:$L$978,$A125))&amp;"); ","")&amp;IF((SUMIFS($R$2:$R$978,$K$2:$K$978,"Growth and future plans",$L$2:$L$978,$A125))&gt;0,"Growth and future plans ("&amp;(SUMIFS($R$2:$R$978,$K$2:$K$978,"Growth and future plans",$L$2:$L$978,$A125))&amp;"); ","")</f>
        <v>Client communication (3); Cross-platform behavior (1); </v>
      </c>
      <c r="F125" s="12" t="n">
        <f aca="false">SUMIFS($P$2:$P$978,$L$2:$L$978,$A125)</f>
        <v>4</v>
      </c>
      <c r="J125" s="1" t="str">
        <f aca="false">'Raw Atomic Data (Pro)'!A125</f>
        <v>Andrew</v>
      </c>
      <c r="K125" s="1" t="str">
        <f aca="false">'Raw Atomic Data (Pro)'!C125</f>
        <v>Motivation</v>
      </c>
      <c r="L125" s="1" t="str">
        <f aca="false">'Raw Atomic Data (Pro)'!D125</f>
        <v>motivation-emotional-connection</v>
      </c>
      <c r="M125" s="1" t="str">
        <f aca="false">'Raw Atomic Data (Pro)'!E125</f>
        <v>fact</v>
      </c>
      <c r="N125" s="1" t="n">
        <f aca="false">IF(OR(M125="friction",M125="need",M125="workaround"),1,0)</f>
        <v>0</v>
      </c>
      <c r="O125" s="1" t="n">
        <f aca="false">IF(COUNTIFS($K$2:K125,K125,$L$2:L125,L125,$M$2:M125,M125,$J$2:J125,J125)=1,1,0)</f>
        <v>1</v>
      </c>
      <c r="P125" s="1" t="n">
        <f aca="false">IF(AND(N125=1,S125=1,COUNTIFS($L$2:L125,L125,$J$2:J125,J125,$N$2:N125,1,$S$2:S125,1)=1),1,0)</f>
        <v>0</v>
      </c>
      <c r="Q125" s="1" t="n">
        <f aca="false">IF(AND(N125=1,S125=1,COUNTIFS($L$2:L125,L125,$K$2:K125,K125,$N$2:N125,1,$S$2:S125,1)=1),1,0)</f>
        <v>0</v>
      </c>
      <c r="R125" s="1" t="n">
        <f aca="false">IF(AND(N125=1,COUNTIFS($K$2:K125,K125,$L$2:L125,L125,$J$2:J125,J125,$N$2:N125,1)=1),1,0)</f>
        <v>0</v>
      </c>
      <c r="S125" s="1" t="n">
        <f aca="false">IF(AND(K125&lt;&gt;"Context and provider model",K125&lt;&gt;"Motivation"),1,0)</f>
        <v>0</v>
      </c>
    </row>
    <row r="126" customFormat="false" ht="23.25" hidden="false" customHeight="true" outlineLevel="0" collapsed="false">
      <c r="A126" s="7" t="s">
        <v>1271</v>
      </c>
      <c r="B126" s="4" t="str">
        <f aca="false">IFERROR(INDEX('Theme Legend'!$B$2:$B$31,MATCH($A126,'Theme Legend'!$A$2:$A$31,0)),"")</f>
        <v>Leaving and receiving reviews and ratings, and concerns about their honesty, visibility, or fairness.</v>
      </c>
      <c r="C126" s="4" t="str">
        <f aca="false">IF(SUMIFS($O$2:$O$978,$L$2:$L$978,$A126,$M$2:$M$978,"friction",$K$2:$K$978,"&lt;&gt;Context and provider model",$K$2:$K$978,"&lt;&gt;Motivation")&gt;0,"friction; ","")&amp;IF(SUMIFS($O$2:$O$978,$L$2:$L$978,$A126,$M$2:$M$978,"need",$K$2:$K$978,"&lt;&gt;Context and provider model",$K$2:$K$978,"&lt;&gt;Motivation")&gt;0,"need; ","")&amp;IF(SUMIFS($O$2:$O$978,$L$2:$L$978,$A126,$M$2:$M$978,"workaround",$K$2:$K$978,"&lt;&gt;Context and provider model",$K$2:$K$978,"&lt;&gt;Motivation")&gt;0,"workaround; ","")</f>
        <v>friction; need; workaround; </v>
      </c>
      <c r="D126" s="12" t="n">
        <f aca="false">SUMIFS($Q$2:$Q$978,$L$2:$L$978,$A126)</f>
        <v>2</v>
      </c>
      <c r="E126" s="4" t="str">
        <f aca="false">IF((SUMIFS($R$2:$R$978,$K$2:$K$978,"Client acquisition",$L$2:$L$978,$A126))&gt;0,"Client acquisition ("&amp;(SUMIFS($R$2:$R$978,$K$2:$K$978,"Client acquisition",$L$2:$L$978,$A126))&amp;"); ","")&amp;IF((SUMIFS($R$2:$R$978,$K$2:$K$978,"Evaluation and meet-and-greet",$L$2:$L$978,$A126))&gt;0,"Evaluation and meet-and-greet ("&amp;(SUMIFS($R$2:$R$978,$K$2:$K$978,"Evaluation and meet-and-greet",$L$2:$L$978,$A126))&amp;"); ","")&amp;IF((SUMIFS($R$2:$R$978,$K$2:$K$978,"Booking and availability",$L$2:$L$978,$A126))&gt;0,"Booking and availability ("&amp;(SUMIFS($R$2:$R$978,$K$2:$K$978,"Booking and availability",$L$2:$L$978,$A126))&amp;"); ","")&amp;IF((SUMIFS($R$2:$R$978,$K$2:$K$978,"Sitting preparation",$L$2:$L$978,$A126))&gt;0,"Sitting preparation ("&amp;(SUMIFS($R$2:$R$978,$K$2:$K$978,"Sitting preparation",$L$2:$L$978,$A126))&amp;"); ","")&amp;IF((SUMIFS($R$2:$R$978,$K$2:$K$978,"Service delivery",$L$2:$L$978,$A126))&gt;0,"Service delivery ("&amp;(SUMIFS($R$2:$R$978,$K$2:$K$978,"Service delivery",$L$2:$L$978,$A126))&amp;"); ","")&amp;IF((SUMIFS($R$2:$R$978,$K$2:$K$978,"Client communication",$L$2:$L$978,$A126))&gt;0,"Client communication ("&amp;(SUMIFS($R$2:$R$978,$K$2:$K$978,"Client communication",$L$2:$L$978,$A126))&amp;"); ","")&amp;IF((SUMIFS($R$2:$R$978,$K$2:$K$978,"Completion and feedback",$L$2:$L$978,$A126))&gt;0,"Completion and feedback ("&amp;(SUMIFS($R$2:$R$978,$K$2:$K$978,"Completion and feedback",$L$2:$L$978,$A126))&amp;"); ","")&amp;IF((SUMIFS($R$2:$R$978,$K$2:$K$978,"Payments and earnings",$L$2:$L$978,$A126))&gt;0,"Payments and earnings ("&amp;(SUMIFS($R$2:$R$978,$K$2:$K$978,"Payments and earnings",$L$2:$L$978,$A126))&amp;"); ","")&amp;IF((SUMIFS($R$2:$R$978,$K$2:$K$978,"Cross-platform behavior",$L$2:$L$978,$A126))&gt;0,"Cross-platform behavior ("&amp;(SUMIFS($R$2:$R$978,$K$2:$K$978,"Cross-platform behavior",$L$2:$L$978,$A126))&amp;"); ","")&amp;IF((SUMIFS($R$2:$R$978,$K$2:$K$978,"Growth and future plans",$L$2:$L$978,$A126))&gt;0,"Growth and future plans ("&amp;(SUMIFS($R$2:$R$978,$K$2:$K$978,"Growth and future plans",$L$2:$L$978,$A126))&amp;"); ","")</f>
        <v>Completion and feedback (4); Growth and future plans (1); </v>
      </c>
      <c r="F126" s="12" t="n">
        <f aca="false">SUMIFS($P$2:$P$978,$L$2:$L$978,$A126)</f>
        <v>4</v>
      </c>
      <c r="J126" s="1" t="str">
        <f aca="false">'Raw Atomic Data (Pro)'!A126</f>
        <v>Anita</v>
      </c>
      <c r="K126" s="1" t="str">
        <f aca="false">'Raw Atomic Data (Pro)'!C126</f>
        <v>Motivation</v>
      </c>
      <c r="L126" s="1" t="str">
        <f aca="false">'Raw Atomic Data (Pro)'!D126</f>
        <v>motivation-emotional-connection</v>
      </c>
      <c r="M126" s="1" t="str">
        <f aca="false">'Raw Atomic Data (Pro)'!E126</f>
        <v>value-statement</v>
      </c>
      <c r="N126" s="1" t="n">
        <f aca="false">IF(OR(M126="friction",M126="need",M126="workaround"),1,0)</f>
        <v>0</v>
      </c>
      <c r="O126" s="1" t="n">
        <f aca="false">IF(COUNTIFS($K$2:K126,K126,$L$2:L126,L126,$M$2:M126,M126,$J$2:J126,J126)=1,1,0)</f>
        <v>1</v>
      </c>
      <c r="P126" s="1" t="n">
        <f aca="false">IF(AND(N126=1,S126=1,COUNTIFS($L$2:L126,L126,$J$2:J126,J126,$N$2:N126,1,$S$2:S126,1)=1),1,0)</f>
        <v>0</v>
      </c>
      <c r="Q126" s="1" t="n">
        <f aca="false">IF(AND(N126=1,S126=1,COUNTIFS($L$2:L126,L126,$K$2:K126,K126,$N$2:N126,1,$S$2:S126,1)=1),1,0)</f>
        <v>0</v>
      </c>
      <c r="R126" s="1" t="n">
        <f aca="false">IF(AND(N126=1,COUNTIFS($K$2:K126,K126,$L$2:L126,L126,$J$2:J126,J126,$N$2:N126,1)=1),1,0)</f>
        <v>0</v>
      </c>
      <c r="S126" s="1" t="n">
        <f aca="false">IF(AND(K126&lt;&gt;"Context and provider model",K126&lt;&gt;"Motivation"),1,0)</f>
        <v>0</v>
      </c>
    </row>
    <row r="127" customFormat="false" ht="23.25" hidden="false" customHeight="true" outlineLevel="0" collapsed="false">
      <c r="A127" s="7" t="s">
        <v>1411</v>
      </c>
      <c r="B127" s="4" t="str">
        <f aca="false">IFERROR(INDEX('Theme Legend'!$B$2:$B$31,MATCH($A127,'Theme Legend'!$A$2:$A$31,0)),"")</f>
        <v>Rover's commission/take-rate structure and the provider's opinions about it.</v>
      </c>
      <c r="C127" s="4" t="str">
        <f aca="false">IF(SUMIFS($O$2:$O$978,$L$2:$L$978,$A127,$M$2:$M$978,"friction",$K$2:$K$978,"&lt;&gt;Context and provider model",$K$2:$K$978,"&lt;&gt;Motivation")&gt;0,"friction; ","")&amp;IF(SUMIFS($O$2:$O$978,$L$2:$L$978,$A127,$M$2:$M$978,"need",$K$2:$K$978,"&lt;&gt;Context and provider model",$K$2:$K$978,"&lt;&gt;Motivation")&gt;0,"need; ","")&amp;IF(SUMIFS($O$2:$O$978,$L$2:$L$978,$A127,$M$2:$M$978,"workaround",$K$2:$K$978,"&lt;&gt;Context and provider model",$K$2:$K$978,"&lt;&gt;Motivation")&gt;0,"workaround; ","")</f>
        <v>friction; need; </v>
      </c>
      <c r="D127" s="12" t="n">
        <f aca="false">SUMIFS($Q$2:$Q$978,$L$2:$L$978,$A127)</f>
        <v>2</v>
      </c>
      <c r="E127" s="4" t="str">
        <f aca="false">IF((SUMIFS($R$2:$R$978,$K$2:$K$978,"Client acquisition",$L$2:$L$978,$A127))&gt;0,"Client acquisition ("&amp;(SUMIFS($R$2:$R$978,$K$2:$K$978,"Client acquisition",$L$2:$L$978,$A127))&amp;"); ","")&amp;IF((SUMIFS($R$2:$R$978,$K$2:$K$978,"Evaluation and meet-and-greet",$L$2:$L$978,$A127))&gt;0,"Evaluation and meet-and-greet ("&amp;(SUMIFS($R$2:$R$978,$K$2:$K$978,"Evaluation and meet-and-greet",$L$2:$L$978,$A127))&amp;"); ","")&amp;IF((SUMIFS($R$2:$R$978,$K$2:$K$978,"Booking and availability",$L$2:$L$978,$A127))&gt;0,"Booking and availability ("&amp;(SUMIFS($R$2:$R$978,$K$2:$K$978,"Booking and availability",$L$2:$L$978,$A127))&amp;"); ","")&amp;IF((SUMIFS($R$2:$R$978,$K$2:$K$978,"Sitting preparation",$L$2:$L$978,$A127))&gt;0,"Sitting preparation ("&amp;(SUMIFS($R$2:$R$978,$K$2:$K$978,"Sitting preparation",$L$2:$L$978,$A127))&amp;"); ","")&amp;IF((SUMIFS($R$2:$R$978,$K$2:$K$978,"Service delivery",$L$2:$L$978,$A127))&gt;0,"Service delivery ("&amp;(SUMIFS($R$2:$R$978,$K$2:$K$978,"Service delivery",$L$2:$L$978,$A127))&amp;"); ","")&amp;IF((SUMIFS($R$2:$R$978,$K$2:$K$978,"Client communication",$L$2:$L$978,$A127))&gt;0,"Client communication ("&amp;(SUMIFS($R$2:$R$978,$K$2:$K$978,"Client communication",$L$2:$L$978,$A127))&amp;"); ","")&amp;IF((SUMIFS($R$2:$R$978,$K$2:$K$978,"Completion and feedback",$L$2:$L$978,$A127))&gt;0,"Completion and feedback ("&amp;(SUMIFS($R$2:$R$978,$K$2:$K$978,"Completion and feedback",$L$2:$L$978,$A127))&amp;"); ","")&amp;IF((SUMIFS($R$2:$R$978,$K$2:$K$978,"Payments and earnings",$L$2:$L$978,$A127))&gt;0,"Payments and earnings ("&amp;(SUMIFS($R$2:$R$978,$K$2:$K$978,"Payments and earnings",$L$2:$L$978,$A127))&amp;"); ","")&amp;IF((SUMIFS($R$2:$R$978,$K$2:$K$978,"Cross-platform behavior",$L$2:$L$978,$A127))&gt;0,"Cross-platform behavior ("&amp;(SUMIFS($R$2:$R$978,$K$2:$K$978,"Cross-platform behavior",$L$2:$L$978,$A127))&amp;"); ","")&amp;IF((SUMIFS($R$2:$R$978,$K$2:$K$978,"Growth and future plans",$L$2:$L$978,$A127))&gt;0,"Growth and future plans ("&amp;(SUMIFS($R$2:$R$978,$K$2:$K$978,"Growth and future plans",$L$2:$L$978,$A127))&amp;"); ","")</f>
        <v>Payments and earnings (4); Growth and future plans (1); </v>
      </c>
      <c r="F127" s="12" t="n">
        <f aca="false">SUMIFS($P$2:$P$978,$L$2:$L$978,$A127)</f>
        <v>4</v>
      </c>
      <c r="J127" s="1" t="str">
        <f aca="false">'Raw Atomic Data (Pro)'!A127</f>
        <v>Anita</v>
      </c>
      <c r="K127" s="1" t="str">
        <f aca="false">'Raw Atomic Data (Pro)'!C127</f>
        <v>Motivation</v>
      </c>
      <c r="L127" s="1" t="str">
        <f aca="false">'Raw Atomic Data (Pro)'!D127</f>
        <v>motivation-emotional-connection</v>
      </c>
      <c r="M127" s="1" t="str">
        <f aca="false">'Raw Atomic Data (Pro)'!E127</f>
        <v>value-statement</v>
      </c>
      <c r="N127" s="1" t="n">
        <f aca="false">IF(OR(M127="friction",M127="need",M127="workaround"),1,0)</f>
        <v>0</v>
      </c>
      <c r="O127" s="1" t="n">
        <f aca="false">IF(COUNTIFS($K$2:K127,K127,$L$2:L127,L127,$M$2:M127,M127,$J$2:J127,J127)=1,1,0)</f>
        <v>0</v>
      </c>
      <c r="P127" s="1" t="n">
        <f aca="false">IF(AND(N127=1,S127=1,COUNTIFS($L$2:L127,L127,$J$2:J127,J127,$N$2:N127,1,$S$2:S127,1)=1),1,0)</f>
        <v>0</v>
      </c>
      <c r="Q127" s="1" t="n">
        <f aca="false">IF(AND(N127=1,S127=1,COUNTIFS($L$2:L127,L127,$K$2:K127,K127,$N$2:N127,1,$S$2:S127,1)=1),1,0)</f>
        <v>0</v>
      </c>
      <c r="R127" s="1" t="n">
        <f aca="false">IF(AND(N127=1,COUNTIFS($K$2:K127,K127,$L$2:L127,L127,$J$2:J127,J127,$N$2:N127,1)=1),1,0)</f>
        <v>0</v>
      </c>
      <c r="S127" s="1" t="n">
        <f aca="false">IF(AND(K127&lt;&gt;"Context and provider model",K127&lt;&gt;"Motivation"),1,0)</f>
        <v>0</v>
      </c>
    </row>
    <row r="128" customFormat="false" ht="34.5" hidden="false" customHeight="true" outlineLevel="0" collapsed="false">
      <c r="A128" s="7" t="s">
        <v>556</v>
      </c>
      <c r="B128" s="4" t="str">
        <f aca="false">IFERROR(INDEX('Theme Legend'!$B$2:$B$31,MATCH($A128,'Theme Legend'!$A$2:$A$31,0)),"")</f>
        <v>How meet-and-greets are conducted - logistics, format, purpose, in-person vs. video.</v>
      </c>
      <c r="C128" s="4" t="str">
        <f aca="false">IF(SUMIFS($O$2:$O$978,$L$2:$L$978,$A128,$M$2:$M$978,"friction",$K$2:$K$978,"&lt;&gt;Context and provider model",$K$2:$K$978,"&lt;&gt;Motivation")&gt;0,"friction; ","")&amp;IF(SUMIFS($O$2:$O$978,$L$2:$L$978,$A128,$M$2:$M$978,"need",$K$2:$K$978,"&lt;&gt;Context and provider model",$K$2:$K$978,"&lt;&gt;Motivation")&gt;0,"need; ","")&amp;IF(SUMIFS($O$2:$O$978,$L$2:$L$978,$A128,$M$2:$M$978,"workaround",$K$2:$K$978,"&lt;&gt;Context and provider model",$K$2:$K$978,"&lt;&gt;Motivation")&gt;0,"workaround; ","")</f>
        <v>friction; need; workaround; </v>
      </c>
      <c r="D128" s="12" t="n">
        <f aca="false">SUMIFS($Q$2:$Q$978,$L$2:$L$978,$A128)</f>
        <v>3</v>
      </c>
      <c r="E128" s="4" t="str">
        <f aca="false">IF((SUMIFS($R$2:$R$978,$K$2:$K$978,"Client acquisition",$L$2:$L$978,$A128))&gt;0,"Client acquisition ("&amp;(SUMIFS($R$2:$R$978,$K$2:$K$978,"Client acquisition",$L$2:$L$978,$A128))&amp;"); ","")&amp;IF((SUMIFS($R$2:$R$978,$K$2:$K$978,"Evaluation and meet-and-greet",$L$2:$L$978,$A128))&gt;0,"Evaluation and meet-and-greet ("&amp;(SUMIFS($R$2:$R$978,$K$2:$K$978,"Evaluation and meet-and-greet",$L$2:$L$978,$A128))&amp;"); ","")&amp;IF((SUMIFS($R$2:$R$978,$K$2:$K$978,"Booking and availability",$L$2:$L$978,$A128))&gt;0,"Booking and availability ("&amp;(SUMIFS($R$2:$R$978,$K$2:$K$978,"Booking and availability",$L$2:$L$978,$A128))&amp;"); ","")&amp;IF((SUMIFS($R$2:$R$978,$K$2:$K$978,"Sitting preparation",$L$2:$L$978,$A128))&gt;0,"Sitting preparation ("&amp;(SUMIFS($R$2:$R$978,$K$2:$K$978,"Sitting preparation",$L$2:$L$978,$A128))&amp;"); ","")&amp;IF((SUMIFS($R$2:$R$978,$K$2:$K$978,"Service delivery",$L$2:$L$978,$A128))&gt;0,"Service delivery ("&amp;(SUMIFS($R$2:$R$978,$K$2:$K$978,"Service delivery",$L$2:$L$978,$A128))&amp;"); ","")&amp;IF((SUMIFS($R$2:$R$978,$K$2:$K$978,"Client communication",$L$2:$L$978,$A128))&gt;0,"Client communication ("&amp;(SUMIFS($R$2:$R$978,$K$2:$K$978,"Client communication",$L$2:$L$978,$A128))&amp;"); ","")&amp;IF((SUMIFS($R$2:$R$978,$K$2:$K$978,"Completion and feedback",$L$2:$L$978,$A128))&gt;0,"Completion and feedback ("&amp;(SUMIFS($R$2:$R$978,$K$2:$K$978,"Completion and feedback",$L$2:$L$978,$A128))&amp;"); ","")&amp;IF((SUMIFS($R$2:$R$978,$K$2:$K$978,"Payments and earnings",$L$2:$L$978,$A128))&gt;0,"Payments and earnings ("&amp;(SUMIFS($R$2:$R$978,$K$2:$K$978,"Payments and earnings",$L$2:$L$978,$A128))&amp;"); ","")&amp;IF((SUMIFS($R$2:$R$978,$K$2:$K$978,"Cross-platform behavior",$L$2:$L$978,$A128))&gt;0,"Cross-platform behavior ("&amp;(SUMIFS($R$2:$R$978,$K$2:$K$978,"Cross-platform behavior",$L$2:$L$978,$A128))&amp;"); ","")&amp;IF((SUMIFS($R$2:$R$978,$K$2:$K$978,"Growth and future plans",$L$2:$L$978,$A128))&gt;0,"Growth and future plans ("&amp;(SUMIFS($R$2:$R$978,$K$2:$K$978,"Growth and future plans",$L$2:$L$978,$A128))&amp;"); ","")</f>
        <v>Evaluation and meet-and-greet (1); Booking and availability (2); Payments and earnings (1); </v>
      </c>
      <c r="F128" s="12" t="n">
        <f aca="false">SUMIFS($P$2:$P$978,$L$2:$L$978,$A128)</f>
        <v>3</v>
      </c>
      <c r="J128" s="1" t="str">
        <f aca="false">'Raw Atomic Data (Pro)'!A128</f>
        <v>Anita</v>
      </c>
      <c r="K128" s="1" t="str">
        <f aca="false">'Raw Atomic Data (Pro)'!C128</f>
        <v>Motivation</v>
      </c>
      <c r="L128" s="1" t="str">
        <f aca="false">'Raw Atomic Data (Pro)'!D128</f>
        <v>motivation-emotional-connection</v>
      </c>
      <c r="M128" s="1" t="str">
        <f aca="false">'Raw Atomic Data (Pro)'!E128</f>
        <v>fact</v>
      </c>
      <c r="N128" s="1" t="n">
        <f aca="false">IF(OR(M128="friction",M128="need",M128="workaround"),1,0)</f>
        <v>0</v>
      </c>
      <c r="O128" s="1" t="n">
        <f aca="false">IF(COUNTIFS($K$2:K128,K128,$L$2:L128,L128,$M$2:M128,M128,$J$2:J128,J128)=1,1,0)</f>
        <v>1</v>
      </c>
      <c r="P128" s="1" t="n">
        <f aca="false">IF(AND(N128=1,S128=1,COUNTIFS($L$2:L128,L128,$J$2:J128,J128,$N$2:N128,1,$S$2:S128,1)=1),1,0)</f>
        <v>0</v>
      </c>
      <c r="Q128" s="1" t="n">
        <f aca="false">IF(AND(N128=1,S128=1,COUNTIFS($L$2:L128,L128,$K$2:K128,K128,$N$2:N128,1,$S$2:S128,1)=1),1,0)</f>
        <v>0</v>
      </c>
      <c r="R128" s="1" t="n">
        <f aca="false">IF(AND(N128=1,COUNTIFS($K$2:K128,K128,$L$2:L128,L128,$J$2:J128,J128,$N$2:N128,1)=1),1,0)</f>
        <v>0</v>
      </c>
      <c r="S128" s="1" t="n">
        <f aca="false">IF(AND(K128&lt;&gt;"Context and provider model",K128&lt;&gt;"Motivation"),1,0)</f>
        <v>0</v>
      </c>
    </row>
    <row r="129" customFormat="false" ht="34.5" hidden="false" customHeight="true" outlineLevel="0" collapsed="false">
      <c r="A129" s="7" t="s">
        <v>816</v>
      </c>
      <c r="B129" s="4" t="str">
        <f aca="false">IFERROR(INDEX('Theme Legend'!$B$2:$B$31,MATCH($A129,'Theme Legend'!$A$2:$A$31,0)),"")</f>
        <v>Experience contacting or getting help from Rover's support/customer service, and Rover's informational/training resources for sitters.</v>
      </c>
      <c r="C129" s="4" t="str">
        <f aca="false">IF(SUMIFS($O$2:$O$978,$L$2:$L$978,$A129,$M$2:$M$978,"friction",$K$2:$K$978,"&lt;&gt;Context and provider model",$K$2:$K$978,"&lt;&gt;Motivation")&gt;0,"friction; ","")&amp;IF(SUMIFS($O$2:$O$978,$L$2:$L$978,$A129,$M$2:$M$978,"need",$K$2:$K$978,"&lt;&gt;Context and provider model",$K$2:$K$978,"&lt;&gt;Motivation")&gt;0,"need; ","")&amp;IF(SUMIFS($O$2:$O$978,$L$2:$L$978,$A129,$M$2:$M$978,"workaround",$K$2:$K$978,"&lt;&gt;Context and provider model",$K$2:$K$978,"&lt;&gt;Motivation")&gt;0,"workaround; ","")</f>
        <v>friction; need; </v>
      </c>
      <c r="D129" s="12" t="n">
        <f aca="false">SUMIFS($Q$2:$Q$978,$L$2:$L$978,$A129)</f>
        <v>3</v>
      </c>
      <c r="E129" s="4" t="str">
        <f aca="false">IF((SUMIFS($R$2:$R$978,$K$2:$K$978,"Client acquisition",$L$2:$L$978,$A129))&gt;0,"Client acquisition ("&amp;(SUMIFS($R$2:$R$978,$K$2:$K$978,"Client acquisition",$L$2:$L$978,$A129))&amp;"); ","")&amp;IF((SUMIFS($R$2:$R$978,$K$2:$K$978,"Evaluation and meet-and-greet",$L$2:$L$978,$A129))&gt;0,"Evaluation and meet-and-greet ("&amp;(SUMIFS($R$2:$R$978,$K$2:$K$978,"Evaluation and meet-and-greet",$L$2:$L$978,$A129))&amp;"); ","")&amp;IF((SUMIFS($R$2:$R$978,$K$2:$K$978,"Booking and availability",$L$2:$L$978,$A129))&gt;0,"Booking and availability ("&amp;(SUMIFS($R$2:$R$978,$K$2:$K$978,"Booking and availability",$L$2:$L$978,$A129))&amp;"); ","")&amp;IF((SUMIFS($R$2:$R$978,$K$2:$K$978,"Sitting preparation",$L$2:$L$978,$A129))&gt;0,"Sitting preparation ("&amp;(SUMIFS($R$2:$R$978,$K$2:$K$978,"Sitting preparation",$L$2:$L$978,$A129))&amp;"); ","")&amp;IF((SUMIFS($R$2:$R$978,$K$2:$K$978,"Service delivery",$L$2:$L$978,$A129))&gt;0,"Service delivery ("&amp;(SUMIFS($R$2:$R$978,$K$2:$K$978,"Service delivery",$L$2:$L$978,$A129))&amp;"); ","")&amp;IF((SUMIFS($R$2:$R$978,$K$2:$K$978,"Client communication",$L$2:$L$978,$A129))&gt;0,"Client communication ("&amp;(SUMIFS($R$2:$R$978,$K$2:$K$978,"Client communication",$L$2:$L$978,$A129))&amp;"); ","")&amp;IF((SUMIFS($R$2:$R$978,$K$2:$K$978,"Completion and feedback",$L$2:$L$978,$A129))&gt;0,"Completion and feedback ("&amp;(SUMIFS($R$2:$R$978,$K$2:$K$978,"Completion and feedback",$L$2:$L$978,$A129))&amp;"); ","")&amp;IF((SUMIFS($R$2:$R$978,$K$2:$K$978,"Payments and earnings",$L$2:$L$978,$A129))&gt;0,"Payments and earnings ("&amp;(SUMIFS($R$2:$R$978,$K$2:$K$978,"Payments and earnings",$L$2:$L$978,$A129))&amp;"); ","")&amp;IF((SUMIFS($R$2:$R$978,$K$2:$K$978,"Cross-platform behavior",$L$2:$L$978,$A129))&gt;0,"Cross-platform behavior ("&amp;(SUMIFS($R$2:$R$978,$K$2:$K$978,"Cross-platform behavior",$L$2:$L$978,$A129))&amp;"); ","")&amp;IF((SUMIFS($R$2:$R$978,$K$2:$K$978,"Growth and future plans",$L$2:$L$978,$A129))&gt;0,"Growth and future plans ("&amp;(SUMIFS($R$2:$R$978,$K$2:$K$978,"Growth and future plans",$L$2:$L$978,$A129))&amp;"); ","")</f>
        <v>Booking and availability (1); Service delivery (1); Growth and future plans (1); </v>
      </c>
      <c r="F129" s="12" t="n">
        <f aca="false">SUMIFS($P$2:$P$978,$L$2:$L$978,$A129)</f>
        <v>3</v>
      </c>
      <c r="J129" s="1" t="str">
        <f aca="false">'Raw Atomic Data (Pro)'!A129</f>
        <v>Anita</v>
      </c>
      <c r="K129" s="1" t="str">
        <f aca="false">'Raw Atomic Data (Pro)'!C129</f>
        <v>Motivation</v>
      </c>
      <c r="L129" s="1" t="str">
        <f aca="false">'Raw Atomic Data (Pro)'!D129</f>
        <v>motivation-emotional-connection</v>
      </c>
      <c r="M129" s="1" t="str">
        <f aca="false">'Raw Atomic Data (Pro)'!E129</f>
        <v>value-statement</v>
      </c>
      <c r="N129" s="1" t="n">
        <f aca="false">IF(OR(M129="friction",M129="need",M129="workaround"),1,0)</f>
        <v>0</v>
      </c>
      <c r="O129" s="1" t="n">
        <f aca="false">IF(COUNTIFS($K$2:K129,K129,$L$2:L129,L129,$M$2:M129,M129,$J$2:J129,J129)=1,1,0)</f>
        <v>0</v>
      </c>
      <c r="P129" s="1" t="n">
        <f aca="false">IF(AND(N129=1,S129=1,COUNTIFS($L$2:L129,L129,$J$2:J129,J129,$N$2:N129,1,$S$2:S129,1)=1),1,0)</f>
        <v>0</v>
      </c>
      <c r="Q129" s="1" t="n">
        <f aca="false">IF(AND(N129=1,S129=1,COUNTIFS($L$2:L129,L129,$K$2:K129,K129,$N$2:N129,1,$S$2:S129,1)=1),1,0)</f>
        <v>0</v>
      </c>
      <c r="R129" s="1" t="n">
        <f aca="false">IF(AND(N129=1,COUNTIFS($K$2:K129,K129,$L$2:L129,L129,$J$2:J129,J129,$N$2:N129,1)=1),1,0)</f>
        <v>0</v>
      </c>
      <c r="S129" s="1" t="n">
        <f aca="false">IF(AND(K129&lt;&gt;"Context and provider model",K129&lt;&gt;"Motivation"),1,0)</f>
        <v>0</v>
      </c>
    </row>
    <row r="130" customFormat="false" ht="34.5" hidden="false" customHeight="true" outlineLevel="0" collapsed="false">
      <c r="A130" s="7" t="s">
        <v>19</v>
      </c>
      <c r="B130" s="4" t="str">
        <f aca="false">IFERROR(INDEX('Theme Legend'!$B$2:$B$31,MATCH($A130,'Theme Legend'!$A$2:$A$31,0)),"")</f>
        <v>How pet sitting fits alongside the provider's other income, job, and life schedule (side income, full-time/part-time framing, flexibility).</v>
      </c>
      <c r="C130" s="4" t="str">
        <f aca="false">IF(SUMIFS($O$2:$O$978,$L$2:$L$978,$A130,$M$2:$M$978,"friction",$K$2:$K$978,"&lt;&gt;Context and provider model",$K$2:$K$978,"&lt;&gt;Motivation")&gt;0,"friction; ","")&amp;IF(SUMIFS($O$2:$O$978,$L$2:$L$978,$A130,$M$2:$M$978,"need",$K$2:$K$978,"&lt;&gt;Context and provider model",$K$2:$K$978,"&lt;&gt;Motivation")&gt;0,"need; ","")&amp;IF(SUMIFS($O$2:$O$978,$L$2:$L$978,$A130,$M$2:$M$978,"workaround",$K$2:$K$978,"&lt;&gt;Context and provider model",$K$2:$K$978,"&lt;&gt;Motivation")&gt;0,"workaround; ","")</f>
        <v>friction; </v>
      </c>
      <c r="D130" s="12" t="n">
        <f aca="false">SUMIFS($Q$2:$Q$978,$L$2:$L$978,$A130)</f>
        <v>2</v>
      </c>
      <c r="E130" s="4" t="str">
        <f aca="false">IF((SUMIFS($R$2:$R$978,$K$2:$K$978,"Client acquisition",$L$2:$L$978,$A130))&gt;0,"Client acquisition ("&amp;(SUMIFS($R$2:$R$978,$K$2:$K$978,"Client acquisition",$L$2:$L$978,$A130))&amp;"); ","")&amp;IF((SUMIFS($R$2:$R$978,$K$2:$K$978,"Evaluation and meet-and-greet",$L$2:$L$978,$A130))&gt;0,"Evaluation and meet-and-greet ("&amp;(SUMIFS($R$2:$R$978,$K$2:$K$978,"Evaluation and meet-and-greet",$L$2:$L$978,$A130))&amp;"); ","")&amp;IF((SUMIFS($R$2:$R$978,$K$2:$K$978,"Booking and availability",$L$2:$L$978,$A130))&gt;0,"Booking and availability ("&amp;(SUMIFS($R$2:$R$978,$K$2:$K$978,"Booking and availability",$L$2:$L$978,$A130))&amp;"); ","")&amp;IF((SUMIFS($R$2:$R$978,$K$2:$K$978,"Sitting preparation",$L$2:$L$978,$A130))&gt;0,"Sitting preparation ("&amp;(SUMIFS($R$2:$R$978,$K$2:$K$978,"Sitting preparation",$L$2:$L$978,$A130))&amp;"); ","")&amp;IF((SUMIFS($R$2:$R$978,$K$2:$K$978,"Service delivery",$L$2:$L$978,$A130))&gt;0,"Service delivery ("&amp;(SUMIFS($R$2:$R$978,$K$2:$K$978,"Service delivery",$L$2:$L$978,$A130))&amp;"); ","")&amp;IF((SUMIFS($R$2:$R$978,$K$2:$K$978,"Client communication",$L$2:$L$978,$A130))&gt;0,"Client communication ("&amp;(SUMIFS($R$2:$R$978,$K$2:$K$978,"Client communication",$L$2:$L$978,$A130))&amp;"); ","")&amp;IF((SUMIFS($R$2:$R$978,$K$2:$K$978,"Completion and feedback",$L$2:$L$978,$A130))&gt;0,"Completion and feedback ("&amp;(SUMIFS($R$2:$R$978,$K$2:$K$978,"Completion and feedback",$L$2:$L$978,$A130))&amp;"); ","")&amp;IF((SUMIFS($R$2:$R$978,$K$2:$K$978,"Payments and earnings",$L$2:$L$978,$A130))&gt;0,"Payments and earnings ("&amp;(SUMIFS($R$2:$R$978,$K$2:$K$978,"Payments and earnings",$L$2:$L$978,$A130))&amp;"); ","")&amp;IF((SUMIFS($R$2:$R$978,$K$2:$K$978,"Cross-platform behavior",$L$2:$L$978,$A130))&gt;0,"Cross-platform behavior ("&amp;(SUMIFS($R$2:$R$978,$K$2:$K$978,"Cross-platform behavior",$L$2:$L$978,$A130))&amp;"); ","")&amp;IF((SUMIFS($R$2:$R$978,$K$2:$K$978,"Growth and future plans",$L$2:$L$978,$A130))&gt;0,"Growth and future plans ("&amp;(SUMIFS($R$2:$R$978,$K$2:$K$978,"Growth and future plans",$L$2:$L$978,$A130))&amp;"); ","")</f>
        <v>Service delivery (1); Payments and earnings (1); </v>
      </c>
      <c r="F130" s="12" t="n">
        <f aca="false">SUMIFS($P$2:$P$978,$L$2:$L$978,$A130)</f>
        <v>2</v>
      </c>
      <c r="J130" s="1" t="str">
        <f aca="false">'Raw Atomic Data (Pro)'!A130</f>
        <v>Becky</v>
      </c>
      <c r="K130" s="1" t="str">
        <f aca="false">'Raw Atomic Data (Pro)'!C130</f>
        <v>Motivation</v>
      </c>
      <c r="L130" s="1" t="str">
        <f aca="false">'Raw Atomic Data (Pro)'!D130</f>
        <v>motivation-emotional-connection</v>
      </c>
      <c r="M130" s="1" t="str">
        <f aca="false">'Raw Atomic Data (Pro)'!E130</f>
        <v>fact</v>
      </c>
      <c r="N130" s="1" t="n">
        <f aca="false">IF(OR(M130="friction",M130="need",M130="workaround"),1,0)</f>
        <v>0</v>
      </c>
      <c r="O130" s="1" t="n">
        <f aca="false">IF(COUNTIFS($K$2:K130,K130,$L$2:L130,L130,$M$2:M130,M130,$J$2:J130,J130)=1,1,0)</f>
        <v>1</v>
      </c>
      <c r="P130" s="1" t="n">
        <f aca="false">IF(AND(N130=1,S130=1,COUNTIFS($L$2:L130,L130,$J$2:J130,J130,$N$2:N130,1,$S$2:S130,1)=1),1,0)</f>
        <v>0</v>
      </c>
      <c r="Q130" s="1" t="n">
        <f aca="false">IF(AND(N130=1,S130=1,COUNTIFS($L$2:L130,L130,$K$2:K130,K130,$N$2:N130,1,$S$2:S130,1)=1),1,0)</f>
        <v>0</v>
      </c>
      <c r="R130" s="1" t="n">
        <f aca="false">IF(AND(N130=1,COUNTIFS($K$2:K130,K130,$L$2:L130,L130,$J$2:J130,J130,$N$2:N130,1)=1),1,0)</f>
        <v>0</v>
      </c>
      <c r="S130" s="1" t="n">
        <f aca="false">IF(AND(K130&lt;&gt;"Context and provider model",K130&lt;&gt;"Motivation"),1,0)</f>
        <v>0</v>
      </c>
    </row>
    <row r="131" customFormat="false" ht="23.25" hidden="false" customHeight="true" outlineLevel="0" collapsed="false">
      <c r="A131" s="7" t="s">
        <v>1503</v>
      </c>
      <c r="B131" s="4" t="str">
        <f aca="false">IFERROR(INDEX('Theme Legend'!$B$2:$B$31,MATCH($A131,'Theme Legend'!$A$2:$A$31,0)),"")</f>
        <v>Rover's insurance/liability coverage, and disputes or questions about damage or incident coverage.</v>
      </c>
      <c r="C131" s="4" t="str">
        <f aca="false">IF(SUMIFS($O$2:$O$978,$L$2:$L$978,$A131,$M$2:$M$978,"friction",$K$2:$K$978,"&lt;&gt;Context and provider model",$K$2:$K$978,"&lt;&gt;Motivation")&gt;0,"friction; ","")&amp;IF(SUMIFS($O$2:$O$978,$L$2:$L$978,$A131,$M$2:$M$978,"need",$K$2:$K$978,"&lt;&gt;Context and provider model",$K$2:$K$978,"&lt;&gt;Motivation")&gt;0,"need; ","")&amp;IF(SUMIFS($O$2:$O$978,$L$2:$L$978,$A131,$M$2:$M$978,"workaround",$K$2:$K$978,"&lt;&gt;Context and provider model",$K$2:$K$978,"&lt;&gt;Motivation")&gt;0,"workaround; ","")</f>
        <v>friction; need; </v>
      </c>
      <c r="D131" s="12" t="n">
        <f aca="false">SUMIFS($Q$2:$Q$978,$L$2:$L$978,$A131)</f>
        <v>2</v>
      </c>
      <c r="E131" s="4" t="str">
        <f aca="false">IF((SUMIFS($R$2:$R$978,$K$2:$K$978,"Client acquisition",$L$2:$L$978,$A131))&gt;0,"Client acquisition ("&amp;(SUMIFS($R$2:$R$978,$K$2:$K$978,"Client acquisition",$L$2:$L$978,$A131))&amp;"); ","")&amp;IF((SUMIFS($R$2:$R$978,$K$2:$K$978,"Evaluation and meet-and-greet",$L$2:$L$978,$A131))&gt;0,"Evaluation and meet-and-greet ("&amp;(SUMIFS($R$2:$R$978,$K$2:$K$978,"Evaluation and meet-and-greet",$L$2:$L$978,$A131))&amp;"); ","")&amp;IF((SUMIFS($R$2:$R$978,$K$2:$K$978,"Booking and availability",$L$2:$L$978,$A131))&gt;0,"Booking and availability ("&amp;(SUMIFS($R$2:$R$978,$K$2:$K$978,"Booking and availability",$L$2:$L$978,$A131))&amp;"); ","")&amp;IF((SUMIFS($R$2:$R$978,$K$2:$K$978,"Sitting preparation",$L$2:$L$978,$A131))&gt;0,"Sitting preparation ("&amp;(SUMIFS($R$2:$R$978,$K$2:$K$978,"Sitting preparation",$L$2:$L$978,$A131))&amp;"); ","")&amp;IF((SUMIFS($R$2:$R$978,$K$2:$K$978,"Service delivery",$L$2:$L$978,$A131))&gt;0,"Service delivery ("&amp;(SUMIFS($R$2:$R$978,$K$2:$K$978,"Service delivery",$L$2:$L$978,$A131))&amp;"); ","")&amp;IF((SUMIFS($R$2:$R$978,$K$2:$K$978,"Client communication",$L$2:$L$978,$A131))&gt;0,"Client communication ("&amp;(SUMIFS($R$2:$R$978,$K$2:$K$978,"Client communication",$L$2:$L$978,$A131))&amp;"); ","")&amp;IF((SUMIFS($R$2:$R$978,$K$2:$K$978,"Completion and feedback",$L$2:$L$978,$A131))&gt;0,"Completion and feedback ("&amp;(SUMIFS($R$2:$R$978,$K$2:$K$978,"Completion and feedback",$L$2:$L$978,$A131))&amp;"); ","")&amp;IF((SUMIFS($R$2:$R$978,$K$2:$K$978,"Payments and earnings",$L$2:$L$978,$A131))&gt;0,"Payments and earnings ("&amp;(SUMIFS($R$2:$R$978,$K$2:$K$978,"Payments and earnings",$L$2:$L$978,$A131))&amp;"); ","")&amp;IF((SUMIFS($R$2:$R$978,$K$2:$K$978,"Cross-platform behavior",$L$2:$L$978,$A131))&gt;0,"Cross-platform behavior ("&amp;(SUMIFS($R$2:$R$978,$K$2:$K$978,"Cross-platform behavior",$L$2:$L$978,$A131))&amp;"); ","")&amp;IF((SUMIFS($R$2:$R$978,$K$2:$K$978,"Growth and future plans",$L$2:$L$978,$A131))&gt;0,"Growth and future plans ("&amp;(SUMIFS($R$2:$R$978,$K$2:$K$978,"Growth and future plans",$L$2:$L$978,$A131))&amp;"); ","")</f>
        <v>Payments and earnings (1); Growth and future plans (1); </v>
      </c>
      <c r="F131" s="12" t="n">
        <f aca="false">SUMIFS($P$2:$P$978,$L$2:$L$978,$A131)</f>
        <v>2</v>
      </c>
      <c r="J131" s="1" t="str">
        <f aca="false">'Raw Atomic Data (Pro)'!A131</f>
        <v>Becky</v>
      </c>
      <c r="K131" s="1" t="str">
        <f aca="false">'Raw Atomic Data (Pro)'!C131</f>
        <v>Motivation</v>
      </c>
      <c r="L131" s="1" t="str">
        <f aca="false">'Raw Atomic Data (Pro)'!D131</f>
        <v>motivation-emotional-connection</v>
      </c>
      <c r="M131" s="1" t="str">
        <f aca="false">'Raw Atomic Data (Pro)'!E131</f>
        <v>fact</v>
      </c>
      <c r="N131" s="1" t="n">
        <f aca="false">IF(OR(M131="friction",M131="need",M131="workaround"),1,0)</f>
        <v>0</v>
      </c>
      <c r="O131" s="1" t="n">
        <f aca="false">IF(COUNTIFS($K$2:K131,K131,$L$2:L131,L131,$M$2:M131,M131,$J$2:J131,J131)=1,1,0)</f>
        <v>0</v>
      </c>
      <c r="P131" s="1" t="n">
        <f aca="false">IF(AND(N131=1,S131=1,COUNTIFS($L$2:L131,L131,$J$2:J131,J131,$N$2:N131,1,$S$2:S131,1)=1),1,0)</f>
        <v>0</v>
      </c>
      <c r="Q131" s="1" t="n">
        <f aca="false">IF(AND(N131=1,S131=1,COUNTIFS($L$2:L131,L131,$K$2:K131,K131,$N$2:N131,1,$S$2:S131,1)=1),1,0)</f>
        <v>0</v>
      </c>
      <c r="R131" s="1" t="n">
        <f aca="false">IF(AND(N131=1,COUNTIFS($K$2:K131,K131,$L$2:L131,L131,$J$2:J131,J131,$N$2:N131,1)=1),1,0)</f>
        <v>0</v>
      </c>
      <c r="S131" s="1" t="n">
        <f aca="false">IF(AND(K131&lt;&gt;"Context and provider model",K131&lt;&gt;"Motivation"),1,0)</f>
        <v>0</v>
      </c>
    </row>
    <row r="132" customFormat="false" ht="34.5" hidden="false" customHeight="true" outlineLevel="0" collapsed="false">
      <c r="A132" s="7" t="s">
        <v>431</v>
      </c>
      <c r="B132" s="4" t="str">
        <f aca="false">IFERROR(INDEX('Theme Legend'!$B$2:$B$31,MATCH($A132,'Theme Legend'!$A$2:$A$31,0)),"")</f>
        <v>Rover's search-ranking/algorithm and how it affects a sitter's visibility, especially for new or lower-ranked sitters.</v>
      </c>
      <c r="C132" s="4" t="str">
        <f aca="false">IF(SUMIFS($O$2:$O$978,$L$2:$L$978,$A132,$M$2:$M$978,"friction",$K$2:$K$978,"&lt;&gt;Context and provider model",$K$2:$K$978,"&lt;&gt;Motivation")&gt;0,"friction; ","")&amp;IF(SUMIFS($O$2:$O$978,$L$2:$L$978,$A132,$M$2:$M$978,"need",$K$2:$K$978,"&lt;&gt;Context and provider model",$K$2:$K$978,"&lt;&gt;Motivation")&gt;0,"need; ","")&amp;IF(SUMIFS($O$2:$O$978,$L$2:$L$978,$A132,$M$2:$M$978,"workaround",$K$2:$K$978,"&lt;&gt;Context and provider model",$K$2:$K$978,"&lt;&gt;Motivation")&gt;0,"workaround; ","")</f>
        <v>friction; need; workaround; </v>
      </c>
      <c r="D132" s="12" t="n">
        <f aca="false">SUMIFS($Q$2:$Q$978,$L$2:$L$978,$A132)</f>
        <v>3</v>
      </c>
      <c r="E132" s="4" t="str">
        <f aca="false">IF((SUMIFS($R$2:$R$978,$K$2:$K$978,"Client acquisition",$L$2:$L$978,$A132))&gt;0,"Client acquisition ("&amp;(SUMIFS($R$2:$R$978,$K$2:$K$978,"Client acquisition",$L$2:$L$978,$A132))&amp;"); ","")&amp;IF((SUMIFS($R$2:$R$978,$K$2:$K$978,"Evaluation and meet-and-greet",$L$2:$L$978,$A132))&gt;0,"Evaluation and meet-and-greet ("&amp;(SUMIFS($R$2:$R$978,$K$2:$K$978,"Evaluation and meet-and-greet",$L$2:$L$978,$A132))&amp;"); ","")&amp;IF((SUMIFS($R$2:$R$978,$K$2:$K$978,"Booking and availability",$L$2:$L$978,$A132))&gt;0,"Booking and availability ("&amp;(SUMIFS($R$2:$R$978,$K$2:$K$978,"Booking and availability",$L$2:$L$978,$A132))&amp;"); ","")&amp;IF((SUMIFS($R$2:$R$978,$K$2:$K$978,"Sitting preparation",$L$2:$L$978,$A132))&gt;0,"Sitting preparation ("&amp;(SUMIFS($R$2:$R$978,$K$2:$K$978,"Sitting preparation",$L$2:$L$978,$A132))&amp;"); ","")&amp;IF((SUMIFS($R$2:$R$978,$K$2:$K$978,"Service delivery",$L$2:$L$978,$A132))&gt;0,"Service delivery ("&amp;(SUMIFS($R$2:$R$978,$K$2:$K$978,"Service delivery",$L$2:$L$978,$A132))&amp;"); ","")&amp;IF((SUMIFS($R$2:$R$978,$K$2:$K$978,"Client communication",$L$2:$L$978,$A132))&gt;0,"Client communication ("&amp;(SUMIFS($R$2:$R$978,$K$2:$K$978,"Client communication",$L$2:$L$978,$A132))&amp;"); ","")&amp;IF((SUMIFS($R$2:$R$978,$K$2:$K$978,"Completion and feedback",$L$2:$L$978,$A132))&gt;0,"Completion and feedback ("&amp;(SUMIFS($R$2:$R$978,$K$2:$K$978,"Completion and feedback",$L$2:$L$978,$A132))&amp;"); ","")&amp;IF((SUMIFS($R$2:$R$978,$K$2:$K$978,"Payments and earnings",$L$2:$L$978,$A132))&gt;0,"Payments and earnings ("&amp;(SUMIFS($R$2:$R$978,$K$2:$K$978,"Payments and earnings",$L$2:$L$978,$A132))&amp;"); ","")&amp;IF((SUMIFS($R$2:$R$978,$K$2:$K$978,"Cross-platform behavior",$L$2:$L$978,$A132))&gt;0,"Cross-platform behavior ("&amp;(SUMIFS($R$2:$R$978,$K$2:$K$978,"Cross-platform behavior",$L$2:$L$978,$A132))&amp;"); ","")&amp;IF((SUMIFS($R$2:$R$978,$K$2:$K$978,"Growth and future plans",$L$2:$L$978,$A132))&gt;0,"Growth and future plans ("&amp;(SUMIFS($R$2:$R$978,$K$2:$K$978,"Growth and future plans",$L$2:$L$978,$A132))&amp;"); ","")</f>
        <v>Client acquisition (1); Booking and availability (1); Growth and future plans (1); </v>
      </c>
      <c r="F132" s="12" t="n">
        <f aca="false">SUMIFS($P$2:$P$978,$L$2:$L$978,$A132)</f>
        <v>1</v>
      </c>
      <c r="J132" s="1" t="str">
        <f aca="false">'Raw Atomic Data (Pro)'!A132</f>
        <v>Becky</v>
      </c>
      <c r="K132" s="1" t="str">
        <f aca="false">'Raw Atomic Data (Pro)'!C132</f>
        <v>Motivation</v>
      </c>
      <c r="L132" s="1" t="str">
        <f aca="false">'Raw Atomic Data (Pro)'!D132</f>
        <v>motivation-emotional-connection</v>
      </c>
      <c r="M132" s="1" t="str">
        <f aca="false">'Raw Atomic Data (Pro)'!E132</f>
        <v>value-statement</v>
      </c>
      <c r="N132" s="1" t="n">
        <f aca="false">IF(OR(M132="friction",M132="need",M132="workaround"),1,0)</f>
        <v>0</v>
      </c>
      <c r="O132" s="1" t="n">
        <f aca="false">IF(COUNTIFS($K$2:K132,K132,$L$2:L132,L132,$M$2:M132,M132,$J$2:J132,J132)=1,1,0)</f>
        <v>1</v>
      </c>
      <c r="P132" s="1" t="n">
        <f aca="false">IF(AND(N132=1,S132=1,COUNTIFS($L$2:L132,L132,$J$2:J132,J132,$N$2:N132,1,$S$2:S132,1)=1),1,0)</f>
        <v>0</v>
      </c>
      <c r="Q132" s="1" t="n">
        <f aca="false">IF(AND(N132=1,S132=1,COUNTIFS($L$2:L132,L132,$K$2:K132,K132,$N$2:N132,1,$S$2:S132,1)=1),1,0)</f>
        <v>0</v>
      </c>
      <c r="R132" s="1" t="n">
        <f aca="false">IF(AND(N132=1,COUNTIFS($K$2:K132,K132,$L$2:L132,L132,$J$2:J132,J132,$N$2:N132,1)=1),1,0)</f>
        <v>0</v>
      </c>
      <c r="S132" s="1" t="n">
        <f aca="false">IF(AND(K132&lt;&gt;"Context and provider model",K132&lt;&gt;"Motivation"),1,0)</f>
        <v>0</v>
      </c>
    </row>
    <row r="133" customFormat="false" ht="15" hidden="false" customHeight="true" outlineLevel="0" collapsed="false">
      <c r="J133" s="1" t="str">
        <f aca="false">'Raw Atomic Data (Pro)'!A133</f>
        <v>Becky</v>
      </c>
      <c r="K133" s="1" t="str">
        <f aca="false">'Raw Atomic Data (Pro)'!C133</f>
        <v>Motivation</v>
      </c>
      <c r="L133" s="1" t="str">
        <f aca="false">'Raw Atomic Data (Pro)'!D133</f>
        <v>motivation-emotional-connection</v>
      </c>
      <c r="M133" s="1" t="str">
        <f aca="false">'Raw Atomic Data (Pro)'!E133</f>
        <v>value-statement</v>
      </c>
      <c r="N133" s="1" t="n">
        <f aca="false">IF(OR(M133="friction",M133="need",M133="workaround"),1,0)</f>
        <v>0</v>
      </c>
      <c r="O133" s="1" t="n">
        <f aca="false">IF(COUNTIFS($K$2:K133,K133,$L$2:L133,L133,$M$2:M133,M133,$J$2:J133,J133)=1,1,0)</f>
        <v>0</v>
      </c>
      <c r="P133" s="1" t="n">
        <f aca="false">IF(AND(N133=1,S133=1,COUNTIFS($L$2:L133,L133,$J$2:J133,J133,$N$2:N133,1,$S$2:S133,1)=1),1,0)</f>
        <v>0</v>
      </c>
      <c r="Q133" s="1" t="n">
        <f aca="false">IF(AND(N133=1,S133=1,COUNTIFS($L$2:L133,L133,$K$2:K133,K133,$N$2:N133,1,$S$2:S133,1)=1),1,0)</f>
        <v>0</v>
      </c>
      <c r="R133" s="1" t="n">
        <f aca="false">IF(AND(N133=1,COUNTIFS($K$2:K133,K133,$L$2:L133,L133,$J$2:J133,J133,$N$2:N133,1)=1),1,0)</f>
        <v>0</v>
      </c>
      <c r="S133" s="1" t="n">
        <f aca="false">IF(AND(K133&lt;&gt;"Context and provider model",K133&lt;&gt;"Motivation"),1,0)</f>
        <v>0</v>
      </c>
    </row>
    <row r="134" customFormat="false" ht="45" hidden="false" customHeight="true" outlineLevel="0" collapsed="false">
      <c r="A134" s="6" t="s">
        <v>2267</v>
      </c>
      <c r="B134" s="6"/>
      <c r="C134" s="6"/>
      <c r="D134" s="6"/>
      <c r="E134" s="6"/>
      <c r="F134" s="6"/>
      <c r="J134" s="1" t="str">
        <f aca="false">'Raw Atomic Data (Pro)'!A134</f>
        <v>Becky</v>
      </c>
      <c r="K134" s="1" t="str">
        <f aca="false">'Raw Atomic Data (Pro)'!C134</f>
        <v>Motivation</v>
      </c>
      <c r="L134" s="1" t="str">
        <f aca="false">'Raw Atomic Data (Pro)'!D134</f>
        <v>motivation-emotional-connection</v>
      </c>
      <c r="M134" s="1" t="str">
        <f aca="false">'Raw Atomic Data (Pro)'!E134</f>
        <v>value-statement</v>
      </c>
      <c r="N134" s="1" t="n">
        <f aca="false">IF(OR(M134="friction",M134="need",M134="workaround"),1,0)</f>
        <v>0</v>
      </c>
      <c r="O134" s="1" t="n">
        <f aca="false">IF(COUNTIFS($K$2:K134,K134,$L$2:L134,L134,$M$2:M134,M134,$J$2:J134,J134)=1,1,0)</f>
        <v>0</v>
      </c>
      <c r="P134" s="1" t="n">
        <f aca="false">IF(AND(N134=1,S134=1,COUNTIFS($L$2:L134,L134,$J$2:J134,J134,$N$2:N134,1,$S$2:S134,1)=1),1,0)</f>
        <v>0</v>
      </c>
      <c r="Q134" s="1" t="n">
        <f aca="false">IF(AND(N134=1,S134=1,COUNTIFS($L$2:L134,L134,$K$2:K134,K134,$N$2:N134,1,$S$2:S134,1)=1),1,0)</f>
        <v>0</v>
      </c>
      <c r="R134" s="1" t="n">
        <f aca="false">IF(AND(N134=1,COUNTIFS($K$2:K134,K134,$L$2:L134,L134,$J$2:J134,J134,$N$2:N134,1)=1),1,0)</f>
        <v>0</v>
      </c>
      <c r="S134" s="1" t="n">
        <f aca="false">IF(AND(K134&lt;&gt;"Context and provider model",K134&lt;&gt;"Motivation"),1,0)</f>
        <v>0</v>
      </c>
    </row>
    <row r="135" customFormat="false" ht="15" hidden="false" customHeight="true" outlineLevel="0" collapsed="false">
      <c r="J135" s="1" t="str">
        <f aca="false">'Raw Atomic Data (Pro)'!A135</f>
        <v>Becky</v>
      </c>
      <c r="K135" s="1" t="str">
        <f aca="false">'Raw Atomic Data (Pro)'!C135</f>
        <v>Motivation</v>
      </c>
      <c r="L135" s="1" t="str">
        <f aca="false">'Raw Atomic Data (Pro)'!D135</f>
        <v>motivation-emotional-connection</v>
      </c>
      <c r="M135" s="1" t="str">
        <f aca="false">'Raw Atomic Data (Pro)'!E135</f>
        <v>fact</v>
      </c>
      <c r="N135" s="1" t="n">
        <f aca="false">IF(OR(M135="friction",M135="need",M135="workaround"),1,0)</f>
        <v>0</v>
      </c>
      <c r="O135" s="1" t="n">
        <f aca="false">IF(COUNTIFS($K$2:K135,K135,$L$2:L135,L135,$M$2:M135,M135,$J$2:J135,J135)=1,1,0)</f>
        <v>0</v>
      </c>
      <c r="P135" s="1" t="n">
        <f aca="false">IF(AND(N135=1,S135=1,COUNTIFS($L$2:L135,L135,$J$2:J135,J135,$N$2:N135,1,$S$2:S135,1)=1),1,0)</f>
        <v>0</v>
      </c>
      <c r="Q135" s="1" t="n">
        <f aca="false">IF(AND(N135=1,S135=1,COUNTIFS($L$2:L135,L135,$K$2:K135,K135,$N$2:N135,1,$S$2:S135,1)=1),1,0)</f>
        <v>0</v>
      </c>
      <c r="R135" s="1" t="n">
        <f aca="false">IF(AND(N135=1,COUNTIFS($K$2:K135,K135,$L$2:L135,L135,$J$2:J135,J135,$N$2:N135,1)=1),1,0)</f>
        <v>0</v>
      </c>
      <c r="S135" s="1" t="n">
        <f aca="false">IF(AND(K135&lt;&gt;"Context and provider model",K135&lt;&gt;"Motivation"),1,0)</f>
        <v>0</v>
      </c>
    </row>
    <row r="136" customFormat="false" ht="15" hidden="false" customHeight="true" outlineLevel="0" collapsed="false">
      <c r="J136" s="1" t="str">
        <f aca="false">'Raw Atomic Data (Pro)'!A136</f>
        <v>Becky</v>
      </c>
      <c r="K136" s="1" t="str">
        <f aca="false">'Raw Atomic Data (Pro)'!C136</f>
        <v>Motivation</v>
      </c>
      <c r="L136" s="1" t="str">
        <f aca="false">'Raw Atomic Data (Pro)'!D136</f>
        <v>motivation-emotional-connection</v>
      </c>
      <c r="M136" s="1" t="str">
        <f aca="false">'Raw Atomic Data (Pro)'!E136</f>
        <v>value-statement</v>
      </c>
      <c r="N136" s="1" t="n">
        <f aca="false">IF(OR(M136="friction",M136="need",M136="workaround"),1,0)</f>
        <v>0</v>
      </c>
      <c r="O136" s="1" t="n">
        <f aca="false">IF(COUNTIFS($K$2:K136,K136,$L$2:L136,L136,$M$2:M136,M136,$J$2:J136,J136)=1,1,0)</f>
        <v>0</v>
      </c>
      <c r="P136" s="1" t="n">
        <f aca="false">IF(AND(N136=1,S136=1,COUNTIFS($L$2:L136,L136,$J$2:J136,J136,$N$2:N136,1,$S$2:S136,1)=1),1,0)</f>
        <v>0</v>
      </c>
      <c r="Q136" s="1" t="n">
        <f aca="false">IF(AND(N136=1,S136=1,COUNTIFS($L$2:L136,L136,$K$2:K136,K136,$N$2:N136,1,$S$2:S136,1)=1),1,0)</f>
        <v>0</v>
      </c>
      <c r="R136" s="1" t="n">
        <f aca="false">IF(AND(N136=1,COUNTIFS($K$2:K136,K136,$L$2:L136,L136,$J$2:J136,J136,$N$2:N136,1)=1),1,0)</f>
        <v>0</v>
      </c>
      <c r="S136" s="1" t="n">
        <f aca="false">IF(AND(K136&lt;&gt;"Context and provider model",K136&lt;&gt;"Motivation"),1,0)</f>
        <v>0</v>
      </c>
    </row>
    <row r="137" customFormat="false" ht="15" hidden="false" customHeight="true" outlineLevel="0" collapsed="false">
      <c r="J137" s="1" t="str">
        <f aca="false">'Raw Atomic Data (Pro)'!A137</f>
        <v>Becky</v>
      </c>
      <c r="K137" s="1" t="str">
        <f aca="false">'Raw Atomic Data (Pro)'!C137</f>
        <v>Motivation</v>
      </c>
      <c r="L137" s="1" t="str">
        <f aca="false">'Raw Atomic Data (Pro)'!D137</f>
        <v>motivation-emotional-connection</v>
      </c>
      <c r="M137" s="1" t="str">
        <f aca="false">'Raw Atomic Data (Pro)'!E137</f>
        <v>fact</v>
      </c>
      <c r="N137" s="1" t="n">
        <f aca="false">IF(OR(M137="friction",M137="need",M137="workaround"),1,0)</f>
        <v>0</v>
      </c>
      <c r="O137" s="1" t="n">
        <f aca="false">IF(COUNTIFS($K$2:K137,K137,$L$2:L137,L137,$M$2:M137,M137,$J$2:J137,J137)=1,1,0)</f>
        <v>0</v>
      </c>
      <c r="P137" s="1" t="n">
        <f aca="false">IF(AND(N137=1,S137=1,COUNTIFS($L$2:L137,L137,$J$2:J137,J137,$N$2:N137,1,$S$2:S137,1)=1),1,0)</f>
        <v>0</v>
      </c>
      <c r="Q137" s="1" t="n">
        <f aca="false">IF(AND(N137=1,S137=1,COUNTIFS($L$2:L137,L137,$K$2:K137,K137,$N$2:N137,1,$S$2:S137,1)=1),1,0)</f>
        <v>0</v>
      </c>
      <c r="R137" s="1" t="n">
        <f aca="false">IF(AND(N137=1,COUNTIFS($K$2:K137,K137,$L$2:L137,L137,$J$2:J137,J137,$N$2:N137,1)=1),1,0)</f>
        <v>0</v>
      </c>
      <c r="S137" s="1" t="n">
        <f aca="false">IF(AND(K137&lt;&gt;"Context and provider model",K137&lt;&gt;"Motivation"),1,0)</f>
        <v>0</v>
      </c>
    </row>
    <row r="138" customFormat="false" ht="15" hidden="false" customHeight="true" outlineLevel="0" collapsed="false">
      <c r="J138" s="1" t="str">
        <f aca="false">'Raw Atomic Data (Pro)'!A138</f>
        <v>Becky</v>
      </c>
      <c r="K138" s="1" t="str">
        <f aca="false">'Raw Atomic Data (Pro)'!C138</f>
        <v>Motivation</v>
      </c>
      <c r="L138" s="1" t="str">
        <f aca="false">'Raw Atomic Data (Pro)'!D138</f>
        <v>motivation-emotional-connection</v>
      </c>
      <c r="M138" s="1" t="str">
        <f aca="false">'Raw Atomic Data (Pro)'!E138</f>
        <v>value-statement</v>
      </c>
      <c r="N138" s="1" t="n">
        <f aca="false">IF(OR(M138="friction",M138="need",M138="workaround"),1,0)</f>
        <v>0</v>
      </c>
      <c r="O138" s="1" t="n">
        <f aca="false">IF(COUNTIFS($K$2:K138,K138,$L$2:L138,L138,$M$2:M138,M138,$J$2:J138,J138)=1,1,0)</f>
        <v>0</v>
      </c>
      <c r="P138" s="1" t="n">
        <f aca="false">IF(AND(N138=1,S138=1,COUNTIFS($L$2:L138,L138,$J$2:J138,J138,$N$2:N138,1,$S$2:S138,1)=1),1,0)</f>
        <v>0</v>
      </c>
      <c r="Q138" s="1" t="n">
        <f aca="false">IF(AND(N138=1,S138=1,COUNTIFS($L$2:L138,L138,$K$2:K138,K138,$N$2:N138,1,$S$2:S138,1)=1),1,0)</f>
        <v>0</v>
      </c>
      <c r="R138" s="1" t="n">
        <f aca="false">IF(AND(N138=1,COUNTIFS($K$2:K138,K138,$L$2:L138,L138,$J$2:J138,J138,$N$2:N138,1)=1),1,0)</f>
        <v>0</v>
      </c>
      <c r="S138" s="1" t="n">
        <f aca="false">IF(AND(K138&lt;&gt;"Context and provider model",K138&lt;&gt;"Motivation"),1,0)</f>
        <v>0</v>
      </c>
    </row>
    <row r="139" customFormat="false" ht="15" hidden="false" customHeight="true" outlineLevel="0" collapsed="false">
      <c r="J139" s="1" t="str">
        <f aca="false">'Raw Atomic Data (Pro)'!A139</f>
        <v>Becky</v>
      </c>
      <c r="K139" s="1" t="str">
        <f aca="false">'Raw Atomic Data (Pro)'!C139</f>
        <v>Motivation</v>
      </c>
      <c r="L139" s="1" t="str">
        <f aca="false">'Raw Atomic Data (Pro)'!D139</f>
        <v>motivation-emotional-connection</v>
      </c>
      <c r="M139" s="1" t="str">
        <f aca="false">'Raw Atomic Data (Pro)'!E139</f>
        <v>value-statement</v>
      </c>
      <c r="N139" s="1" t="n">
        <f aca="false">IF(OR(M139="friction",M139="need",M139="workaround"),1,0)</f>
        <v>0</v>
      </c>
      <c r="O139" s="1" t="n">
        <f aca="false">IF(COUNTIFS($K$2:K139,K139,$L$2:L139,L139,$M$2:M139,M139,$J$2:J139,J139)=1,1,0)</f>
        <v>0</v>
      </c>
      <c r="P139" s="1" t="n">
        <f aca="false">IF(AND(N139=1,S139=1,COUNTIFS($L$2:L139,L139,$J$2:J139,J139,$N$2:N139,1,$S$2:S139,1)=1),1,0)</f>
        <v>0</v>
      </c>
      <c r="Q139" s="1" t="n">
        <f aca="false">IF(AND(N139=1,S139=1,COUNTIFS($L$2:L139,L139,$K$2:K139,K139,$N$2:N139,1,$S$2:S139,1)=1),1,0)</f>
        <v>0</v>
      </c>
      <c r="R139" s="1" t="n">
        <f aca="false">IF(AND(N139=1,COUNTIFS($K$2:K139,K139,$L$2:L139,L139,$J$2:J139,J139,$N$2:N139,1)=1),1,0)</f>
        <v>0</v>
      </c>
      <c r="S139" s="1" t="n">
        <f aca="false">IF(AND(K139&lt;&gt;"Context and provider model",K139&lt;&gt;"Motivation"),1,0)</f>
        <v>0</v>
      </c>
    </row>
    <row r="140" customFormat="false" ht="15" hidden="false" customHeight="true" outlineLevel="0" collapsed="false">
      <c r="J140" s="1" t="str">
        <f aca="false">'Raw Atomic Data (Pro)'!A140</f>
        <v>Bruna</v>
      </c>
      <c r="K140" s="1" t="str">
        <f aca="false">'Raw Atomic Data (Pro)'!C140</f>
        <v>Motivation</v>
      </c>
      <c r="L140" s="1" t="str">
        <f aca="false">'Raw Atomic Data (Pro)'!D140</f>
        <v>motivation-emotional-connection</v>
      </c>
      <c r="M140" s="1" t="str">
        <f aca="false">'Raw Atomic Data (Pro)'!E140</f>
        <v>fact</v>
      </c>
      <c r="N140" s="1" t="n">
        <f aca="false">IF(OR(M140="friction",M140="need",M140="workaround"),1,0)</f>
        <v>0</v>
      </c>
      <c r="O140" s="1" t="n">
        <f aca="false">IF(COUNTIFS($K$2:K140,K140,$L$2:L140,L140,$M$2:M140,M140,$J$2:J140,J140)=1,1,0)</f>
        <v>1</v>
      </c>
      <c r="P140" s="1" t="n">
        <f aca="false">IF(AND(N140=1,S140=1,COUNTIFS($L$2:L140,L140,$J$2:J140,J140,$N$2:N140,1,$S$2:S140,1)=1),1,0)</f>
        <v>0</v>
      </c>
      <c r="Q140" s="1" t="n">
        <f aca="false">IF(AND(N140=1,S140=1,COUNTIFS($L$2:L140,L140,$K$2:K140,K140,$N$2:N140,1,$S$2:S140,1)=1),1,0)</f>
        <v>0</v>
      </c>
      <c r="R140" s="1" t="n">
        <f aca="false">IF(AND(N140=1,COUNTIFS($K$2:K140,K140,$L$2:L140,L140,$J$2:J140,J140,$N$2:N140,1)=1),1,0)</f>
        <v>0</v>
      </c>
      <c r="S140" s="1" t="n">
        <f aca="false">IF(AND(K140&lt;&gt;"Context and provider model",K140&lt;&gt;"Motivation"),1,0)</f>
        <v>0</v>
      </c>
    </row>
    <row r="141" customFormat="false" ht="15" hidden="false" customHeight="true" outlineLevel="0" collapsed="false">
      <c r="J141" s="1" t="str">
        <f aca="false">'Raw Atomic Data (Pro)'!A141</f>
        <v>Bruna</v>
      </c>
      <c r="K141" s="1" t="str">
        <f aca="false">'Raw Atomic Data (Pro)'!C141</f>
        <v>Motivation</v>
      </c>
      <c r="L141" s="1" t="str">
        <f aca="false">'Raw Atomic Data (Pro)'!D141</f>
        <v>motivation-emotional-connection</v>
      </c>
      <c r="M141" s="1" t="str">
        <f aca="false">'Raw Atomic Data (Pro)'!E141</f>
        <v>fact</v>
      </c>
      <c r="N141" s="1" t="n">
        <f aca="false">IF(OR(M141="friction",M141="need",M141="workaround"),1,0)</f>
        <v>0</v>
      </c>
      <c r="O141" s="1" t="n">
        <f aca="false">IF(COUNTIFS($K$2:K141,K141,$L$2:L141,L141,$M$2:M141,M141,$J$2:J141,J141)=1,1,0)</f>
        <v>0</v>
      </c>
      <c r="P141" s="1" t="n">
        <f aca="false">IF(AND(N141=1,S141=1,COUNTIFS($L$2:L141,L141,$J$2:J141,J141,$N$2:N141,1,$S$2:S141,1)=1),1,0)</f>
        <v>0</v>
      </c>
      <c r="Q141" s="1" t="n">
        <f aca="false">IF(AND(N141=1,S141=1,COUNTIFS($L$2:L141,L141,$K$2:K141,K141,$N$2:N141,1,$S$2:S141,1)=1),1,0)</f>
        <v>0</v>
      </c>
      <c r="R141" s="1" t="n">
        <f aca="false">IF(AND(N141=1,COUNTIFS($K$2:K141,K141,$L$2:L141,L141,$J$2:J141,J141,$N$2:N141,1)=1),1,0)</f>
        <v>0</v>
      </c>
      <c r="S141" s="1" t="n">
        <f aca="false">IF(AND(K141&lt;&gt;"Context and provider model",K141&lt;&gt;"Motivation"),1,0)</f>
        <v>0</v>
      </c>
    </row>
    <row r="142" customFormat="false" ht="15" hidden="false" customHeight="true" outlineLevel="0" collapsed="false">
      <c r="J142" s="1" t="str">
        <f aca="false">'Raw Atomic Data (Pro)'!A142</f>
        <v>Bruna</v>
      </c>
      <c r="K142" s="1" t="str">
        <f aca="false">'Raw Atomic Data (Pro)'!C142</f>
        <v>Motivation</v>
      </c>
      <c r="L142" s="1" t="str">
        <f aca="false">'Raw Atomic Data (Pro)'!D142</f>
        <v>motivation-emotional-connection</v>
      </c>
      <c r="M142" s="1" t="str">
        <f aca="false">'Raw Atomic Data (Pro)'!E142</f>
        <v>value-statement</v>
      </c>
      <c r="N142" s="1" t="n">
        <f aca="false">IF(OR(M142="friction",M142="need",M142="workaround"),1,0)</f>
        <v>0</v>
      </c>
      <c r="O142" s="1" t="n">
        <f aca="false">IF(COUNTIFS($K$2:K142,K142,$L$2:L142,L142,$M$2:M142,M142,$J$2:J142,J142)=1,1,0)</f>
        <v>1</v>
      </c>
      <c r="P142" s="1" t="n">
        <f aca="false">IF(AND(N142=1,S142=1,COUNTIFS($L$2:L142,L142,$J$2:J142,J142,$N$2:N142,1,$S$2:S142,1)=1),1,0)</f>
        <v>0</v>
      </c>
      <c r="Q142" s="1" t="n">
        <f aca="false">IF(AND(N142=1,S142=1,COUNTIFS($L$2:L142,L142,$K$2:K142,K142,$N$2:N142,1,$S$2:S142,1)=1),1,0)</f>
        <v>0</v>
      </c>
      <c r="R142" s="1" t="n">
        <f aca="false">IF(AND(N142=1,COUNTIFS($K$2:K142,K142,$L$2:L142,L142,$J$2:J142,J142,$N$2:N142,1)=1),1,0)</f>
        <v>0</v>
      </c>
      <c r="S142" s="1" t="n">
        <f aca="false">IF(AND(K142&lt;&gt;"Context and provider model",K142&lt;&gt;"Motivation"),1,0)</f>
        <v>0</v>
      </c>
    </row>
    <row r="143" customFormat="false" ht="15" hidden="false" customHeight="true" outlineLevel="0" collapsed="false">
      <c r="J143" s="1" t="str">
        <f aca="false">'Raw Atomic Data (Pro)'!A143</f>
        <v>Bruna</v>
      </c>
      <c r="K143" s="1" t="str">
        <f aca="false">'Raw Atomic Data (Pro)'!C143</f>
        <v>Motivation</v>
      </c>
      <c r="L143" s="1" t="str">
        <f aca="false">'Raw Atomic Data (Pro)'!D143</f>
        <v>motivation-emotional-connection</v>
      </c>
      <c r="M143" s="1" t="str">
        <f aca="false">'Raw Atomic Data (Pro)'!E143</f>
        <v>fact</v>
      </c>
      <c r="N143" s="1" t="n">
        <f aca="false">IF(OR(M143="friction",M143="need",M143="workaround"),1,0)</f>
        <v>0</v>
      </c>
      <c r="O143" s="1" t="n">
        <f aca="false">IF(COUNTIFS($K$2:K143,K143,$L$2:L143,L143,$M$2:M143,M143,$J$2:J143,J143)=1,1,0)</f>
        <v>0</v>
      </c>
      <c r="P143" s="1" t="n">
        <f aca="false">IF(AND(N143=1,S143=1,COUNTIFS($L$2:L143,L143,$J$2:J143,J143,$N$2:N143,1,$S$2:S143,1)=1),1,0)</f>
        <v>0</v>
      </c>
      <c r="Q143" s="1" t="n">
        <f aca="false">IF(AND(N143=1,S143=1,COUNTIFS($L$2:L143,L143,$K$2:K143,K143,$N$2:N143,1,$S$2:S143,1)=1),1,0)</f>
        <v>0</v>
      </c>
      <c r="R143" s="1" t="n">
        <f aca="false">IF(AND(N143=1,COUNTIFS($K$2:K143,K143,$L$2:L143,L143,$J$2:J143,J143,$N$2:N143,1)=1),1,0)</f>
        <v>0</v>
      </c>
      <c r="S143" s="1" t="n">
        <f aca="false">IF(AND(K143&lt;&gt;"Context and provider model",K143&lt;&gt;"Motivation"),1,0)</f>
        <v>0</v>
      </c>
    </row>
    <row r="144" customFormat="false" ht="15" hidden="false" customHeight="true" outlineLevel="0" collapsed="false">
      <c r="J144" s="1" t="str">
        <f aca="false">'Raw Atomic Data (Pro)'!A144</f>
        <v>Bruna</v>
      </c>
      <c r="K144" s="1" t="str">
        <f aca="false">'Raw Atomic Data (Pro)'!C144</f>
        <v>Motivation</v>
      </c>
      <c r="L144" s="1" t="str">
        <f aca="false">'Raw Atomic Data (Pro)'!D144</f>
        <v>motivation-emotional-connection</v>
      </c>
      <c r="M144" s="1" t="str">
        <f aca="false">'Raw Atomic Data (Pro)'!E144</f>
        <v>value-statement</v>
      </c>
      <c r="N144" s="1" t="n">
        <f aca="false">IF(OR(M144="friction",M144="need",M144="workaround"),1,0)</f>
        <v>0</v>
      </c>
      <c r="O144" s="1" t="n">
        <f aca="false">IF(COUNTIFS($K$2:K144,K144,$L$2:L144,L144,$M$2:M144,M144,$J$2:J144,J144)=1,1,0)</f>
        <v>0</v>
      </c>
      <c r="P144" s="1" t="n">
        <f aca="false">IF(AND(N144=1,S144=1,COUNTIFS($L$2:L144,L144,$J$2:J144,J144,$N$2:N144,1,$S$2:S144,1)=1),1,0)</f>
        <v>0</v>
      </c>
      <c r="Q144" s="1" t="n">
        <f aca="false">IF(AND(N144=1,S144=1,COUNTIFS($L$2:L144,L144,$K$2:K144,K144,$N$2:N144,1,$S$2:S144,1)=1),1,0)</f>
        <v>0</v>
      </c>
      <c r="R144" s="1" t="n">
        <f aca="false">IF(AND(N144=1,COUNTIFS($K$2:K144,K144,$L$2:L144,L144,$J$2:J144,J144,$N$2:N144,1)=1),1,0)</f>
        <v>0</v>
      </c>
      <c r="S144" s="1" t="n">
        <f aca="false">IF(AND(K144&lt;&gt;"Context and provider model",K144&lt;&gt;"Motivation"),1,0)</f>
        <v>0</v>
      </c>
    </row>
    <row r="145" customFormat="false" ht="15" hidden="false" customHeight="true" outlineLevel="0" collapsed="false">
      <c r="J145" s="1" t="str">
        <f aca="false">'Raw Atomic Data (Pro)'!A145</f>
        <v>Colin</v>
      </c>
      <c r="K145" s="1" t="str">
        <f aca="false">'Raw Atomic Data (Pro)'!C145</f>
        <v>Motivation</v>
      </c>
      <c r="L145" s="1" t="str">
        <f aca="false">'Raw Atomic Data (Pro)'!D145</f>
        <v>motivation-emotional-connection</v>
      </c>
      <c r="M145" s="1" t="str">
        <f aca="false">'Raw Atomic Data (Pro)'!E145</f>
        <v>value-statement</v>
      </c>
      <c r="N145" s="1" t="n">
        <f aca="false">IF(OR(M145="friction",M145="need",M145="workaround"),1,0)</f>
        <v>0</v>
      </c>
      <c r="O145" s="1" t="n">
        <f aca="false">IF(COUNTIFS($K$2:K145,K145,$L$2:L145,L145,$M$2:M145,M145,$J$2:J145,J145)=1,1,0)</f>
        <v>1</v>
      </c>
      <c r="P145" s="1" t="n">
        <f aca="false">IF(AND(N145=1,S145=1,COUNTIFS($L$2:L145,L145,$J$2:J145,J145,$N$2:N145,1,$S$2:S145,1)=1),1,0)</f>
        <v>0</v>
      </c>
      <c r="Q145" s="1" t="n">
        <f aca="false">IF(AND(N145=1,S145=1,COUNTIFS($L$2:L145,L145,$K$2:K145,K145,$N$2:N145,1,$S$2:S145,1)=1),1,0)</f>
        <v>0</v>
      </c>
      <c r="R145" s="1" t="n">
        <f aca="false">IF(AND(N145=1,COUNTIFS($K$2:K145,K145,$L$2:L145,L145,$J$2:J145,J145,$N$2:N145,1)=1),1,0)</f>
        <v>0</v>
      </c>
      <c r="S145" s="1" t="n">
        <f aca="false">IF(AND(K145&lt;&gt;"Context and provider model",K145&lt;&gt;"Motivation"),1,0)</f>
        <v>0</v>
      </c>
    </row>
    <row r="146" customFormat="false" ht="15" hidden="false" customHeight="true" outlineLevel="0" collapsed="false">
      <c r="J146" s="1" t="str">
        <f aca="false">'Raw Atomic Data (Pro)'!A146</f>
        <v>Colin</v>
      </c>
      <c r="K146" s="1" t="str">
        <f aca="false">'Raw Atomic Data (Pro)'!C146</f>
        <v>Motivation</v>
      </c>
      <c r="L146" s="1" t="str">
        <f aca="false">'Raw Atomic Data (Pro)'!D146</f>
        <v>motivation-emotional-connection</v>
      </c>
      <c r="M146" s="1" t="str">
        <f aca="false">'Raw Atomic Data (Pro)'!E146</f>
        <v>value-statement</v>
      </c>
      <c r="N146" s="1" t="n">
        <f aca="false">IF(OR(M146="friction",M146="need",M146="workaround"),1,0)</f>
        <v>0</v>
      </c>
      <c r="O146" s="1" t="n">
        <f aca="false">IF(COUNTIFS($K$2:K146,K146,$L$2:L146,L146,$M$2:M146,M146,$J$2:J146,J146)=1,1,0)</f>
        <v>0</v>
      </c>
      <c r="P146" s="1" t="n">
        <f aca="false">IF(AND(N146=1,S146=1,COUNTIFS($L$2:L146,L146,$J$2:J146,J146,$N$2:N146,1,$S$2:S146,1)=1),1,0)</f>
        <v>0</v>
      </c>
      <c r="Q146" s="1" t="n">
        <f aca="false">IF(AND(N146=1,S146=1,COUNTIFS($L$2:L146,L146,$K$2:K146,K146,$N$2:N146,1,$S$2:S146,1)=1),1,0)</f>
        <v>0</v>
      </c>
      <c r="R146" s="1" t="n">
        <f aca="false">IF(AND(N146=1,COUNTIFS($K$2:K146,K146,$L$2:L146,L146,$J$2:J146,J146,$N$2:N146,1)=1),1,0)</f>
        <v>0</v>
      </c>
      <c r="S146" s="1" t="n">
        <f aca="false">IF(AND(K146&lt;&gt;"Context and provider model",K146&lt;&gt;"Motivation"),1,0)</f>
        <v>0</v>
      </c>
    </row>
    <row r="147" customFormat="false" ht="15" hidden="false" customHeight="true" outlineLevel="0" collapsed="false">
      <c r="J147" s="1" t="str">
        <f aca="false">'Raw Atomic Data (Pro)'!A147</f>
        <v>Colin</v>
      </c>
      <c r="K147" s="1" t="str">
        <f aca="false">'Raw Atomic Data (Pro)'!C147</f>
        <v>Motivation</v>
      </c>
      <c r="L147" s="1" t="str">
        <f aca="false">'Raw Atomic Data (Pro)'!D147</f>
        <v>motivation-emotional-connection</v>
      </c>
      <c r="M147" s="1" t="str">
        <f aca="false">'Raw Atomic Data (Pro)'!E147</f>
        <v>fact</v>
      </c>
      <c r="N147" s="1" t="n">
        <f aca="false">IF(OR(M147="friction",M147="need",M147="workaround"),1,0)</f>
        <v>0</v>
      </c>
      <c r="O147" s="1" t="n">
        <f aca="false">IF(COUNTIFS($K$2:K147,K147,$L$2:L147,L147,$M$2:M147,M147,$J$2:J147,J147)=1,1,0)</f>
        <v>1</v>
      </c>
      <c r="P147" s="1" t="n">
        <f aca="false">IF(AND(N147=1,S147=1,COUNTIFS($L$2:L147,L147,$J$2:J147,J147,$N$2:N147,1,$S$2:S147,1)=1),1,0)</f>
        <v>0</v>
      </c>
      <c r="Q147" s="1" t="n">
        <f aca="false">IF(AND(N147=1,S147=1,COUNTIFS($L$2:L147,L147,$K$2:K147,K147,$N$2:N147,1,$S$2:S147,1)=1),1,0)</f>
        <v>0</v>
      </c>
      <c r="R147" s="1" t="n">
        <f aca="false">IF(AND(N147=1,COUNTIFS($K$2:K147,K147,$L$2:L147,L147,$J$2:J147,J147,$N$2:N147,1)=1),1,0)</f>
        <v>0</v>
      </c>
      <c r="S147" s="1" t="n">
        <f aca="false">IF(AND(K147&lt;&gt;"Context and provider model",K147&lt;&gt;"Motivation"),1,0)</f>
        <v>0</v>
      </c>
    </row>
    <row r="148" customFormat="false" ht="15" hidden="false" customHeight="true" outlineLevel="0" collapsed="false">
      <c r="J148" s="1" t="str">
        <f aca="false">'Raw Atomic Data (Pro)'!A148</f>
        <v>Colin</v>
      </c>
      <c r="K148" s="1" t="str">
        <f aca="false">'Raw Atomic Data (Pro)'!C148</f>
        <v>Motivation</v>
      </c>
      <c r="L148" s="1" t="str">
        <f aca="false">'Raw Atomic Data (Pro)'!D148</f>
        <v>motivation-emotional-connection</v>
      </c>
      <c r="M148" s="1" t="str">
        <f aca="false">'Raw Atomic Data (Pro)'!E148</f>
        <v>fact</v>
      </c>
      <c r="N148" s="1" t="n">
        <f aca="false">IF(OR(M148="friction",M148="need",M148="workaround"),1,0)</f>
        <v>0</v>
      </c>
      <c r="O148" s="1" t="n">
        <f aca="false">IF(COUNTIFS($K$2:K148,K148,$L$2:L148,L148,$M$2:M148,M148,$J$2:J148,J148)=1,1,0)</f>
        <v>0</v>
      </c>
      <c r="P148" s="1" t="n">
        <f aca="false">IF(AND(N148=1,S148=1,COUNTIFS($L$2:L148,L148,$J$2:J148,J148,$N$2:N148,1,$S$2:S148,1)=1),1,0)</f>
        <v>0</v>
      </c>
      <c r="Q148" s="1" t="n">
        <f aca="false">IF(AND(N148=1,S148=1,COUNTIFS($L$2:L148,L148,$K$2:K148,K148,$N$2:N148,1,$S$2:S148,1)=1),1,0)</f>
        <v>0</v>
      </c>
      <c r="R148" s="1" t="n">
        <f aca="false">IF(AND(N148=1,COUNTIFS($K$2:K148,K148,$L$2:L148,L148,$J$2:J148,J148,$N$2:N148,1)=1),1,0)</f>
        <v>0</v>
      </c>
      <c r="S148" s="1" t="n">
        <f aca="false">IF(AND(K148&lt;&gt;"Context and provider model",K148&lt;&gt;"Motivation"),1,0)</f>
        <v>0</v>
      </c>
    </row>
    <row r="149" customFormat="false" ht="15" hidden="false" customHeight="true" outlineLevel="0" collapsed="false">
      <c r="J149" s="1" t="str">
        <f aca="false">'Raw Atomic Data (Pro)'!A149</f>
        <v>Colin</v>
      </c>
      <c r="K149" s="1" t="str">
        <f aca="false">'Raw Atomic Data (Pro)'!C149</f>
        <v>Motivation</v>
      </c>
      <c r="L149" s="1" t="str">
        <f aca="false">'Raw Atomic Data (Pro)'!D149</f>
        <v>motivation-emotional-connection</v>
      </c>
      <c r="M149" s="1" t="str">
        <f aca="false">'Raw Atomic Data (Pro)'!E149</f>
        <v>value-statement</v>
      </c>
      <c r="N149" s="1" t="n">
        <f aca="false">IF(OR(M149="friction",M149="need",M149="workaround"),1,0)</f>
        <v>0</v>
      </c>
      <c r="O149" s="1" t="n">
        <f aca="false">IF(COUNTIFS($K$2:K149,K149,$L$2:L149,L149,$M$2:M149,M149,$J$2:J149,J149)=1,1,0)</f>
        <v>0</v>
      </c>
      <c r="P149" s="1" t="n">
        <f aca="false">IF(AND(N149=1,S149=1,COUNTIFS($L$2:L149,L149,$J$2:J149,J149,$N$2:N149,1,$S$2:S149,1)=1),1,0)</f>
        <v>0</v>
      </c>
      <c r="Q149" s="1" t="n">
        <f aca="false">IF(AND(N149=1,S149=1,COUNTIFS($L$2:L149,L149,$K$2:K149,K149,$N$2:N149,1,$S$2:S149,1)=1),1,0)</f>
        <v>0</v>
      </c>
      <c r="R149" s="1" t="n">
        <f aca="false">IF(AND(N149=1,COUNTIFS($K$2:K149,K149,$L$2:L149,L149,$J$2:J149,J149,$N$2:N149,1)=1),1,0)</f>
        <v>0</v>
      </c>
      <c r="S149" s="1" t="n">
        <f aca="false">IF(AND(K149&lt;&gt;"Context and provider model",K149&lt;&gt;"Motivation"),1,0)</f>
        <v>0</v>
      </c>
    </row>
    <row r="150" customFormat="false" ht="15" hidden="false" customHeight="true" outlineLevel="0" collapsed="false">
      <c r="J150" s="1" t="str">
        <f aca="false">'Raw Atomic Data (Pro)'!A150</f>
        <v>Colin</v>
      </c>
      <c r="K150" s="1" t="str">
        <f aca="false">'Raw Atomic Data (Pro)'!C150</f>
        <v>Motivation</v>
      </c>
      <c r="L150" s="1" t="str">
        <f aca="false">'Raw Atomic Data (Pro)'!D150</f>
        <v>motivation-emotional-connection</v>
      </c>
      <c r="M150" s="1" t="str">
        <f aca="false">'Raw Atomic Data (Pro)'!E150</f>
        <v>fact</v>
      </c>
      <c r="N150" s="1" t="n">
        <f aca="false">IF(OR(M150="friction",M150="need",M150="workaround"),1,0)</f>
        <v>0</v>
      </c>
      <c r="O150" s="1" t="n">
        <f aca="false">IF(COUNTIFS($K$2:K150,K150,$L$2:L150,L150,$M$2:M150,M150,$J$2:J150,J150)=1,1,0)</f>
        <v>0</v>
      </c>
      <c r="P150" s="1" t="n">
        <f aca="false">IF(AND(N150=1,S150=1,COUNTIFS($L$2:L150,L150,$J$2:J150,J150,$N$2:N150,1,$S$2:S150,1)=1),1,0)</f>
        <v>0</v>
      </c>
      <c r="Q150" s="1" t="n">
        <f aca="false">IF(AND(N150=1,S150=1,COUNTIFS($L$2:L150,L150,$K$2:K150,K150,$N$2:N150,1,$S$2:S150,1)=1),1,0)</f>
        <v>0</v>
      </c>
      <c r="R150" s="1" t="n">
        <f aca="false">IF(AND(N150=1,COUNTIFS($K$2:K150,K150,$L$2:L150,L150,$J$2:J150,J150,$N$2:N150,1)=1),1,0)</f>
        <v>0</v>
      </c>
      <c r="S150" s="1" t="n">
        <f aca="false">IF(AND(K150&lt;&gt;"Context and provider model",K150&lt;&gt;"Motivation"),1,0)</f>
        <v>0</v>
      </c>
    </row>
    <row r="151" customFormat="false" ht="15" hidden="false" customHeight="true" outlineLevel="0" collapsed="false">
      <c r="J151" s="1" t="str">
        <f aca="false">'Raw Atomic Data (Pro)'!A151</f>
        <v>Dawn</v>
      </c>
      <c r="K151" s="1" t="str">
        <f aca="false">'Raw Atomic Data (Pro)'!C151</f>
        <v>Motivation</v>
      </c>
      <c r="L151" s="1" t="str">
        <f aca="false">'Raw Atomic Data (Pro)'!D151</f>
        <v>motivation-emotional-connection</v>
      </c>
      <c r="M151" s="1" t="str">
        <f aca="false">'Raw Atomic Data (Pro)'!E151</f>
        <v>value-statement</v>
      </c>
      <c r="N151" s="1" t="n">
        <f aca="false">IF(OR(M151="friction",M151="need",M151="workaround"),1,0)</f>
        <v>0</v>
      </c>
      <c r="O151" s="1" t="n">
        <f aca="false">IF(COUNTIFS($K$2:K151,K151,$L$2:L151,L151,$M$2:M151,M151,$J$2:J151,J151)=1,1,0)</f>
        <v>1</v>
      </c>
      <c r="P151" s="1" t="n">
        <f aca="false">IF(AND(N151=1,S151=1,COUNTIFS($L$2:L151,L151,$J$2:J151,J151,$N$2:N151,1,$S$2:S151,1)=1),1,0)</f>
        <v>0</v>
      </c>
      <c r="Q151" s="1" t="n">
        <f aca="false">IF(AND(N151=1,S151=1,COUNTIFS($L$2:L151,L151,$K$2:K151,K151,$N$2:N151,1,$S$2:S151,1)=1),1,0)</f>
        <v>0</v>
      </c>
      <c r="R151" s="1" t="n">
        <f aca="false">IF(AND(N151=1,COUNTIFS($K$2:K151,K151,$L$2:L151,L151,$J$2:J151,J151,$N$2:N151,1)=1),1,0)</f>
        <v>0</v>
      </c>
      <c r="S151" s="1" t="n">
        <f aca="false">IF(AND(K151&lt;&gt;"Context and provider model",K151&lt;&gt;"Motivation"),1,0)</f>
        <v>0</v>
      </c>
    </row>
    <row r="152" customFormat="false" ht="15" hidden="false" customHeight="true" outlineLevel="0" collapsed="false">
      <c r="J152" s="1" t="str">
        <f aca="false">'Raw Atomic Data (Pro)'!A152</f>
        <v>Dawn</v>
      </c>
      <c r="K152" s="1" t="str">
        <f aca="false">'Raw Atomic Data (Pro)'!C152</f>
        <v>Motivation</v>
      </c>
      <c r="L152" s="1" t="str">
        <f aca="false">'Raw Atomic Data (Pro)'!D152</f>
        <v>motivation-emotional-connection</v>
      </c>
      <c r="M152" s="1" t="str">
        <f aca="false">'Raw Atomic Data (Pro)'!E152</f>
        <v>value-statement</v>
      </c>
      <c r="N152" s="1" t="n">
        <f aca="false">IF(OR(M152="friction",M152="need",M152="workaround"),1,0)</f>
        <v>0</v>
      </c>
      <c r="O152" s="1" t="n">
        <f aca="false">IF(COUNTIFS($K$2:K152,K152,$L$2:L152,L152,$M$2:M152,M152,$J$2:J152,J152)=1,1,0)</f>
        <v>0</v>
      </c>
      <c r="P152" s="1" t="n">
        <f aca="false">IF(AND(N152=1,S152=1,COUNTIFS($L$2:L152,L152,$J$2:J152,J152,$N$2:N152,1,$S$2:S152,1)=1),1,0)</f>
        <v>0</v>
      </c>
      <c r="Q152" s="1" t="n">
        <f aca="false">IF(AND(N152=1,S152=1,COUNTIFS($L$2:L152,L152,$K$2:K152,K152,$N$2:N152,1,$S$2:S152,1)=1),1,0)</f>
        <v>0</v>
      </c>
      <c r="R152" s="1" t="n">
        <f aca="false">IF(AND(N152=1,COUNTIFS($K$2:K152,K152,$L$2:L152,L152,$J$2:J152,J152,$N$2:N152,1)=1),1,0)</f>
        <v>0</v>
      </c>
      <c r="S152" s="1" t="n">
        <f aca="false">IF(AND(K152&lt;&gt;"Context and provider model",K152&lt;&gt;"Motivation"),1,0)</f>
        <v>0</v>
      </c>
    </row>
    <row r="153" customFormat="false" ht="15" hidden="false" customHeight="true" outlineLevel="0" collapsed="false">
      <c r="J153" s="1" t="str">
        <f aca="false">'Raw Atomic Data (Pro)'!A153</f>
        <v>Dawn</v>
      </c>
      <c r="K153" s="1" t="str">
        <f aca="false">'Raw Atomic Data (Pro)'!C153</f>
        <v>Motivation</v>
      </c>
      <c r="L153" s="1" t="str">
        <f aca="false">'Raw Atomic Data (Pro)'!D153</f>
        <v>motivation-emotional-connection</v>
      </c>
      <c r="M153" s="1" t="str">
        <f aca="false">'Raw Atomic Data (Pro)'!E153</f>
        <v>value-statement</v>
      </c>
      <c r="N153" s="1" t="n">
        <f aca="false">IF(OR(M153="friction",M153="need",M153="workaround"),1,0)</f>
        <v>0</v>
      </c>
      <c r="O153" s="1" t="n">
        <f aca="false">IF(COUNTIFS($K$2:K153,K153,$L$2:L153,L153,$M$2:M153,M153,$J$2:J153,J153)=1,1,0)</f>
        <v>0</v>
      </c>
      <c r="P153" s="1" t="n">
        <f aca="false">IF(AND(N153=1,S153=1,COUNTIFS($L$2:L153,L153,$J$2:J153,J153,$N$2:N153,1,$S$2:S153,1)=1),1,0)</f>
        <v>0</v>
      </c>
      <c r="Q153" s="1" t="n">
        <f aca="false">IF(AND(N153=1,S153=1,COUNTIFS($L$2:L153,L153,$K$2:K153,K153,$N$2:N153,1,$S$2:S153,1)=1),1,0)</f>
        <v>0</v>
      </c>
      <c r="R153" s="1" t="n">
        <f aca="false">IF(AND(N153=1,COUNTIFS($K$2:K153,K153,$L$2:L153,L153,$J$2:J153,J153,$N$2:N153,1)=1),1,0)</f>
        <v>0</v>
      </c>
      <c r="S153" s="1" t="n">
        <f aca="false">IF(AND(K153&lt;&gt;"Context and provider model",K153&lt;&gt;"Motivation"),1,0)</f>
        <v>0</v>
      </c>
    </row>
    <row r="154" customFormat="false" ht="15" hidden="false" customHeight="true" outlineLevel="0" collapsed="false">
      <c r="J154" s="1" t="str">
        <f aca="false">'Raw Atomic Data (Pro)'!A154</f>
        <v>Erika</v>
      </c>
      <c r="K154" s="1" t="str">
        <f aca="false">'Raw Atomic Data (Pro)'!C154</f>
        <v>Motivation</v>
      </c>
      <c r="L154" s="1" t="str">
        <f aca="false">'Raw Atomic Data (Pro)'!D154</f>
        <v>motivation-emotional-connection</v>
      </c>
      <c r="M154" s="1" t="str">
        <f aca="false">'Raw Atomic Data (Pro)'!E154</f>
        <v>value-statement</v>
      </c>
      <c r="N154" s="1" t="n">
        <f aca="false">IF(OR(M154="friction",M154="need",M154="workaround"),1,0)</f>
        <v>0</v>
      </c>
      <c r="O154" s="1" t="n">
        <f aca="false">IF(COUNTIFS($K$2:K154,K154,$L$2:L154,L154,$M$2:M154,M154,$J$2:J154,J154)=1,1,0)</f>
        <v>1</v>
      </c>
      <c r="P154" s="1" t="n">
        <f aca="false">IF(AND(N154=1,S154=1,COUNTIFS($L$2:L154,L154,$J$2:J154,J154,$N$2:N154,1,$S$2:S154,1)=1),1,0)</f>
        <v>0</v>
      </c>
      <c r="Q154" s="1" t="n">
        <f aca="false">IF(AND(N154=1,S154=1,COUNTIFS($L$2:L154,L154,$K$2:K154,K154,$N$2:N154,1,$S$2:S154,1)=1),1,0)</f>
        <v>0</v>
      </c>
      <c r="R154" s="1" t="n">
        <f aca="false">IF(AND(N154=1,COUNTIFS($K$2:K154,K154,$L$2:L154,L154,$J$2:J154,J154,$N$2:N154,1)=1),1,0)</f>
        <v>0</v>
      </c>
      <c r="S154" s="1" t="n">
        <f aca="false">IF(AND(K154&lt;&gt;"Context and provider model",K154&lt;&gt;"Motivation"),1,0)</f>
        <v>0</v>
      </c>
    </row>
    <row r="155" customFormat="false" ht="15" hidden="false" customHeight="true" outlineLevel="0" collapsed="false">
      <c r="J155" s="1" t="str">
        <f aca="false">'Raw Atomic Data (Pro)'!A155</f>
        <v>Erika</v>
      </c>
      <c r="K155" s="1" t="str">
        <f aca="false">'Raw Atomic Data (Pro)'!C155</f>
        <v>Motivation</v>
      </c>
      <c r="L155" s="1" t="str">
        <f aca="false">'Raw Atomic Data (Pro)'!D155</f>
        <v>motivation-emotional-connection</v>
      </c>
      <c r="M155" s="1" t="str">
        <f aca="false">'Raw Atomic Data (Pro)'!E155</f>
        <v>value-statement</v>
      </c>
      <c r="N155" s="1" t="n">
        <f aca="false">IF(OR(M155="friction",M155="need",M155="workaround"),1,0)</f>
        <v>0</v>
      </c>
      <c r="O155" s="1" t="n">
        <f aca="false">IF(COUNTIFS($K$2:K155,K155,$L$2:L155,L155,$M$2:M155,M155,$J$2:J155,J155)=1,1,0)</f>
        <v>0</v>
      </c>
      <c r="P155" s="1" t="n">
        <f aca="false">IF(AND(N155=1,S155=1,COUNTIFS($L$2:L155,L155,$J$2:J155,J155,$N$2:N155,1,$S$2:S155,1)=1),1,0)</f>
        <v>0</v>
      </c>
      <c r="Q155" s="1" t="n">
        <f aca="false">IF(AND(N155=1,S155=1,COUNTIFS($L$2:L155,L155,$K$2:K155,K155,$N$2:N155,1,$S$2:S155,1)=1),1,0)</f>
        <v>0</v>
      </c>
      <c r="R155" s="1" t="n">
        <f aca="false">IF(AND(N155=1,COUNTIFS($K$2:K155,K155,$L$2:L155,L155,$J$2:J155,J155,$N$2:N155,1)=1),1,0)</f>
        <v>0</v>
      </c>
      <c r="S155" s="1" t="n">
        <f aca="false">IF(AND(K155&lt;&gt;"Context and provider model",K155&lt;&gt;"Motivation"),1,0)</f>
        <v>0</v>
      </c>
    </row>
    <row r="156" customFormat="false" ht="15" hidden="false" customHeight="true" outlineLevel="0" collapsed="false">
      <c r="J156" s="1" t="str">
        <f aca="false">'Raw Atomic Data (Pro)'!A156</f>
        <v>Erika</v>
      </c>
      <c r="K156" s="1" t="str">
        <f aca="false">'Raw Atomic Data (Pro)'!C156</f>
        <v>Motivation</v>
      </c>
      <c r="L156" s="1" t="str">
        <f aca="false">'Raw Atomic Data (Pro)'!D156</f>
        <v>motivation-emotional-connection</v>
      </c>
      <c r="M156" s="1" t="str">
        <f aca="false">'Raw Atomic Data (Pro)'!E156</f>
        <v>fact</v>
      </c>
      <c r="N156" s="1" t="n">
        <f aca="false">IF(OR(M156="friction",M156="need",M156="workaround"),1,0)</f>
        <v>0</v>
      </c>
      <c r="O156" s="1" t="n">
        <f aca="false">IF(COUNTIFS($K$2:K156,K156,$L$2:L156,L156,$M$2:M156,M156,$J$2:J156,J156)=1,1,0)</f>
        <v>1</v>
      </c>
      <c r="P156" s="1" t="n">
        <f aca="false">IF(AND(N156=1,S156=1,COUNTIFS($L$2:L156,L156,$J$2:J156,J156,$N$2:N156,1,$S$2:S156,1)=1),1,0)</f>
        <v>0</v>
      </c>
      <c r="Q156" s="1" t="n">
        <f aca="false">IF(AND(N156=1,S156=1,COUNTIFS($L$2:L156,L156,$K$2:K156,K156,$N$2:N156,1,$S$2:S156,1)=1),1,0)</f>
        <v>0</v>
      </c>
      <c r="R156" s="1" t="n">
        <f aca="false">IF(AND(N156=1,COUNTIFS($K$2:K156,K156,$L$2:L156,L156,$J$2:J156,J156,$N$2:N156,1)=1),1,0)</f>
        <v>0</v>
      </c>
      <c r="S156" s="1" t="n">
        <f aca="false">IF(AND(K156&lt;&gt;"Context and provider model",K156&lt;&gt;"Motivation"),1,0)</f>
        <v>0</v>
      </c>
    </row>
    <row r="157" customFormat="false" ht="15" hidden="false" customHeight="true" outlineLevel="0" collapsed="false">
      <c r="J157" s="1" t="str">
        <f aca="false">'Raw Atomic Data (Pro)'!A157</f>
        <v>Erika</v>
      </c>
      <c r="K157" s="1" t="str">
        <f aca="false">'Raw Atomic Data (Pro)'!C157</f>
        <v>Motivation</v>
      </c>
      <c r="L157" s="1" t="str">
        <f aca="false">'Raw Atomic Data (Pro)'!D157</f>
        <v>motivation-emotional-connection</v>
      </c>
      <c r="M157" s="1" t="str">
        <f aca="false">'Raw Atomic Data (Pro)'!E157</f>
        <v>need</v>
      </c>
      <c r="N157" s="1" t="n">
        <f aca="false">IF(OR(M157="friction",M157="need",M157="workaround"),1,0)</f>
        <v>1</v>
      </c>
      <c r="O157" s="1" t="n">
        <f aca="false">IF(COUNTIFS($K$2:K157,K157,$L$2:L157,L157,$M$2:M157,M157,$J$2:J157,J157)=1,1,0)</f>
        <v>1</v>
      </c>
      <c r="P157" s="1" t="n">
        <f aca="false">IF(AND(N157=1,S157=1,COUNTIFS($L$2:L157,L157,$J$2:J157,J157,$N$2:N157,1,$S$2:S157,1)=1),1,0)</f>
        <v>0</v>
      </c>
      <c r="Q157" s="1" t="n">
        <f aca="false">IF(AND(N157=1,S157=1,COUNTIFS($L$2:L157,L157,$K$2:K157,K157,$N$2:N157,1,$S$2:S157,1)=1),1,0)</f>
        <v>0</v>
      </c>
      <c r="R157" s="1" t="n">
        <f aca="false">IF(AND(N157=1,COUNTIFS($K$2:K157,K157,$L$2:L157,L157,$J$2:J157,J157,$N$2:N157,1)=1),1,0)</f>
        <v>1</v>
      </c>
      <c r="S157" s="1" t="n">
        <f aca="false">IF(AND(K157&lt;&gt;"Context and provider model",K157&lt;&gt;"Motivation"),1,0)</f>
        <v>0</v>
      </c>
    </row>
    <row r="158" customFormat="false" ht="15" hidden="false" customHeight="true" outlineLevel="0" collapsed="false">
      <c r="J158" s="1" t="str">
        <f aca="false">'Raw Atomic Data (Pro)'!A158</f>
        <v>Erika</v>
      </c>
      <c r="K158" s="1" t="str">
        <f aca="false">'Raw Atomic Data (Pro)'!C158</f>
        <v>Motivation</v>
      </c>
      <c r="L158" s="1" t="str">
        <f aca="false">'Raw Atomic Data (Pro)'!D158</f>
        <v>motivation-emotional-connection</v>
      </c>
      <c r="M158" s="1" t="str">
        <f aca="false">'Raw Atomic Data (Pro)'!E158</f>
        <v>value-statement</v>
      </c>
      <c r="N158" s="1" t="n">
        <f aca="false">IF(OR(M158="friction",M158="need",M158="workaround"),1,0)</f>
        <v>0</v>
      </c>
      <c r="O158" s="1" t="n">
        <f aca="false">IF(COUNTIFS($K$2:K158,K158,$L$2:L158,L158,$M$2:M158,M158,$J$2:J158,J158)=1,1,0)</f>
        <v>0</v>
      </c>
      <c r="P158" s="1" t="n">
        <f aca="false">IF(AND(N158=1,S158=1,COUNTIFS($L$2:L158,L158,$J$2:J158,J158,$N$2:N158,1,$S$2:S158,1)=1),1,0)</f>
        <v>0</v>
      </c>
      <c r="Q158" s="1" t="n">
        <f aca="false">IF(AND(N158=1,S158=1,COUNTIFS($L$2:L158,L158,$K$2:K158,K158,$N$2:N158,1,$S$2:S158,1)=1),1,0)</f>
        <v>0</v>
      </c>
      <c r="R158" s="1" t="n">
        <f aca="false">IF(AND(N158=1,COUNTIFS($K$2:K158,K158,$L$2:L158,L158,$J$2:J158,J158,$N$2:N158,1)=1),1,0)</f>
        <v>0</v>
      </c>
      <c r="S158" s="1" t="n">
        <f aca="false">IF(AND(K158&lt;&gt;"Context and provider model",K158&lt;&gt;"Motivation"),1,0)</f>
        <v>0</v>
      </c>
    </row>
    <row r="159" customFormat="false" ht="15" hidden="false" customHeight="true" outlineLevel="0" collapsed="false">
      <c r="J159" s="1" t="str">
        <f aca="false">'Raw Atomic Data (Pro)'!A159</f>
        <v>Erika</v>
      </c>
      <c r="K159" s="1" t="str">
        <f aca="false">'Raw Atomic Data (Pro)'!C159</f>
        <v>Motivation</v>
      </c>
      <c r="L159" s="1" t="str">
        <f aca="false">'Raw Atomic Data (Pro)'!D159</f>
        <v>motivation-emotional-connection</v>
      </c>
      <c r="M159" s="1" t="str">
        <f aca="false">'Raw Atomic Data (Pro)'!E159</f>
        <v>value-statement</v>
      </c>
      <c r="N159" s="1" t="n">
        <f aca="false">IF(OR(M159="friction",M159="need",M159="workaround"),1,0)</f>
        <v>0</v>
      </c>
      <c r="O159" s="1" t="n">
        <f aca="false">IF(COUNTIFS($K$2:K159,K159,$L$2:L159,L159,$M$2:M159,M159,$J$2:J159,J159)=1,1,0)</f>
        <v>0</v>
      </c>
      <c r="P159" s="1" t="n">
        <f aca="false">IF(AND(N159=1,S159=1,COUNTIFS($L$2:L159,L159,$J$2:J159,J159,$N$2:N159,1,$S$2:S159,1)=1),1,0)</f>
        <v>0</v>
      </c>
      <c r="Q159" s="1" t="n">
        <f aca="false">IF(AND(N159=1,S159=1,COUNTIFS($L$2:L159,L159,$K$2:K159,K159,$N$2:N159,1,$S$2:S159,1)=1),1,0)</f>
        <v>0</v>
      </c>
      <c r="R159" s="1" t="n">
        <f aca="false">IF(AND(N159=1,COUNTIFS($K$2:K159,K159,$L$2:L159,L159,$J$2:J159,J159,$N$2:N159,1)=1),1,0)</f>
        <v>0</v>
      </c>
      <c r="S159" s="1" t="n">
        <f aca="false">IF(AND(K159&lt;&gt;"Context and provider model",K159&lt;&gt;"Motivation"),1,0)</f>
        <v>0</v>
      </c>
    </row>
    <row r="160" customFormat="false" ht="15" hidden="false" customHeight="true" outlineLevel="0" collapsed="false">
      <c r="J160" s="1" t="str">
        <f aca="false">'Raw Atomic Data (Pro)'!A160</f>
        <v>Kristin</v>
      </c>
      <c r="K160" s="1" t="str">
        <f aca="false">'Raw Atomic Data (Pro)'!C160</f>
        <v>Motivation</v>
      </c>
      <c r="L160" s="1" t="str">
        <f aca="false">'Raw Atomic Data (Pro)'!D160</f>
        <v>motivation-emotional-connection</v>
      </c>
      <c r="M160" s="1" t="str">
        <f aca="false">'Raw Atomic Data (Pro)'!E160</f>
        <v>fact</v>
      </c>
      <c r="N160" s="1" t="n">
        <f aca="false">IF(OR(M160="friction",M160="need",M160="workaround"),1,0)</f>
        <v>0</v>
      </c>
      <c r="O160" s="1" t="n">
        <f aca="false">IF(COUNTIFS($K$2:K160,K160,$L$2:L160,L160,$M$2:M160,M160,$J$2:J160,J160)=1,1,0)</f>
        <v>1</v>
      </c>
      <c r="P160" s="1" t="n">
        <f aca="false">IF(AND(N160=1,S160=1,COUNTIFS($L$2:L160,L160,$J$2:J160,J160,$N$2:N160,1,$S$2:S160,1)=1),1,0)</f>
        <v>0</v>
      </c>
      <c r="Q160" s="1" t="n">
        <f aca="false">IF(AND(N160=1,S160=1,COUNTIFS($L$2:L160,L160,$K$2:K160,K160,$N$2:N160,1,$S$2:S160,1)=1),1,0)</f>
        <v>0</v>
      </c>
      <c r="R160" s="1" t="n">
        <f aca="false">IF(AND(N160=1,COUNTIFS($K$2:K160,K160,$L$2:L160,L160,$J$2:J160,J160,$N$2:N160,1)=1),1,0)</f>
        <v>0</v>
      </c>
      <c r="S160" s="1" t="n">
        <f aca="false">IF(AND(K160&lt;&gt;"Context and provider model",K160&lt;&gt;"Motivation"),1,0)</f>
        <v>0</v>
      </c>
    </row>
    <row r="161" customFormat="false" ht="15" hidden="false" customHeight="true" outlineLevel="0" collapsed="false">
      <c r="J161" s="1" t="str">
        <f aca="false">'Raw Atomic Data (Pro)'!A161</f>
        <v>Kristin</v>
      </c>
      <c r="K161" s="1" t="str">
        <f aca="false">'Raw Atomic Data (Pro)'!C161</f>
        <v>Motivation</v>
      </c>
      <c r="L161" s="1" t="str">
        <f aca="false">'Raw Atomic Data (Pro)'!D161</f>
        <v>onboarding-signup-process</v>
      </c>
      <c r="M161" s="1" t="str">
        <f aca="false">'Raw Atomic Data (Pro)'!E161</f>
        <v>fact</v>
      </c>
      <c r="N161" s="1" t="n">
        <f aca="false">IF(OR(M161="friction",M161="need",M161="workaround"),1,0)</f>
        <v>0</v>
      </c>
      <c r="O161" s="1" t="n">
        <f aca="false">IF(COUNTIFS($K$2:K161,K161,$L$2:L161,L161,$M$2:M161,M161,$J$2:J161,J161)=1,1,0)</f>
        <v>1</v>
      </c>
      <c r="P161" s="1" t="n">
        <f aca="false">IF(AND(N161=1,S161=1,COUNTIFS($L$2:L161,L161,$J$2:J161,J161,$N$2:N161,1,$S$2:S161,1)=1),1,0)</f>
        <v>0</v>
      </c>
      <c r="Q161" s="1" t="n">
        <f aca="false">IF(AND(N161=1,S161=1,COUNTIFS($L$2:L161,L161,$K$2:K161,K161,$N$2:N161,1,$S$2:S161,1)=1),1,0)</f>
        <v>0</v>
      </c>
      <c r="R161" s="1" t="n">
        <f aca="false">IF(AND(N161=1,COUNTIFS($K$2:K161,K161,$L$2:L161,L161,$J$2:J161,J161,$N$2:N161,1)=1),1,0)</f>
        <v>0</v>
      </c>
      <c r="S161" s="1" t="n">
        <f aca="false">IF(AND(K161&lt;&gt;"Context and provider model",K161&lt;&gt;"Motivation"),1,0)</f>
        <v>0</v>
      </c>
    </row>
    <row r="162" customFormat="false" ht="15" hidden="false" customHeight="true" outlineLevel="0" collapsed="false">
      <c r="J162" s="1" t="str">
        <f aca="false">'Raw Atomic Data (Pro)'!A162</f>
        <v>Kristin</v>
      </c>
      <c r="K162" s="1" t="str">
        <f aca="false">'Raw Atomic Data (Pro)'!C162</f>
        <v>Motivation</v>
      </c>
      <c r="L162" s="1" t="str">
        <f aca="false">'Raw Atomic Data (Pro)'!D162</f>
        <v>motivation-emotional-connection</v>
      </c>
      <c r="M162" s="1" t="str">
        <f aca="false">'Raw Atomic Data (Pro)'!E162</f>
        <v>value-statement</v>
      </c>
      <c r="N162" s="1" t="n">
        <f aca="false">IF(OR(M162="friction",M162="need",M162="workaround"),1,0)</f>
        <v>0</v>
      </c>
      <c r="O162" s="1" t="n">
        <f aca="false">IF(COUNTIFS($K$2:K162,K162,$L$2:L162,L162,$M$2:M162,M162,$J$2:J162,J162)=1,1,0)</f>
        <v>1</v>
      </c>
      <c r="P162" s="1" t="n">
        <f aca="false">IF(AND(N162=1,S162=1,COUNTIFS($L$2:L162,L162,$J$2:J162,J162,$N$2:N162,1,$S$2:S162,1)=1),1,0)</f>
        <v>0</v>
      </c>
      <c r="Q162" s="1" t="n">
        <f aca="false">IF(AND(N162=1,S162=1,COUNTIFS($L$2:L162,L162,$K$2:K162,K162,$N$2:N162,1,$S$2:S162,1)=1),1,0)</f>
        <v>0</v>
      </c>
      <c r="R162" s="1" t="n">
        <f aca="false">IF(AND(N162=1,COUNTIFS($K$2:K162,K162,$L$2:L162,L162,$J$2:J162,J162,$N$2:N162,1)=1),1,0)</f>
        <v>0</v>
      </c>
      <c r="S162" s="1" t="n">
        <f aca="false">IF(AND(K162&lt;&gt;"Context and provider model",K162&lt;&gt;"Motivation"),1,0)</f>
        <v>0</v>
      </c>
    </row>
    <row r="163" customFormat="false" ht="15" hidden="false" customHeight="true" outlineLevel="0" collapsed="false">
      <c r="J163" s="1" t="str">
        <f aca="false">'Raw Atomic Data (Pro)'!A163</f>
        <v>Kristin</v>
      </c>
      <c r="K163" s="1" t="str">
        <f aca="false">'Raw Atomic Data (Pro)'!C163</f>
        <v>Motivation</v>
      </c>
      <c r="L163" s="1" t="str">
        <f aca="false">'Raw Atomic Data (Pro)'!D163</f>
        <v>motivation-emotional-connection</v>
      </c>
      <c r="M163" s="1" t="str">
        <f aca="false">'Raw Atomic Data (Pro)'!E163</f>
        <v>value-statement</v>
      </c>
      <c r="N163" s="1" t="n">
        <f aca="false">IF(OR(M163="friction",M163="need",M163="workaround"),1,0)</f>
        <v>0</v>
      </c>
      <c r="O163" s="1" t="n">
        <f aca="false">IF(COUNTIFS($K$2:K163,K163,$L$2:L163,L163,$M$2:M163,M163,$J$2:J163,J163)=1,1,0)</f>
        <v>0</v>
      </c>
      <c r="P163" s="1" t="n">
        <f aca="false">IF(AND(N163=1,S163=1,COUNTIFS($L$2:L163,L163,$J$2:J163,J163,$N$2:N163,1,$S$2:S163,1)=1),1,0)</f>
        <v>0</v>
      </c>
      <c r="Q163" s="1" t="n">
        <f aca="false">IF(AND(N163=1,S163=1,COUNTIFS($L$2:L163,L163,$K$2:K163,K163,$N$2:N163,1,$S$2:S163,1)=1),1,0)</f>
        <v>0</v>
      </c>
      <c r="R163" s="1" t="n">
        <f aca="false">IF(AND(N163=1,COUNTIFS($K$2:K163,K163,$L$2:L163,L163,$J$2:J163,J163,$N$2:N163,1)=1),1,0)</f>
        <v>0</v>
      </c>
      <c r="S163" s="1" t="n">
        <f aca="false">IF(AND(K163&lt;&gt;"Context and provider model",K163&lt;&gt;"Motivation"),1,0)</f>
        <v>0</v>
      </c>
    </row>
    <row r="164" customFormat="false" ht="15" hidden="false" customHeight="true" outlineLevel="0" collapsed="false">
      <c r="J164" s="1" t="str">
        <f aca="false">'Raw Atomic Data (Pro)'!A164</f>
        <v>Kristin</v>
      </c>
      <c r="K164" s="1" t="str">
        <f aca="false">'Raw Atomic Data (Pro)'!C164</f>
        <v>Motivation</v>
      </c>
      <c r="L164" s="1" t="str">
        <f aca="false">'Raw Atomic Data (Pro)'!D164</f>
        <v>motivation-emotional-connection</v>
      </c>
      <c r="M164" s="1" t="str">
        <f aca="false">'Raw Atomic Data (Pro)'!E164</f>
        <v>value-statement</v>
      </c>
      <c r="N164" s="1" t="n">
        <f aca="false">IF(OR(M164="friction",M164="need",M164="workaround"),1,0)</f>
        <v>0</v>
      </c>
      <c r="O164" s="1" t="n">
        <f aca="false">IF(COUNTIFS($K$2:K164,K164,$L$2:L164,L164,$M$2:M164,M164,$J$2:J164,J164)=1,1,0)</f>
        <v>0</v>
      </c>
      <c r="P164" s="1" t="n">
        <f aca="false">IF(AND(N164=1,S164=1,COUNTIFS($L$2:L164,L164,$J$2:J164,J164,$N$2:N164,1,$S$2:S164,1)=1),1,0)</f>
        <v>0</v>
      </c>
      <c r="Q164" s="1" t="n">
        <f aca="false">IF(AND(N164=1,S164=1,COUNTIFS($L$2:L164,L164,$K$2:K164,K164,$N$2:N164,1,$S$2:S164,1)=1),1,0)</f>
        <v>0</v>
      </c>
      <c r="R164" s="1" t="n">
        <f aca="false">IF(AND(N164=1,COUNTIFS($K$2:K164,K164,$L$2:L164,L164,$J$2:J164,J164,$N$2:N164,1)=1),1,0)</f>
        <v>0</v>
      </c>
      <c r="S164" s="1" t="n">
        <f aca="false">IF(AND(K164&lt;&gt;"Context and provider model",K164&lt;&gt;"Motivation"),1,0)</f>
        <v>0</v>
      </c>
    </row>
    <row r="165" customFormat="false" ht="15" hidden="false" customHeight="true" outlineLevel="0" collapsed="false">
      <c r="J165" s="1" t="str">
        <f aca="false">'Raw Atomic Data (Pro)'!A165</f>
        <v>Naomi</v>
      </c>
      <c r="K165" s="1" t="str">
        <f aca="false">'Raw Atomic Data (Pro)'!C165</f>
        <v>Motivation</v>
      </c>
      <c r="L165" s="1" t="str">
        <f aca="false">'Raw Atomic Data (Pro)'!D165</f>
        <v>motivation-emotional-connection</v>
      </c>
      <c r="M165" s="1" t="str">
        <f aca="false">'Raw Atomic Data (Pro)'!E165</f>
        <v>fact</v>
      </c>
      <c r="N165" s="1" t="n">
        <f aca="false">IF(OR(M165="friction",M165="need",M165="workaround"),1,0)</f>
        <v>0</v>
      </c>
      <c r="O165" s="1" t="n">
        <f aca="false">IF(COUNTIFS($K$2:K165,K165,$L$2:L165,L165,$M$2:M165,M165,$J$2:J165,J165)=1,1,0)</f>
        <v>1</v>
      </c>
      <c r="P165" s="1" t="n">
        <f aca="false">IF(AND(N165=1,S165=1,COUNTIFS($L$2:L165,L165,$J$2:J165,J165,$N$2:N165,1,$S$2:S165,1)=1),1,0)</f>
        <v>0</v>
      </c>
      <c r="Q165" s="1" t="n">
        <f aca="false">IF(AND(N165=1,S165=1,COUNTIFS($L$2:L165,L165,$K$2:K165,K165,$N$2:N165,1,$S$2:S165,1)=1),1,0)</f>
        <v>0</v>
      </c>
      <c r="R165" s="1" t="n">
        <f aca="false">IF(AND(N165=1,COUNTIFS($K$2:K165,K165,$L$2:L165,L165,$J$2:J165,J165,$N$2:N165,1)=1),1,0)</f>
        <v>0</v>
      </c>
      <c r="S165" s="1" t="n">
        <f aca="false">IF(AND(K165&lt;&gt;"Context and provider model",K165&lt;&gt;"Motivation"),1,0)</f>
        <v>0</v>
      </c>
    </row>
    <row r="166" customFormat="false" ht="15" hidden="false" customHeight="true" outlineLevel="0" collapsed="false">
      <c r="J166" s="1" t="str">
        <f aca="false">'Raw Atomic Data (Pro)'!A166</f>
        <v>Naomi</v>
      </c>
      <c r="K166" s="1" t="str">
        <f aca="false">'Raw Atomic Data (Pro)'!C166</f>
        <v>Motivation</v>
      </c>
      <c r="L166" s="1" t="str">
        <f aca="false">'Raw Atomic Data (Pro)'!D166</f>
        <v>business-model-fit</v>
      </c>
      <c r="M166" s="1" t="str">
        <f aca="false">'Raw Atomic Data (Pro)'!E166</f>
        <v>fact</v>
      </c>
      <c r="N166" s="1" t="n">
        <f aca="false">IF(OR(M166="friction",M166="need",M166="workaround"),1,0)</f>
        <v>0</v>
      </c>
      <c r="O166" s="1" t="n">
        <f aca="false">IF(COUNTIFS($K$2:K166,K166,$L$2:L166,L166,$M$2:M166,M166,$J$2:J166,J166)=1,1,0)</f>
        <v>1</v>
      </c>
      <c r="P166" s="1" t="n">
        <f aca="false">IF(AND(N166=1,S166=1,COUNTIFS($L$2:L166,L166,$J$2:J166,J166,$N$2:N166,1,$S$2:S166,1)=1),1,0)</f>
        <v>0</v>
      </c>
      <c r="Q166" s="1" t="n">
        <f aca="false">IF(AND(N166=1,S166=1,COUNTIFS($L$2:L166,L166,$K$2:K166,K166,$N$2:N166,1,$S$2:S166,1)=1),1,0)</f>
        <v>0</v>
      </c>
      <c r="R166" s="1" t="n">
        <f aca="false">IF(AND(N166=1,COUNTIFS($K$2:K166,K166,$L$2:L166,L166,$J$2:J166,J166,$N$2:N166,1)=1),1,0)</f>
        <v>0</v>
      </c>
      <c r="S166" s="1" t="n">
        <f aca="false">IF(AND(K166&lt;&gt;"Context and provider model",K166&lt;&gt;"Motivation"),1,0)</f>
        <v>0</v>
      </c>
    </row>
    <row r="167" customFormat="false" ht="15" hidden="false" customHeight="true" outlineLevel="0" collapsed="false">
      <c r="J167" s="1" t="str">
        <f aca="false">'Raw Atomic Data (Pro)'!A167</f>
        <v>Naomi</v>
      </c>
      <c r="K167" s="1" t="str">
        <f aca="false">'Raw Atomic Data (Pro)'!C167</f>
        <v>Motivation</v>
      </c>
      <c r="L167" s="1" t="str">
        <f aca="false">'Raw Atomic Data (Pro)'!D167</f>
        <v>business-model-fit</v>
      </c>
      <c r="M167" s="1" t="str">
        <f aca="false">'Raw Atomic Data (Pro)'!E167</f>
        <v>fact</v>
      </c>
      <c r="N167" s="1" t="n">
        <f aca="false">IF(OR(M167="friction",M167="need",M167="workaround"),1,0)</f>
        <v>0</v>
      </c>
      <c r="O167" s="1" t="n">
        <f aca="false">IF(COUNTIFS($K$2:K167,K167,$L$2:L167,L167,$M$2:M167,M167,$J$2:J167,J167)=1,1,0)</f>
        <v>0</v>
      </c>
      <c r="P167" s="1" t="n">
        <f aca="false">IF(AND(N167=1,S167=1,COUNTIFS($L$2:L167,L167,$J$2:J167,J167,$N$2:N167,1,$S$2:S167,1)=1),1,0)</f>
        <v>0</v>
      </c>
      <c r="Q167" s="1" t="n">
        <f aca="false">IF(AND(N167=1,S167=1,COUNTIFS($L$2:L167,L167,$K$2:K167,K167,$N$2:N167,1,$S$2:S167,1)=1),1,0)</f>
        <v>0</v>
      </c>
      <c r="R167" s="1" t="n">
        <f aca="false">IF(AND(N167=1,COUNTIFS($K$2:K167,K167,$L$2:L167,L167,$J$2:J167,J167,$N$2:N167,1)=1),1,0)</f>
        <v>0</v>
      </c>
      <c r="S167" s="1" t="n">
        <f aca="false">IF(AND(K167&lt;&gt;"Context and provider model",K167&lt;&gt;"Motivation"),1,0)</f>
        <v>0</v>
      </c>
    </row>
    <row r="168" customFormat="false" ht="15" hidden="false" customHeight="true" outlineLevel="0" collapsed="false">
      <c r="J168" s="1" t="str">
        <f aca="false">'Raw Atomic Data (Pro)'!A168</f>
        <v>Naomi</v>
      </c>
      <c r="K168" s="1" t="str">
        <f aca="false">'Raw Atomic Data (Pro)'!C168</f>
        <v>Motivation</v>
      </c>
      <c r="L168" s="1" t="str">
        <f aca="false">'Raw Atomic Data (Pro)'!D168</f>
        <v>motivation-emotional-connection</v>
      </c>
      <c r="M168" s="1" t="str">
        <f aca="false">'Raw Atomic Data (Pro)'!E168</f>
        <v>fact</v>
      </c>
      <c r="N168" s="1" t="n">
        <f aca="false">IF(OR(M168="friction",M168="need",M168="workaround"),1,0)</f>
        <v>0</v>
      </c>
      <c r="O168" s="1" t="n">
        <f aca="false">IF(COUNTIFS($K$2:K168,K168,$L$2:L168,L168,$M$2:M168,M168,$J$2:J168,J168)=1,1,0)</f>
        <v>0</v>
      </c>
      <c r="P168" s="1" t="n">
        <f aca="false">IF(AND(N168=1,S168=1,COUNTIFS($L$2:L168,L168,$J$2:J168,J168,$N$2:N168,1,$S$2:S168,1)=1),1,0)</f>
        <v>0</v>
      </c>
      <c r="Q168" s="1" t="n">
        <f aca="false">IF(AND(N168=1,S168=1,COUNTIFS($L$2:L168,L168,$K$2:K168,K168,$N$2:N168,1,$S$2:S168,1)=1),1,0)</f>
        <v>0</v>
      </c>
      <c r="R168" s="1" t="n">
        <f aca="false">IF(AND(N168=1,COUNTIFS($K$2:K168,K168,$L$2:L168,L168,$J$2:J168,J168,$N$2:N168,1)=1),1,0)</f>
        <v>0</v>
      </c>
      <c r="S168" s="1" t="n">
        <f aca="false">IF(AND(K168&lt;&gt;"Context and provider model",K168&lt;&gt;"Motivation"),1,0)</f>
        <v>0</v>
      </c>
    </row>
    <row r="169" customFormat="false" ht="15" hidden="false" customHeight="true" outlineLevel="0" collapsed="false">
      <c r="J169" s="1" t="str">
        <f aca="false">'Raw Atomic Data (Pro)'!A169</f>
        <v>Naomi</v>
      </c>
      <c r="K169" s="1" t="str">
        <f aca="false">'Raw Atomic Data (Pro)'!C169</f>
        <v>Motivation</v>
      </c>
      <c r="L169" s="1" t="str">
        <f aca="false">'Raw Atomic Data (Pro)'!D169</f>
        <v>motivation-emotional-connection</v>
      </c>
      <c r="M169" s="1" t="str">
        <f aca="false">'Raw Atomic Data (Pro)'!E169</f>
        <v>value-statement</v>
      </c>
      <c r="N169" s="1" t="n">
        <f aca="false">IF(OR(M169="friction",M169="need",M169="workaround"),1,0)</f>
        <v>0</v>
      </c>
      <c r="O169" s="1" t="n">
        <f aca="false">IF(COUNTIFS($K$2:K169,K169,$L$2:L169,L169,$M$2:M169,M169,$J$2:J169,J169)=1,1,0)</f>
        <v>1</v>
      </c>
      <c r="P169" s="1" t="n">
        <f aca="false">IF(AND(N169=1,S169=1,COUNTIFS($L$2:L169,L169,$J$2:J169,J169,$N$2:N169,1,$S$2:S169,1)=1),1,0)</f>
        <v>0</v>
      </c>
      <c r="Q169" s="1" t="n">
        <f aca="false">IF(AND(N169=1,S169=1,COUNTIFS($L$2:L169,L169,$K$2:K169,K169,$N$2:N169,1,$S$2:S169,1)=1),1,0)</f>
        <v>0</v>
      </c>
      <c r="R169" s="1" t="n">
        <f aca="false">IF(AND(N169=1,COUNTIFS($K$2:K169,K169,$L$2:L169,L169,$J$2:J169,J169,$N$2:N169,1)=1),1,0)</f>
        <v>0</v>
      </c>
      <c r="S169" s="1" t="n">
        <f aca="false">IF(AND(K169&lt;&gt;"Context and provider model",K169&lt;&gt;"Motivation"),1,0)</f>
        <v>0</v>
      </c>
    </row>
    <row r="170" customFormat="false" ht="15" hidden="false" customHeight="true" outlineLevel="0" collapsed="false">
      <c r="J170" s="1" t="str">
        <f aca="false">'Raw Atomic Data (Pro)'!A170</f>
        <v>Shania</v>
      </c>
      <c r="K170" s="1" t="str">
        <f aca="false">'Raw Atomic Data (Pro)'!C170</f>
        <v>Motivation</v>
      </c>
      <c r="L170" s="1" t="str">
        <f aca="false">'Raw Atomic Data (Pro)'!D170</f>
        <v>motivation-emotional-connection</v>
      </c>
      <c r="M170" s="1" t="str">
        <f aca="false">'Raw Atomic Data (Pro)'!E170</f>
        <v>value-statement</v>
      </c>
      <c r="N170" s="1" t="n">
        <f aca="false">IF(OR(M170="friction",M170="need",M170="workaround"),1,0)</f>
        <v>0</v>
      </c>
      <c r="O170" s="1" t="n">
        <f aca="false">IF(COUNTIFS($K$2:K170,K170,$L$2:L170,L170,$M$2:M170,M170,$J$2:J170,J170)=1,1,0)</f>
        <v>1</v>
      </c>
      <c r="P170" s="1" t="n">
        <f aca="false">IF(AND(N170=1,S170=1,COUNTIFS($L$2:L170,L170,$J$2:J170,J170,$N$2:N170,1,$S$2:S170,1)=1),1,0)</f>
        <v>0</v>
      </c>
      <c r="Q170" s="1" t="n">
        <f aca="false">IF(AND(N170=1,S170=1,COUNTIFS($L$2:L170,L170,$K$2:K170,K170,$N$2:N170,1,$S$2:S170,1)=1),1,0)</f>
        <v>0</v>
      </c>
      <c r="R170" s="1" t="n">
        <f aca="false">IF(AND(N170=1,COUNTIFS($K$2:K170,K170,$L$2:L170,L170,$J$2:J170,J170,$N$2:N170,1)=1),1,0)</f>
        <v>0</v>
      </c>
      <c r="S170" s="1" t="n">
        <f aca="false">IF(AND(K170&lt;&gt;"Context and provider model",K170&lt;&gt;"Motivation"),1,0)</f>
        <v>0</v>
      </c>
    </row>
    <row r="171" customFormat="false" ht="15" hidden="false" customHeight="true" outlineLevel="0" collapsed="false">
      <c r="J171" s="1" t="str">
        <f aca="false">'Raw Atomic Data (Pro)'!A171</f>
        <v>Shania</v>
      </c>
      <c r="K171" s="1" t="str">
        <f aca="false">'Raw Atomic Data (Pro)'!C171</f>
        <v>Motivation</v>
      </c>
      <c r="L171" s="1" t="str">
        <f aca="false">'Raw Atomic Data (Pro)'!D171</f>
        <v>motivation-emotional-connection</v>
      </c>
      <c r="M171" s="1" t="str">
        <f aca="false">'Raw Atomic Data (Pro)'!E171</f>
        <v>value-statement</v>
      </c>
      <c r="N171" s="1" t="n">
        <f aca="false">IF(OR(M171="friction",M171="need",M171="workaround"),1,0)</f>
        <v>0</v>
      </c>
      <c r="O171" s="1" t="n">
        <f aca="false">IF(COUNTIFS($K$2:K171,K171,$L$2:L171,L171,$M$2:M171,M171,$J$2:J171,J171)=1,1,0)</f>
        <v>0</v>
      </c>
      <c r="P171" s="1" t="n">
        <f aca="false">IF(AND(N171=1,S171=1,COUNTIFS($L$2:L171,L171,$J$2:J171,J171,$N$2:N171,1,$S$2:S171,1)=1),1,0)</f>
        <v>0</v>
      </c>
      <c r="Q171" s="1" t="n">
        <f aca="false">IF(AND(N171=1,S171=1,COUNTIFS($L$2:L171,L171,$K$2:K171,K171,$N$2:N171,1,$S$2:S171,1)=1),1,0)</f>
        <v>0</v>
      </c>
      <c r="R171" s="1" t="n">
        <f aca="false">IF(AND(N171=1,COUNTIFS($K$2:K171,K171,$L$2:L171,L171,$J$2:J171,J171,$N$2:N171,1)=1),1,0)</f>
        <v>0</v>
      </c>
      <c r="S171" s="1" t="n">
        <f aca="false">IF(AND(K171&lt;&gt;"Context and provider model",K171&lt;&gt;"Motivation"),1,0)</f>
        <v>0</v>
      </c>
    </row>
    <row r="172" customFormat="false" ht="15" hidden="false" customHeight="true" outlineLevel="0" collapsed="false">
      <c r="J172" s="1" t="str">
        <f aca="false">'Raw Atomic Data (Pro)'!A172</f>
        <v>Shania</v>
      </c>
      <c r="K172" s="1" t="str">
        <f aca="false">'Raw Atomic Data (Pro)'!C172</f>
        <v>Motivation</v>
      </c>
      <c r="L172" s="1" t="str">
        <f aca="false">'Raw Atomic Data (Pro)'!D172</f>
        <v>motivation-emotional-connection</v>
      </c>
      <c r="M172" s="1" t="str">
        <f aca="false">'Raw Atomic Data (Pro)'!E172</f>
        <v>fact</v>
      </c>
      <c r="N172" s="1" t="n">
        <f aca="false">IF(OR(M172="friction",M172="need",M172="workaround"),1,0)</f>
        <v>0</v>
      </c>
      <c r="O172" s="1" t="n">
        <f aca="false">IF(COUNTIFS($K$2:K172,K172,$L$2:L172,L172,$M$2:M172,M172,$J$2:J172,J172)=1,1,0)</f>
        <v>1</v>
      </c>
      <c r="P172" s="1" t="n">
        <f aca="false">IF(AND(N172=1,S172=1,COUNTIFS($L$2:L172,L172,$J$2:J172,J172,$N$2:N172,1,$S$2:S172,1)=1),1,0)</f>
        <v>0</v>
      </c>
      <c r="Q172" s="1" t="n">
        <f aca="false">IF(AND(N172=1,S172=1,COUNTIFS($L$2:L172,L172,$K$2:K172,K172,$N$2:N172,1,$S$2:S172,1)=1),1,0)</f>
        <v>0</v>
      </c>
      <c r="R172" s="1" t="n">
        <f aca="false">IF(AND(N172=1,COUNTIFS($K$2:K172,K172,$L$2:L172,L172,$J$2:J172,J172,$N$2:N172,1)=1),1,0)</f>
        <v>0</v>
      </c>
      <c r="S172" s="1" t="n">
        <f aca="false">IF(AND(K172&lt;&gt;"Context and provider model",K172&lt;&gt;"Motivation"),1,0)</f>
        <v>0</v>
      </c>
    </row>
    <row r="173" customFormat="false" ht="15" hidden="false" customHeight="true" outlineLevel="0" collapsed="false">
      <c r="J173" s="1" t="str">
        <f aca="false">'Raw Atomic Data (Pro)'!A173</f>
        <v>Shania</v>
      </c>
      <c r="K173" s="1" t="str">
        <f aca="false">'Raw Atomic Data (Pro)'!C173</f>
        <v>Motivation</v>
      </c>
      <c r="L173" s="1" t="str">
        <f aca="false">'Raw Atomic Data (Pro)'!D173</f>
        <v>motivation-emotional-connection</v>
      </c>
      <c r="M173" s="1" t="str">
        <f aca="false">'Raw Atomic Data (Pro)'!E173</f>
        <v>fact</v>
      </c>
      <c r="N173" s="1" t="n">
        <f aca="false">IF(OR(M173="friction",M173="need",M173="workaround"),1,0)</f>
        <v>0</v>
      </c>
      <c r="O173" s="1" t="n">
        <f aca="false">IF(COUNTIFS($K$2:K173,K173,$L$2:L173,L173,$M$2:M173,M173,$J$2:J173,J173)=1,1,0)</f>
        <v>0</v>
      </c>
      <c r="P173" s="1" t="n">
        <f aca="false">IF(AND(N173=1,S173=1,COUNTIFS($L$2:L173,L173,$J$2:J173,J173,$N$2:N173,1,$S$2:S173,1)=1),1,0)</f>
        <v>0</v>
      </c>
      <c r="Q173" s="1" t="n">
        <f aca="false">IF(AND(N173=1,S173=1,COUNTIFS($L$2:L173,L173,$K$2:K173,K173,$N$2:N173,1,$S$2:S173,1)=1),1,0)</f>
        <v>0</v>
      </c>
      <c r="R173" s="1" t="n">
        <f aca="false">IF(AND(N173=1,COUNTIFS($K$2:K173,K173,$L$2:L173,L173,$J$2:J173,J173,$N$2:N173,1)=1),1,0)</f>
        <v>0</v>
      </c>
      <c r="S173" s="1" t="n">
        <f aca="false">IF(AND(K173&lt;&gt;"Context and provider model",K173&lt;&gt;"Motivation"),1,0)</f>
        <v>0</v>
      </c>
    </row>
    <row r="174" customFormat="false" ht="15" hidden="false" customHeight="true" outlineLevel="0" collapsed="false">
      <c r="J174" s="1" t="str">
        <f aca="false">'Raw Atomic Data (Pro)'!A174</f>
        <v>Shania</v>
      </c>
      <c r="K174" s="1" t="str">
        <f aca="false">'Raw Atomic Data (Pro)'!C174</f>
        <v>Motivation</v>
      </c>
      <c r="L174" s="1" t="str">
        <f aca="false">'Raw Atomic Data (Pro)'!D174</f>
        <v>motivation-emotional-connection</v>
      </c>
      <c r="M174" s="1" t="str">
        <f aca="false">'Raw Atomic Data (Pro)'!E174</f>
        <v>value-statement</v>
      </c>
      <c r="N174" s="1" t="n">
        <f aca="false">IF(OR(M174="friction",M174="need",M174="workaround"),1,0)</f>
        <v>0</v>
      </c>
      <c r="O174" s="1" t="n">
        <f aca="false">IF(COUNTIFS($K$2:K174,K174,$L$2:L174,L174,$M$2:M174,M174,$J$2:J174,J174)=1,1,0)</f>
        <v>0</v>
      </c>
      <c r="P174" s="1" t="n">
        <f aca="false">IF(AND(N174=1,S174=1,COUNTIFS($L$2:L174,L174,$J$2:J174,J174,$N$2:N174,1,$S$2:S174,1)=1),1,0)</f>
        <v>0</v>
      </c>
      <c r="Q174" s="1" t="n">
        <f aca="false">IF(AND(N174=1,S174=1,COUNTIFS($L$2:L174,L174,$K$2:K174,K174,$N$2:N174,1,$S$2:S174,1)=1),1,0)</f>
        <v>0</v>
      </c>
      <c r="R174" s="1" t="n">
        <f aca="false">IF(AND(N174=1,COUNTIFS($K$2:K174,K174,$L$2:L174,L174,$J$2:J174,J174,$N$2:N174,1)=1),1,0)</f>
        <v>0</v>
      </c>
      <c r="S174" s="1" t="n">
        <f aca="false">IF(AND(K174&lt;&gt;"Context and provider model",K174&lt;&gt;"Motivation"),1,0)</f>
        <v>0</v>
      </c>
    </row>
    <row r="175" customFormat="false" ht="15" hidden="false" customHeight="true" outlineLevel="0" collapsed="false">
      <c r="J175" s="1" t="str">
        <f aca="false">'Raw Atomic Data (Pro)'!A175</f>
        <v>Tianrui</v>
      </c>
      <c r="K175" s="1" t="str">
        <f aca="false">'Raw Atomic Data (Pro)'!C175</f>
        <v>Motivation</v>
      </c>
      <c r="L175" s="1" t="str">
        <f aca="false">'Raw Atomic Data (Pro)'!D175</f>
        <v>business-model-fit</v>
      </c>
      <c r="M175" s="1" t="str">
        <f aca="false">'Raw Atomic Data (Pro)'!E175</f>
        <v>fact</v>
      </c>
      <c r="N175" s="1" t="n">
        <f aca="false">IF(OR(M175="friction",M175="need",M175="workaround"),1,0)</f>
        <v>0</v>
      </c>
      <c r="O175" s="1" t="n">
        <f aca="false">IF(COUNTIFS($K$2:K175,K175,$L$2:L175,L175,$M$2:M175,M175,$J$2:J175,J175)=1,1,0)</f>
        <v>1</v>
      </c>
      <c r="P175" s="1" t="n">
        <f aca="false">IF(AND(N175=1,S175=1,COUNTIFS($L$2:L175,L175,$J$2:J175,J175,$N$2:N175,1,$S$2:S175,1)=1),1,0)</f>
        <v>0</v>
      </c>
      <c r="Q175" s="1" t="n">
        <f aca="false">IF(AND(N175=1,S175=1,COUNTIFS($L$2:L175,L175,$K$2:K175,K175,$N$2:N175,1,$S$2:S175,1)=1),1,0)</f>
        <v>0</v>
      </c>
      <c r="R175" s="1" t="n">
        <f aca="false">IF(AND(N175=1,COUNTIFS($K$2:K175,K175,$L$2:L175,L175,$J$2:J175,J175,$N$2:N175,1)=1),1,0)</f>
        <v>0</v>
      </c>
      <c r="S175" s="1" t="n">
        <f aca="false">IF(AND(K175&lt;&gt;"Context and provider model",K175&lt;&gt;"Motivation"),1,0)</f>
        <v>0</v>
      </c>
    </row>
    <row r="176" customFormat="false" ht="15" hidden="false" customHeight="true" outlineLevel="0" collapsed="false">
      <c r="J176" s="1" t="str">
        <f aca="false">'Raw Atomic Data (Pro)'!A176</f>
        <v>Tianrui</v>
      </c>
      <c r="K176" s="1" t="str">
        <f aca="false">'Raw Atomic Data (Pro)'!C176</f>
        <v>Motivation</v>
      </c>
      <c r="L176" s="1" t="str">
        <f aca="false">'Raw Atomic Data (Pro)'!D176</f>
        <v>motivation-emotional-connection</v>
      </c>
      <c r="M176" s="1" t="str">
        <f aca="false">'Raw Atomic Data (Pro)'!E176</f>
        <v>fact</v>
      </c>
      <c r="N176" s="1" t="n">
        <f aca="false">IF(OR(M176="friction",M176="need",M176="workaround"),1,0)</f>
        <v>0</v>
      </c>
      <c r="O176" s="1" t="n">
        <f aca="false">IF(COUNTIFS($K$2:K176,K176,$L$2:L176,L176,$M$2:M176,M176,$J$2:J176,J176)=1,1,0)</f>
        <v>1</v>
      </c>
      <c r="P176" s="1" t="n">
        <f aca="false">IF(AND(N176=1,S176=1,COUNTIFS($L$2:L176,L176,$J$2:J176,J176,$N$2:N176,1,$S$2:S176,1)=1),1,0)</f>
        <v>0</v>
      </c>
      <c r="Q176" s="1" t="n">
        <f aca="false">IF(AND(N176=1,S176=1,COUNTIFS($L$2:L176,L176,$K$2:K176,K176,$N$2:N176,1,$S$2:S176,1)=1),1,0)</f>
        <v>0</v>
      </c>
      <c r="R176" s="1" t="n">
        <f aca="false">IF(AND(N176=1,COUNTIFS($K$2:K176,K176,$L$2:L176,L176,$J$2:J176,J176,$N$2:N176,1)=1),1,0)</f>
        <v>0</v>
      </c>
      <c r="S176" s="1" t="n">
        <f aca="false">IF(AND(K176&lt;&gt;"Context and provider model",K176&lt;&gt;"Motivation"),1,0)</f>
        <v>0</v>
      </c>
    </row>
    <row r="177" customFormat="false" ht="15" hidden="false" customHeight="true" outlineLevel="0" collapsed="false">
      <c r="J177" s="1" t="str">
        <f aca="false">'Raw Atomic Data (Pro)'!A177</f>
        <v>Tianrui</v>
      </c>
      <c r="K177" s="1" t="str">
        <f aca="false">'Raw Atomic Data (Pro)'!C177</f>
        <v>Motivation</v>
      </c>
      <c r="L177" s="1" t="str">
        <f aca="false">'Raw Atomic Data (Pro)'!D177</f>
        <v>motivation-emotional-connection</v>
      </c>
      <c r="M177" s="1" t="str">
        <f aca="false">'Raw Atomic Data (Pro)'!E177</f>
        <v>value-statement</v>
      </c>
      <c r="N177" s="1" t="n">
        <f aca="false">IF(OR(M177="friction",M177="need",M177="workaround"),1,0)</f>
        <v>0</v>
      </c>
      <c r="O177" s="1" t="n">
        <f aca="false">IF(COUNTIFS($K$2:K177,K177,$L$2:L177,L177,$M$2:M177,M177,$J$2:J177,J177)=1,1,0)</f>
        <v>1</v>
      </c>
      <c r="P177" s="1" t="n">
        <f aca="false">IF(AND(N177=1,S177=1,COUNTIFS($L$2:L177,L177,$J$2:J177,J177,$N$2:N177,1,$S$2:S177,1)=1),1,0)</f>
        <v>0</v>
      </c>
      <c r="Q177" s="1" t="n">
        <f aca="false">IF(AND(N177=1,S177=1,COUNTIFS($L$2:L177,L177,$K$2:K177,K177,$N$2:N177,1,$S$2:S177,1)=1),1,0)</f>
        <v>0</v>
      </c>
      <c r="R177" s="1" t="n">
        <f aca="false">IF(AND(N177=1,COUNTIFS($K$2:K177,K177,$L$2:L177,L177,$J$2:J177,J177,$N$2:N177,1)=1),1,0)</f>
        <v>0</v>
      </c>
      <c r="S177" s="1" t="n">
        <f aca="false">IF(AND(K177&lt;&gt;"Context and provider model",K177&lt;&gt;"Motivation"),1,0)</f>
        <v>0</v>
      </c>
    </row>
    <row r="178" customFormat="false" ht="15" hidden="false" customHeight="true" outlineLevel="0" collapsed="false">
      <c r="J178" s="1" t="str">
        <f aca="false">'Raw Atomic Data (Pro)'!A178</f>
        <v>Tianrui</v>
      </c>
      <c r="K178" s="1" t="str">
        <f aca="false">'Raw Atomic Data (Pro)'!C178</f>
        <v>Motivation</v>
      </c>
      <c r="L178" s="1" t="str">
        <f aca="false">'Raw Atomic Data (Pro)'!D178</f>
        <v>motivation-emotional-connection</v>
      </c>
      <c r="M178" s="1" t="str">
        <f aca="false">'Raw Atomic Data (Pro)'!E178</f>
        <v>value-statement</v>
      </c>
      <c r="N178" s="1" t="n">
        <f aca="false">IF(OR(M178="friction",M178="need",M178="workaround"),1,0)</f>
        <v>0</v>
      </c>
      <c r="O178" s="1" t="n">
        <f aca="false">IF(COUNTIFS($K$2:K178,K178,$L$2:L178,L178,$M$2:M178,M178,$J$2:J178,J178)=1,1,0)</f>
        <v>0</v>
      </c>
      <c r="P178" s="1" t="n">
        <f aca="false">IF(AND(N178=1,S178=1,COUNTIFS($L$2:L178,L178,$J$2:J178,J178,$N$2:N178,1,$S$2:S178,1)=1),1,0)</f>
        <v>0</v>
      </c>
      <c r="Q178" s="1" t="n">
        <f aca="false">IF(AND(N178=1,S178=1,COUNTIFS($L$2:L178,L178,$K$2:K178,K178,$N$2:N178,1,$S$2:S178,1)=1),1,0)</f>
        <v>0</v>
      </c>
      <c r="R178" s="1" t="n">
        <f aca="false">IF(AND(N178=1,COUNTIFS($K$2:K178,K178,$L$2:L178,L178,$J$2:J178,J178,$N$2:N178,1)=1),1,0)</f>
        <v>0</v>
      </c>
      <c r="S178" s="1" t="n">
        <f aca="false">IF(AND(K178&lt;&gt;"Context and provider model",K178&lt;&gt;"Motivation"),1,0)</f>
        <v>0</v>
      </c>
    </row>
    <row r="179" customFormat="false" ht="15" hidden="false" customHeight="true" outlineLevel="0" collapsed="false">
      <c r="J179" s="1" t="str">
        <f aca="false">'Raw Atomic Data (Pro)'!A179</f>
        <v>Tianrui</v>
      </c>
      <c r="K179" s="1" t="str">
        <f aca="false">'Raw Atomic Data (Pro)'!C179</f>
        <v>Motivation</v>
      </c>
      <c r="L179" s="1" t="str">
        <f aca="false">'Raw Atomic Data (Pro)'!D179</f>
        <v>motivation-emotional-connection</v>
      </c>
      <c r="M179" s="1" t="str">
        <f aca="false">'Raw Atomic Data (Pro)'!E179</f>
        <v>value-statement</v>
      </c>
      <c r="N179" s="1" t="n">
        <f aca="false">IF(OR(M179="friction",M179="need",M179="workaround"),1,0)</f>
        <v>0</v>
      </c>
      <c r="O179" s="1" t="n">
        <f aca="false">IF(COUNTIFS($K$2:K179,K179,$L$2:L179,L179,$M$2:M179,M179,$J$2:J179,J179)=1,1,0)</f>
        <v>0</v>
      </c>
      <c r="P179" s="1" t="n">
        <f aca="false">IF(AND(N179=1,S179=1,COUNTIFS($L$2:L179,L179,$J$2:J179,J179,$N$2:N179,1,$S$2:S179,1)=1),1,0)</f>
        <v>0</v>
      </c>
      <c r="Q179" s="1" t="n">
        <f aca="false">IF(AND(N179=1,S179=1,COUNTIFS($L$2:L179,L179,$K$2:K179,K179,$N$2:N179,1,$S$2:S179,1)=1),1,0)</f>
        <v>0</v>
      </c>
      <c r="R179" s="1" t="n">
        <f aca="false">IF(AND(N179=1,COUNTIFS($K$2:K179,K179,$L$2:L179,L179,$J$2:J179,J179,$N$2:N179,1)=1),1,0)</f>
        <v>0</v>
      </c>
      <c r="S179" s="1" t="n">
        <f aca="false">IF(AND(K179&lt;&gt;"Context and provider model",K179&lt;&gt;"Motivation"),1,0)</f>
        <v>0</v>
      </c>
    </row>
    <row r="180" customFormat="false" ht="15" hidden="false" customHeight="true" outlineLevel="0" collapsed="false">
      <c r="J180" s="1" t="str">
        <f aca="false">'Raw Atomic Data (Pro)'!A180</f>
        <v>Tianrui</v>
      </c>
      <c r="K180" s="1" t="str">
        <f aca="false">'Raw Atomic Data (Pro)'!C180</f>
        <v>Motivation</v>
      </c>
      <c r="L180" s="1" t="str">
        <f aca="false">'Raw Atomic Data (Pro)'!D180</f>
        <v>motivation-emotional-connection</v>
      </c>
      <c r="M180" s="1" t="str">
        <f aca="false">'Raw Atomic Data (Pro)'!E180</f>
        <v>fact</v>
      </c>
      <c r="N180" s="1" t="n">
        <f aca="false">IF(OR(M180="friction",M180="need",M180="workaround"),1,0)</f>
        <v>0</v>
      </c>
      <c r="O180" s="1" t="n">
        <f aca="false">IF(COUNTIFS($K$2:K180,K180,$L$2:L180,L180,$M$2:M180,M180,$J$2:J180,J180)=1,1,0)</f>
        <v>0</v>
      </c>
      <c r="P180" s="1" t="n">
        <f aca="false">IF(AND(N180=1,S180=1,COUNTIFS($L$2:L180,L180,$J$2:J180,J180,$N$2:N180,1,$S$2:S180,1)=1),1,0)</f>
        <v>0</v>
      </c>
      <c r="Q180" s="1" t="n">
        <f aca="false">IF(AND(N180=1,S180=1,COUNTIFS($L$2:L180,L180,$K$2:K180,K180,$N$2:N180,1,$S$2:S180,1)=1),1,0)</f>
        <v>0</v>
      </c>
      <c r="R180" s="1" t="n">
        <f aca="false">IF(AND(N180=1,COUNTIFS($K$2:K180,K180,$L$2:L180,L180,$J$2:J180,J180,$N$2:N180,1)=1),1,0)</f>
        <v>0</v>
      </c>
      <c r="S180" s="1" t="n">
        <f aca="false">IF(AND(K180&lt;&gt;"Context and provider model",K180&lt;&gt;"Motivation"),1,0)</f>
        <v>0</v>
      </c>
    </row>
    <row r="181" customFormat="false" ht="15" hidden="false" customHeight="true" outlineLevel="0" collapsed="false">
      <c r="J181" s="1" t="str">
        <f aca="false">'Raw Atomic Data (Pro)'!A181</f>
        <v>Tifany</v>
      </c>
      <c r="K181" s="1" t="str">
        <f aca="false">'Raw Atomic Data (Pro)'!C181</f>
        <v>Motivation</v>
      </c>
      <c r="L181" s="1" t="str">
        <f aca="false">'Raw Atomic Data (Pro)'!D181</f>
        <v>motivation-emotional-connection</v>
      </c>
      <c r="M181" s="1" t="str">
        <f aca="false">'Raw Atomic Data (Pro)'!E181</f>
        <v>fact</v>
      </c>
      <c r="N181" s="1" t="n">
        <f aca="false">IF(OR(M181="friction",M181="need",M181="workaround"),1,0)</f>
        <v>0</v>
      </c>
      <c r="O181" s="1" t="n">
        <f aca="false">IF(COUNTIFS($K$2:K181,K181,$L$2:L181,L181,$M$2:M181,M181,$J$2:J181,J181)=1,1,0)</f>
        <v>1</v>
      </c>
      <c r="P181" s="1" t="n">
        <f aca="false">IF(AND(N181=1,S181=1,COUNTIFS($L$2:L181,L181,$J$2:J181,J181,$N$2:N181,1,$S$2:S181,1)=1),1,0)</f>
        <v>0</v>
      </c>
      <c r="Q181" s="1" t="n">
        <f aca="false">IF(AND(N181=1,S181=1,COUNTIFS($L$2:L181,L181,$K$2:K181,K181,$N$2:N181,1,$S$2:S181,1)=1),1,0)</f>
        <v>0</v>
      </c>
      <c r="R181" s="1" t="n">
        <f aca="false">IF(AND(N181=1,COUNTIFS($K$2:K181,K181,$L$2:L181,L181,$J$2:J181,J181,$N$2:N181,1)=1),1,0)</f>
        <v>0</v>
      </c>
      <c r="S181" s="1" t="n">
        <f aca="false">IF(AND(K181&lt;&gt;"Context and provider model",K181&lt;&gt;"Motivation"),1,0)</f>
        <v>0</v>
      </c>
    </row>
    <row r="182" customFormat="false" ht="15" hidden="false" customHeight="true" outlineLevel="0" collapsed="false">
      <c r="J182" s="1" t="str">
        <f aca="false">'Raw Atomic Data (Pro)'!A182</f>
        <v>Tifany</v>
      </c>
      <c r="K182" s="1" t="str">
        <f aca="false">'Raw Atomic Data (Pro)'!C182</f>
        <v>Motivation</v>
      </c>
      <c r="L182" s="1" t="str">
        <f aca="false">'Raw Atomic Data (Pro)'!D182</f>
        <v>provider-background</v>
      </c>
      <c r="M182" s="1" t="str">
        <f aca="false">'Raw Atomic Data (Pro)'!E182</f>
        <v>fact</v>
      </c>
      <c r="N182" s="1" t="n">
        <f aca="false">IF(OR(M182="friction",M182="need",M182="workaround"),1,0)</f>
        <v>0</v>
      </c>
      <c r="O182" s="1" t="n">
        <f aca="false">IF(COUNTIFS($K$2:K182,K182,$L$2:L182,L182,$M$2:M182,M182,$J$2:J182,J182)=1,1,0)</f>
        <v>1</v>
      </c>
      <c r="P182" s="1" t="n">
        <f aca="false">IF(AND(N182=1,S182=1,COUNTIFS($L$2:L182,L182,$J$2:J182,J182,$N$2:N182,1,$S$2:S182,1)=1),1,0)</f>
        <v>0</v>
      </c>
      <c r="Q182" s="1" t="n">
        <f aca="false">IF(AND(N182=1,S182=1,COUNTIFS($L$2:L182,L182,$K$2:K182,K182,$N$2:N182,1,$S$2:S182,1)=1),1,0)</f>
        <v>0</v>
      </c>
      <c r="R182" s="1" t="n">
        <f aca="false">IF(AND(N182=1,COUNTIFS($K$2:K182,K182,$L$2:L182,L182,$J$2:J182,J182,$N$2:N182,1)=1),1,0)</f>
        <v>0</v>
      </c>
      <c r="S182" s="1" t="n">
        <f aca="false">IF(AND(K182&lt;&gt;"Context and provider model",K182&lt;&gt;"Motivation"),1,0)</f>
        <v>0</v>
      </c>
    </row>
    <row r="183" customFormat="false" ht="15" hidden="false" customHeight="true" outlineLevel="0" collapsed="false">
      <c r="J183" s="1" t="str">
        <f aca="false">'Raw Atomic Data (Pro)'!A183</f>
        <v>Tifany</v>
      </c>
      <c r="K183" s="1" t="str">
        <f aca="false">'Raw Atomic Data (Pro)'!C183</f>
        <v>Motivation</v>
      </c>
      <c r="L183" s="1" t="str">
        <f aca="false">'Raw Atomic Data (Pro)'!D183</f>
        <v>onboarding-signup-process</v>
      </c>
      <c r="M183" s="1" t="str">
        <f aca="false">'Raw Atomic Data (Pro)'!E183</f>
        <v>fact</v>
      </c>
      <c r="N183" s="1" t="n">
        <f aca="false">IF(OR(M183="friction",M183="need",M183="workaround"),1,0)</f>
        <v>0</v>
      </c>
      <c r="O183" s="1" t="n">
        <f aca="false">IF(COUNTIFS($K$2:K183,K183,$L$2:L183,L183,$M$2:M183,M183,$J$2:J183,J183)=1,1,0)</f>
        <v>1</v>
      </c>
      <c r="P183" s="1" t="n">
        <f aca="false">IF(AND(N183=1,S183=1,COUNTIFS($L$2:L183,L183,$J$2:J183,J183,$N$2:N183,1,$S$2:S183,1)=1),1,0)</f>
        <v>0</v>
      </c>
      <c r="Q183" s="1" t="n">
        <f aca="false">IF(AND(N183=1,S183=1,COUNTIFS($L$2:L183,L183,$K$2:K183,K183,$N$2:N183,1,$S$2:S183,1)=1),1,0)</f>
        <v>0</v>
      </c>
      <c r="R183" s="1" t="n">
        <f aca="false">IF(AND(N183=1,COUNTIFS($K$2:K183,K183,$L$2:L183,L183,$J$2:J183,J183,$N$2:N183,1)=1),1,0)</f>
        <v>0</v>
      </c>
      <c r="S183" s="1" t="n">
        <f aca="false">IF(AND(K183&lt;&gt;"Context and provider model",K183&lt;&gt;"Motivation"),1,0)</f>
        <v>0</v>
      </c>
    </row>
    <row r="184" customFormat="false" ht="15" hidden="false" customHeight="true" outlineLevel="0" collapsed="false">
      <c r="J184" s="1" t="str">
        <f aca="false">'Raw Atomic Data (Pro)'!A184</f>
        <v>Tifany</v>
      </c>
      <c r="K184" s="1" t="str">
        <f aca="false">'Raw Atomic Data (Pro)'!C184</f>
        <v>Motivation</v>
      </c>
      <c r="L184" s="1" t="str">
        <f aca="false">'Raw Atomic Data (Pro)'!D184</f>
        <v>motivation-emotional-connection</v>
      </c>
      <c r="M184" s="1" t="str">
        <f aca="false">'Raw Atomic Data (Pro)'!E184</f>
        <v>value-statement</v>
      </c>
      <c r="N184" s="1" t="n">
        <f aca="false">IF(OR(M184="friction",M184="need",M184="workaround"),1,0)</f>
        <v>0</v>
      </c>
      <c r="O184" s="1" t="n">
        <f aca="false">IF(COUNTIFS($K$2:K184,K184,$L$2:L184,L184,$M$2:M184,M184,$J$2:J184,J184)=1,1,0)</f>
        <v>1</v>
      </c>
      <c r="P184" s="1" t="n">
        <f aca="false">IF(AND(N184=1,S184=1,COUNTIFS($L$2:L184,L184,$J$2:J184,J184,$N$2:N184,1,$S$2:S184,1)=1),1,0)</f>
        <v>0</v>
      </c>
      <c r="Q184" s="1" t="n">
        <f aca="false">IF(AND(N184=1,S184=1,COUNTIFS($L$2:L184,L184,$K$2:K184,K184,$N$2:N184,1,$S$2:S184,1)=1),1,0)</f>
        <v>0</v>
      </c>
      <c r="R184" s="1" t="n">
        <f aca="false">IF(AND(N184=1,COUNTIFS($K$2:K184,K184,$L$2:L184,L184,$J$2:J184,J184,$N$2:N184,1)=1),1,0)</f>
        <v>0</v>
      </c>
      <c r="S184" s="1" t="n">
        <f aca="false">IF(AND(K184&lt;&gt;"Context and provider model",K184&lt;&gt;"Motivation"),1,0)</f>
        <v>0</v>
      </c>
    </row>
    <row r="185" customFormat="false" ht="15" hidden="false" customHeight="true" outlineLevel="0" collapsed="false">
      <c r="J185" s="1" t="str">
        <f aca="false">'Raw Atomic Data (Pro)'!A185</f>
        <v>Tifany</v>
      </c>
      <c r="K185" s="1" t="str">
        <f aca="false">'Raw Atomic Data (Pro)'!C185</f>
        <v>Motivation</v>
      </c>
      <c r="L185" s="1" t="str">
        <f aca="false">'Raw Atomic Data (Pro)'!D185</f>
        <v>motivation-emotional-connection</v>
      </c>
      <c r="M185" s="1" t="str">
        <f aca="false">'Raw Atomic Data (Pro)'!E185</f>
        <v>fact</v>
      </c>
      <c r="N185" s="1" t="n">
        <f aca="false">IF(OR(M185="friction",M185="need",M185="workaround"),1,0)</f>
        <v>0</v>
      </c>
      <c r="O185" s="1" t="n">
        <f aca="false">IF(COUNTIFS($K$2:K185,K185,$L$2:L185,L185,$M$2:M185,M185,$J$2:J185,J185)=1,1,0)</f>
        <v>0</v>
      </c>
      <c r="P185" s="1" t="n">
        <f aca="false">IF(AND(N185=1,S185=1,COUNTIFS($L$2:L185,L185,$J$2:J185,J185,$N$2:N185,1,$S$2:S185,1)=1),1,0)</f>
        <v>0</v>
      </c>
      <c r="Q185" s="1" t="n">
        <f aca="false">IF(AND(N185=1,S185=1,COUNTIFS($L$2:L185,L185,$K$2:K185,K185,$N$2:N185,1,$S$2:S185,1)=1),1,0)</f>
        <v>0</v>
      </c>
      <c r="R185" s="1" t="n">
        <f aca="false">IF(AND(N185=1,COUNTIFS($K$2:K185,K185,$L$2:L185,L185,$J$2:J185,J185,$N$2:N185,1)=1),1,0)</f>
        <v>0</v>
      </c>
      <c r="S185" s="1" t="n">
        <f aca="false">IF(AND(K185&lt;&gt;"Context and provider model",K185&lt;&gt;"Motivation"),1,0)</f>
        <v>0</v>
      </c>
    </row>
    <row r="186" customFormat="false" ht="15" hidden="false" customHeight="true" outlineLevel="0" collapsed="false">
      <c r="J186" s="1" t="str">
        <f aca="false">'Raw Atomic Data (Pro)'!A186</f>
        <v>Tifany</v>
      </c>
      <c r="K186" s="1" t="str">
        <f aca="false">'Raw Atomic Data (Pro)'!C186</f>
        <v>Motivation</v>
      </c>
      <c r="L186" s="1" t="str">
        <f aca="false">'Raw Atomic Data (Pro)'!D186</f>
        <v>motivation-emotional-connection</v>
      </c>
      <c r="M186" s="1" t="str">
        <f aca="false">'Raw Atomic Data (Pro)'!E186</f>
        <v>value-statement</v>
      </c>
      <c r="N186" s="1" t="n">
        <f aca="false">IF(OR(M186="friction",M186="need",M186="workaround"),1,0)</f>
        <v>0</v>
      </c>
      <c r="O186" s="1" t="n">
        <f aca="false">IF(COUNTIFS($K$2:K186,K186,$L$2:L186,L186,$M$2:M186,M186,$J$2:J186,J186)=1,1,0)</f>
        <v>0</v>
      </c>
      <c r="P186" s="1" t="n">
        <f aca="false">IF(AND(N186=1,S186=1,COUNTIFS($L$2:L186,L186,$J$2:J186,J186,$N$2:N186,1,$S$2:S186,1)=1),1,0)</f>
        <v>0</v>
      </c>
      <c r="Q186" s="1" t="n">
        <f aca="false">IF(AND(N186=1,S186=1,COUNTIFS($L$2:L186,L186,$K$2:K186,K186,$N$2:N186,1,$S$2:S186,1)=1),1,0)</f>
        <v>0</v>
      </c>
      <c r="R186" s="1" t="n">
        <f aca="false">IF(AND(N186=1,COUNTIFS($K$2:K186,K186,$L$2:L186,L186,$J$2:J186,J186,$N$2:N186,1)=1),1,0)</f>
        <v>0</v>
      </c>
      <c r="S186" s="1" t="n">
        <f aca="false">IF(AND(K186&lt;&gt;"Context and provider model",K186&lt;&gt;"Motivation"),1,0)</f>
        <v>0</v>
      </c>
    </row>
    <row r="187" customFormat="false" ht="15" hidden="false" customHeight="true" outlineLevel="0" collapsed="false">
      <c r="J187" s="1" t="str">
        <f aca="false">'Raw Atomic Data (Pro)'!A187</f>
        <v>Tifany</v>
      </c>
      <c r="K187" s="1" t="str">
        <f aca="false">'Raw Atomic Data (Pro)'!C187</f>
        <v>Motivation</v>
      </c>
      <c r="L187" s="1" t="str">
        <f aca="false">'Raw Atomic Data (Pro)'!D187</f>
        <v>motivation-emotional-connection</v>
      </c>
      <c r="M187" s="1" t="str">
        <f aca="false">'Raw Atomic Data (Pro)'!E187</f>
        <v>fact</v>
      </c>
      <c r="N187" s="1" t="n">
        <f aca="false">IF(OR(M187="friction",M187="need",M187="workaround"),1,0)</f>
        <v>0</v>
      </c>
      <c r="O187" s="1" t="n">
        <f aca="false">IF(COUNTIFS($K$2:K187,K187,$L$2:L187,L187,$M$2:M187,M187,$J$2:J187,J187)=1,1,0)</f>
        <v>0</v>
      </c>
      <c r="P187" s="1" t="n">
        <f aca="false">IF(AND(N187=1,S187=1,COUNTIFS($L$2:L187,L187,$J$2:J187,J187,$N$2:N187,1,$S$2:S187,1)=1),1,0)</f>
        <v>0</v>
      </c>
      <c r="Q187" s="1" t="n">
        <f aca="false">IF(AND(N187=1,S187=1,COUNTIFS($L$2:L187,L187,$K$2:K187,K187,$N$2:N187,1,$S$2:S187,1)=1),1,0)</f>
        <v>0</v>
      </c>
      <c r="R187" s="1" t="n">
        <f aca="false">IF(AND(N187=1,COUNTIFS($K$2:K187,K187,$L$2:L187,L187,$J$2:J187,J187,$N$2:N187,1)=1),1,0)</f>
        <v>0</v>
      </c>
      <c r="S187" s="1" t="n">
        <f aca="false">IF(AND(K187&lt;&gt;"Context and provider model",K187&lt;&gt;"Motivation"),1,0)</f>
        <v>0</v>
      </c>
    </row>
    <row r="188" customFormat="false" ht="15" hidden="false" customHeight="true" outlineLevel="0" collapsed="false">
      <c r="J188" s="1" t="str">
        <f aca="false">'Raw Atomic Data (Pro)'!A188</f>
        <v>Ami</v>
      </c>
      <c r="K188" s="1" t="str">
        <f aca="false">'Raw Atomic Data (Pro)'!C188</f>
        <v>Client acquisition</v>
      </c>
      <c r="L188" s="1" t="str">
        <f aca="false">'Raw Atomic Data (Pro)'!D188</f>
        <v>client-acquisition-discovery</v>
      </c>
      <c r="M188" s="1" t="str">
        <f aca="false">'Raw Atomic Data (Pro)'!E188</f>
        <v>fact</v>
      </c>
      <c r="N188" s="1" t="n">
        <f aca="false">IF(OR(M188="friction",M188="need",M188="workaround"),1,0)</f>
        <v>0</v>
      </c>
      <c r="O188" s="1" t="n">
        <f aca="false">IF(COUNTIFS($K$2:K188,K188,$L$2:L188,L188,$M$2:M188,M188,$J$2:J188,J188)=1,1,0)</f>
        <v>1</v>
      </c>
      <c r="P188" s="1" t="n">
        <f aca="false">IF(AND(N188=1,S188=1,COUNTIFS($L$2:L188,L188,$J$2:J188,J188,$N$2:N188,1,$S$2:S188,1)=1),1,0)</f>
        <v>0</v>
      </c>
      <c r="Q188" s="1" t="n">
        <f aca="false">IF(AND(N188=1,S188=1,COUNTIFS($L$2:L188,L188,$K$2:K188,K188,$N$2:N188,1,$S$2:S188,1)=1),1,0)</f>
        <v>0</v>
      </c>
      <c r="R188" s="1" t="n">
        <f aca="false">IF(AND(N188=1,COUNTIFS($K$2:K188,K188,$L$2:L188,L188,$J$2:J188,J188,$N$2:N188,1)=1),1,0)</f>
        <v>0</v>
      </c>
      <c r="S188" s="1" t="n">
        <f aca="false">IF(AND(K188&lt;&gt;"Context and provider model",K188&lt;&gt;"Motivation"),1,0)</f>
        <v>1</v>
      </c>
    </row>
    <row r="189" customFormat="false" ht="15" hidden="false" customHeight="true" outlineLevel="0" collapsed="false">
      <c r="J189" s="1" t="str">
        <f aca="false">'Raw Atomic Data (Pro)'!A189</f>
        <v>Ami</v>
      </c>
      <c r="K189" s="1" t="str">
        <f aca="false">'Raw Atomic Data (Pro)'!C189</f>
        <v>Client acquisition</v>
      </c>
      <c r="L189" s="1" t="str">
        <f aca="false">'Raw Atomic Data (Pro)'!D189</f>
        <v>messaging-platform-mechanics</v>
      </c>
      <c r="M189" s="1" t="str">
        <f aca="false">'Raw Atomic Data (Pro)'!E189</f>
        <v>value-statement</v>
      </c>
      <c r="N189" s="1" t="n">
        <f aca="false">IF(OR(M189="friction",M189="need",M189="workaround"),1,0)</f>
        <v>0</v>
      </c>
      <c r="O189" s="1" t="n">
        <f aca="false">IF(COUNTIFS($K$2:K189,K189,$L$2:L189,L189,$M$2:M189,M189,$J$2:J189,J189)=1,1,0)</f>
        <v>1</v>
      </c>
      <c r="P189" s="1" t="n">
        <f aca="false">IF(AND(N189=1,S189=1,COUNTIFS($L$2:L189,L189,$J$2:J189,J189,$N$2:N189,1,$S$2:S189,1)=1),1,0)</f>
        <v>0</v>
      </c>
      <c r="Q189" s="1" t="n">
        <f aca="false">IF(AND(N189=1,S189=1,COUNTIFS($L$2:L189,L189,$K$2:K189,K189,$N$2:N189,1,$S$2:S189,1)=1),1,0)</f>
        <v>0</v>
      </c>
      <c r="R189" s="1" t="n">
        <f aca="false">IF(AND(N189=1,COUNTIFS($K$2:K189,K189,$L$2:L189,L189,$J$2:J189,J189,$N$2:N189,1)=1),1,0)</f>
        <v>0</v>
      </c>
      <c r="S189" s="1" t="n">
        <f aca="false">IF(AND(K189&lt;&gt;"Context and provider model",K189&lt;&gt;"Motivation"),1,0)</f>
        <v>1</v>
      </c>
    </row>
    <row r="190" customFormat="false" ht="15" hidden="false" customHeight="true" outlineLevel="0" collapsed="false">
      <c r="J190" s="1" t="str">
        <f aca="false">'Raw Atomic Data (Pro)'!A190</f>
        <v>Ami</v>
      </c>
      <c r="K190" s="1" t="str">
        <f aca="false">'Raw Atomic Data (Pro)'!C190</f>
        <v>Client acquisition</v>
      </c>
      <c r="L190" s="1" t="str">
        <f aca="false">'Raw Atomic Data (Pro)'!D190</f>
        <v>off-platform-communication-channels</v>
      </c>
      <c r="M190" s="1" t="str">
        <f aca="false">'Raw Atomic Data (Pro)'!E190</f>
        <v>fact</v>
      </c>
      <c r="N190" s="1" t="n">
        <f aca="false">IF(OR(M190="friction",M190="need",M190="workaround"),1,0)</f>
        <v>0</v>
      </c>
      <c r="O190" s="1" t="n">
        <f aca="false">IF(COUNTIFS($K$2:K190,K190,$L$2:L190,L190,$M$2:M190,M190,$J$2:J190,J190)=1,1,0)</f>
        <v>1</v>
      </c>
      <c r="P190" s="1" t="n">
        <f aca="false">IF(AND(N190=1,S190=1,COUNTIFS($L$2:L190,L190,$J$2:J190,J190,$N$2:N190,1,$S$2:S190,1)=1),1,0)</f>
        <v>0</v>
      </c>
      <c r="Q190" s="1" t="n">
        <f aca="false">IF(AND(N190=1,S190=1,COUNTIFS($L$2:L190,L190,$K$2:K190,K190,$N$2:N190,1,$S$2:S190,1)=1),1,0)</f>
        <v>0</v>
      </c>
      <c r="R190" s="1" t="n">
        <f aca="false">IF(AND(N190=1,COUNTIFS($K$2:K190,K190,$L$2:L190,L190,$J$2:J190,J190,$N$2:N190,1)=1),1,0)</f>
        <v>0</v>
      </c>
      <c r="S190" s="1" t="n">
        <f aca="false">IF(AND(K190&lt;&gt;"Context and provider model",K190&lt;&gt;"Motivation"),1,0)</f>
        <v>1</v>
      </c>
    </row>
    <row r="191" customFormat="false" ht="15" hidden="false" customHeight="true" outlineLevel="0" collapsed="false">
      <c r="J191" s="1" t="str">
        <f aca="false">'Raw Atomic Data (Pro)'!A191</f>
        <v>Ami</v>
      </c>
      <c r="K191" s="1" t="str">
        <f aca="false">'Raw Atomic Data (Pro)'!C191</f>
        <v>Client acquisition</v>
      </c>
      <c r="L191" s="1" t="str">
        <f aca="false">'Raw Atomic Data (Pro)'!D191</f>
        <v>client-acquisition-discovery</v>
      </c>
      <c r="M191" s="1" t="str">
        <f aca="false">'Raw Atomic Data (Pro)'!E191</f>
        <v>fact</v>
      </c>
      <c r="N191" s="1" t="n">
        <f aca="false">IF(OR(M191="friction",M191="need",M191="workaround"),1,0)</f>
        <v>0</v>
      </c>
      <c r="O191" s="1" t="n">
        <f aca="false">IF(COUNTIFS($K$2:K191,K191,$L$2:L191,L191,$M$2:M191,M191,$J$2:J191,J191)=1,1,0)</f>
        <v>0</v>
      </c>
      <c r="P191" s="1" t="n">
        <f aca="false">IF(AND(N191=1,S191=1,COUNTIFS($L$2:L191,L191,$J$2:J191,J191,$N$2:N191,1,$S$2:S191,1)=1),1,0)</f>
        <v>0</v>
      </c>
      <c r="Q191" s="1" t="n">
        <f aca="false">IF(AND(N191=1,S191=1,COUNTIFS($L$2:L191,L191,$K$2:K191,K191,$N$2:N191,1,$S$2:S191,1)=1),1,0)</f>
        <v>0</v>
      </c>
      <c r="R191" s="1" t="n">
        <f aca="false">IF(AND(N191=1,COUNTIFS($K$2:K191,K191,$L$2:L191,L191,$J$2:J191,J191,$N$2:N191,1)=1),1,0)</f>
        <v>0</v>
      </c>
      <c r="S191" s="1" t="n">
        <f aca="false">IF(AND(K191&lt;&gt;"Context and provider model",K191&lt;&gt;"Motivation"),1,0)</f>
        <v>1</v>
      </c>
    </row>
    <row r="192" customFormat="false" ht="15" hidden="false" customHeight="true" outlineLevel="0" collapsed="false">
      <c r="J192" s="1" t="str">
        <f aca="false">'Raw Atomic Data (Pro)'!A192</f>
        <v>Andrew</v>
      </c>
      <c r="K192" s="1" t="str">
        <f aca="false">'Raw Atomic Data (Pro)'!C192</f>
        <v>Client acquisition</v>
      </c>
      <c r="L192" s="1" t="str">
        <f aca="false">'Raw Atomic Data (Pro)'!D192</f>
        <v>client-acquisition-discovery</v>
      </c>
      <c r="M192" s="1" t="str">
        <f aca="false">'Raw Atomic Data (Pro)'!E192</f>
        <v>value-statement</v>
      </c>
      <c r="N192" s="1" t="n">
        <f aca="false">IF(OR(M192="friction",M192="need",M192="workaround"),1,0)</f>
        <v>0</v>
      </c>
      <c r="O192" s="1" t="n">
        <f aca="false">IF(COUNTIFS($K$2:K192,K192,$L$2:L192,L192,$M$2:M192,M192,$J$2:J192,J192)=1,1,0)</f>
        <v>1</v>
      </c>
      <c r="P192" s="1" t="n">
        <f aca="false">IF(AND(N192=1,S192=1,COUNTIFS($L$2:L192,L192,$J$2:J192,J192,$N$2:N192,1,$S$2:S192,1)=1),1,0)</f>
        <v>0</v>
      </c>
      <c r="Q192" s="1" t="n">
        <f aca="false">IF(AND(N192=1,S192=1,COUNTIFS($L$2:L192,L192,$K$2:K192,K192,$N$2:N192,1,$S$2:S192,1)=1),1,0)</f>
        <v>0</v>
      </c>
      <c r="R192" s="1" t="n">
        <f aca="false">IF(AND(N192=1,COUNTIFS($K$2:K192,K192,$L$2:L192,L192,$J$2:J192,J192,$N$2:N192,1)=1),1,0)</f>
        <v>0</v>
      </c>
      <c r="S192" s="1" t="n">
        <f aca="false">IF(AND(K192&lt;&gt;"Context and provider model",K192&lt;&gt;"Motivation"),1,0)</f>
        <v>1</v>
      </c>
    </row>
    <row r="193" customFormat="false" ht="15" hidden="false" customHeight="true" outlineLevel="0" collapsed="false">
      <c r="J193" s="1" t="str">
        <f aca="false">'Raw Atomic Data (Pro)'!A193</f>
        <v>Andrew</v>
      </c>
      <c r="K193" s="1" t="str">
        <f aca="false">'Raw Atomic Data (Pro)'!C193</f>
        <v>Client acquisition</v>
      </c>
      <c r="L193" s="1" t="str">
        <f aca="false">'Raw Atomic Data (Pro)'!D193</f>
        <v>client-acquisition-discovery</v>
      </c>
      <c r="M193" s="1" t="str">
        <f aca="false">'Raw Atomic Data (Pro)'!E193</f>
        <v>fact</v>
      </c>
      <c r="N193" s="1" t="n">
        <f aca="false">IF(OR(M193="friction",M193="need",M193="workaround"),1,0)</f>
        <v>0</v>
      </c>
      <c r="O193" s="1" t="n">
        <f aca="false">IF(COUNTIFS($K$2:K193,K193,$L$2:L193,L193,$M$2:M193,M193,$J$2:J193,J193)=1,1,0)</f>
        <v>1</v>
      </c>
      <c r="P193" s="1" t="n">
        <f aca="false">IF(AND(N193=1,S193=1,COUNTIFS($L$2:L193,L193,$J$2:J193,J193,$N$2:N193,1,$S$2:S193,1)=1),1,0)</f>
        <v>0</v>
      </c>
      <c r="Q193" s="1" t="n">
        <f aca="false">IF(AND(N193=1,S193=1,COUNTIFS($L$2:L193,L193,$K$2:K193,K193,$N$2:N193,1,$S$2:S193,1)=1),1,0)</f>
        <v>0</v>
      </c>
      <c r="R193" s="1" t="n">
        <f aca="false">IF(AND(N193=1,COUNTIFS($K$2:K193,K193,$L$2:L193,L193,$J$2:J193,J193,$N$2:N193,1)=1),1,0)</f>
        <v>0</v>
      </c>
      <c r="S193" s="1" t="n">
        <f aca="false">IF(AND(K193&lt;&gt;"Context and provider model",K193&lt;&gt;"Motivation"),1,0)</f>
        <v>1</v>
      </c>
    </row>
    <row r="194" customFormat="false" ht="15" hidden="false" customHeight="true" outlineLevel="0" collapsed="false">
      <c r="J194" s="1" t="str">
        <f aca="false">'Raw Atomic Data (Pro)'!A194</f>
        <v>Andrew</v>
      </c>
      <c r="K194" s="1" t="str">
        <f aca="false">'Raw Atomic Data (Pro)'!C194</f>
        <v>Client acquisition</v>
      </c>
      <c r="L194" s="1" t="str">
        <f aca="false">'Raw Atomic Data (Pro)'!D194</f>
        <v>messaging-platform-mechanics</v>
      </c>
      <c r="M194" s="1" t="str">
        <f aca="false">'Raw Atomic Data (Pro)'!E194</f>
        <v>friction</v>
      </c>
      <c r="N194" s="1" t="n">
        <f aca="false">IF(OR(M194="friction",M194="need",M194="workaround"),1,0)</f>
        <v>1</v>
      </c>
      <c r="O194" s="1" t="n">
        <f aca="false">IF(COUNTIFS($K$2:K194,K194,$L$2:L194,L194,$M$2:M194,M194,$J$2:J194,J194)=1,1,0)</f>
        <v>1</v>
      </c>
      <c r="P194" s="1" t="n">
        <f aca="false">IF(AND(N194=1,S194=1,COUNTIFS($L$2:L194,L194,$J$2:J194,J194,$N$2:N194,1,$S$2:S194,1)=1),1,0)</f>
        <v>1</v>
      </c>
      <c r="Q194" s="1" t="n">
        <f aca="false">IF(AND(N194=1,S194=1,COUNTIFS($L$2:L194,L194,$K$2:K194,K194,$N$2:N194,1,$S$2:S194,1)=1),1,0)</f>
        <v>1</v>
      </c>
      <c r="R194" s="1" t="n">
        <f aca="false">IF(AND(N194=1,COUNTIFS($K$2:K194,K194,$L$2:L194,L194,$J$2:J194,J194,$N$2:N194,1)=1),1,0)</f>
        <v>1</v>
      </c>
      <c r="S194" s="1" t="n">
        <f aca="false">IF(AND(K194&lt;&gt;"Context and provider model",K194&lt;&gt;"Motivation"),1,0)</f>
        <v>1</v>
      </c>
    </row>
    <row r="195" customFormat="false" ht="15" hidden="false" customHeight="true" outlineLevel="0" collapsed="false">
      <c r="J195" s="1" t="str">
        <f aca="false">'Raw Atomic Data (Pro)'!A195</f>
        <v>Andrew</v>
      </c>
      <c r="K195" s="1" t="str">
        <f aca="false">'Raw Atomic Data (Pro)'!C195</f>
        <v>Client acquisition</v>
      </c>
      <c r="L195" s="1" t="str">
        <f aca="false">'Raw Atomic Data (Pro)'!D195</f>
        <v>messaging-platform-mechanics</v>
      </c>
      <c r="M195" s="1" t="str">
        <f aca="false">'Raw Atomic Data (Pro)'!E195</f>
        <v>friction</v>
      </c>
      <c r="N195" s="1" t="n">
        <f aca="false">IF(OR(M195="friction",M195="need",M195="workaround"),1,0)</f>
        <v>1</v>
      </c>
      <c r="O195" s="1" t="n">
        <f aca="false">IF(COUNTIFS($K$2:K195,K195,$L$2:L195,L195,$M$2:M195,M195,$J$2:J195,J195)=1,1,0)</f>
        <v>0</v>
      </c>
      <c r="P195" s="1" t="n">
        <f aca="false">IF(AND(N195=1,S195=1,COUNTIFS($L$2:L195,L195,$J$2:J195,J195,$N$2:N195,1,$S$2:S195,1)=1),1,0)</f>
        <v>0</v>
      </c>
      <c r="Q195" s="1" t="n">
        <f aca="false">IF(AND(N195=1,S195=1,COUNTIFS($L$2:L195,L195,$K$2:K195,K195,$N$2:N195,1,$S$2:S195,1)=1),1,0)</f>
        <v>0</v>
      </c>
      <c r="R195" s="1" t="n">
        <f aca="false">IF(AND(N195=1,COUNTIFS($K$2:K195,K195,$L$2:L195,L195,$J$2:J195,J195,$N$2:N195,1)=1),1,0)</f>
        <v>0</v>
      </c>
      <c r="S195" s="1" t="n">
        <f aca="false">IF(AND(K195&lt;&gt;"Context and provider model",K195&lt;&gt;"Motivation"),1,0)</f>
        <v>1</v>
      </c>
    </row>
    <row r="196" customFormat="false" ht="15" hidden="false" customHeight="true" outlineLevel="0" collapsed="false">
      <c r="J196" s="1" t="str">
        <f aca="false">'Raw Atomic Data (Pro)'!A196</f>
        <v>Andrew</v>
      </c>
      <c r="K196" s="1" t="str">
        <f aca="false">'Raw Atomic Data (Pro)'!C196</f>
        <v>Client acquisition</v>
      </c>
      <c r="L196" s="1" t="str">
        <f aca="false">'Raw Atomic Data (Pro)'!D196</f>
        <v>messaging-platform-mechanics</v>
      </c>
      <c r="M196" s="1" t="str">
        <f aca="false">'Raw Atomic Data (Pro)'!E196</f>
        <v>friction</v>
      </c>
      <c r="N196" s="1" t="n">
        <f aca="false">IF(OR(M196="friction",M196="need",M196="workaround"),1,0)</f>
        <v>1</v>
      </c>
      <c r="O196" s="1" t="n">
        <f aca="false">IF(COUNTIFS($K$2:K196,K196,$L$2:L196,L196,$M$2:M196,M196,$J$2:J196,J196)=1,1,0)</f>
        <v>0</v>
      </c>
      <c r="P196" s="1" t="n">
        <f aca="false">IF(AND(N196=1,S196=1,COUNTIFS($L$2:L196,L196,$J$2:J196,J196,$N$2:N196,1,$S$2:S196,1)=1),1,0)</f>
        <v>0</v>
      </c>
      <c r="Q196" s="1" t="n">
        <f aca="false">IF(AND(N196=1,S196=1,COUNTIFS($L$2:L196,L196,$K$2:K196,K196,$N$2:N196,1,$S$2:S196,1)=1),1,0)</f>
        <v>0</v>
      </c>
      <c r="R196" s="1" t="n">
        <f aca="false">IF(AND(N196=1,COUNTIFS($K$2:K196,K196,$L$2:L196,L196,$J$2:J196,J196,$N$2:N196,1)=1),1,0)</f>
        <v>0</v>
      </c>
      <c r="S196" s="1" t="n">
        <f aca="false">IF(AND(K196&lt;&gt;"Context and provider model",K196&lt;&gt;"Motivation"),1,0)</f>
        <v>1</v>
      </c>
    </row>
    <row r="197" customFormat="false" ht="15" hidden="false" customHeight="true" outlineLevel="0" collapsed="false">
      <c r="J197" s="1" t="str">
        <f aca="false">'Raw Atomic Data (Pro)'!A197</f>
        <v>Andrew</v>
      </c>
      <c r="K197" s="1" t="str">
        <f aca="false">'Raw Atomic Data (Pro)'!C197</f>
        <v>Client acquisition</v>
      </c>
      <c r="L197" s="1" t="str">
        <f aca="false">'Raw Atomic Data (Pro)'!D197</f>
        <v>search-ranking-visibility</v>
      </c>
      <c r="M197" s="1" t="str">
        <f aca="false">'Raw Atomic Data (Pro)'!E197</f>
        <v>fact</v>
      </c>
      <c r="N197" s="1" t="n">
        <f aca="false">IF(OR(M197="friction",M197="need",M197="workaround"),1,0)</f>
        <v>0</v>
      </c>
      <c r="O197" s="1" t="n">
        <f aca="false">IF(COUNTIFS($K$2:K197,K197,$L$2:L197,L197,$M$2:M197,M197,$J$2:J197,J197)=1,1,0)</f>
        <v>1</v>
      </c>
      <c r="P197" s="1" t="n">
        <f aca="false">IF(AND(N197=1,S197=1,COUNTIFS($L$2:L197,L197,$J$2:J197,J197,$N$2:N197,1,$S$2:S197,1)=1),1,0)</f>
        <v>0</v>
      </c>
      <c r="Q197" s="1" t="n">
        <f aca="false">IF(AND(N197=1,S197=1,COUNTIFS($L$2:L197,L197,$K$2:K197,K197,$N$2:N197,1,$S$2:S197,1)=1),1,0)</f>
        <v>0</v>
      </c>
      <c r="R197" s="1" t="n">
        <f aca="false">IF(AND(N197=1,COUNTIFS($K$2:K197,K197,$L$2:L197,L197,$J$2:J197,J197,$N$2:N197,1)=1),1,0)</f>
        <v>0</v>
      </c>
      <c r="S197" s="1" t="n">
        <f aca="false">IF(AND(K197&lt;&gt;"Context and provider model",K197&lt;&gt;"Motivation"),1,0)</f>
        <v>1</v>
      </c>
    </row>
    <row r="198" customFormat="false" ht="15" hidden="false" customHeight="true" outlineLevel="0" collapsed="false">
      <c r="J198" s="1" t="str">
        <f aca="false">'Raw Atomic Data (Pro)'!A198</f>
        <v>Anita</v>
      </c>
      <c r="K198" s="1" t="str">
        <f aca="false">'Raw Atomic Data (Pro)'!C198</f>
        <v>Client acquisition</v>
      </c>
      <c r="L198" s="1" t="str">
        <f aca="false">'Raw Atomic Data (Pro)'!D198</f>
        <v>client-acquisition-discovery</v>
      </c>
      <c r="M198" s="1" t="str">
        <f aca="false">'Raw Atomic Data (Pro)'!E198</f>
        <v>fact</v>
      </c>
      <c r="N198" s="1" t="n">
        <f aca="false">IF(OR(M198="friction",M198="need",M198="workaround"),1,0)</f>
        <v>0</v>
      </c>
      <c r="O198" s="1" t="n">
        <f aca="false">IF(COUNTIFS($K$2:K198,K198,$L$2:L198,L198,$M$2:M198,M198,$J$2:J198,J198)=1,1,0)</f>
        <v>1</v>
      </c>
      <c r="P198" s="1" t="n">
        <f aca="false">IF(AND(N198=1,S198=1,COUNTIFS($L$2:L198,L198,$J$2:J198,J198,$N$2:N198,1,$S$2:S198,1)=1),1,0)</f>
        <v>0</v>
      </c>
      <c r="Q198" s="1" t="n">
        <f aca="false">IF(AND(N198=1,S198=1,COUNTIFS($L$2:L198,L198,$K$2:K198,K198,$N$2:N198,1,$S$2:S198,1)=1),1,0)</f>
        <v>0</v>
      </c>
      <c r="R198" s="1" t="n">
        <f aca="false">IF(AND(N198=1,COUNTIFS($K$2:K198,K198,$L$2:L198,L198,$J$2:J198,J198,$N$2:N198,1)=1),1,0)</f>
        <v>0</v>
      </c>
      <c r="S198" s="1" t="n">
        <f aca="false">IF(AND(K198&lt;&gt;"Context and provider model",K198&lt;&gt;"Motivation"),1,0)</f>
        <v>1</v>
      </c>
    </row>
    <row r="199" customFormat="false" ht="15" hidden="false" customHeight="true" outlineLevel="0" collapsed="false">
      <c r="J199" s="1" t="str">
        <f aca="false">'Raw Atomic Data (Pro)'!A199</f>
        <v>Anita</v>
      </c>
      <c r="K199" s="1" t="str">
        <f aca="false">'Raw Atomic Data (Pro)'!C199</f>
        <v>Client acquisition</v>
      </c>
      <c r="L199" s="1" t="str">
        <f aca="false">'Raw Atomic Data (Pro)'!D199</f>
        <v>client-acquisition-discovery</v>
      </c>
      <c r="M199" s="1" t="str">
        <f aca="false">'Raw Atomic Data (Pro)'!E199</f>
        <v>fact</v>
      </c>
      <c r="N199" s="1" t="n">
        <f aca="false">IF(OR(M199="friction",M199="need",M199="workaround"),1,0)</f>
        <v>0</v>
      </c>
      <c r="O199" s="1" t="n">
        <f aca="false">IF(COUNTIFS($K$2:K199,K199,$L$2:L199,L199,$M$2:M199,M199,$J$2:J199,J199)=1,1,0)</f>
        <v>0</v>
      </c>
      <c r="P199" s="1" t="n">
        <f aca="false">IF(AND(N199=1,S199=1,COUNTIFS($L$2:L199,L199,$J$2:J199,J199,$N$2:N199,1,$S$2:S199,1)=1),1,0)</f>
        <v>0</v>
      </c>
      <c r="Q199" s="1" t="n">
        <f aca="false">IF(AND(N199=1,S199=1,COUNTIFS($L$2:L199,L199,$K$2:K199,K199,$N$2:N199,1,$S$2:S199,1)=1),1,0)</f>
        <v>0</v>
      </c>
      <c r="R199" s="1" t="n">
        <f aca="false">IF(AND(N199=1,COUNTIFS($K$2:K199,K199,$L$2:L199,L199,$J$2:J199,J199,$N$2:N199,1)=1),1,0)</f>
        <v>0</v>
      </c>
      <c r="S199" s="1" t="n">
        <f aca="false">IF(AND(K199&lt;&gt;"Context and provider model",K199&lt;&gt;"Motivation"),1,0)</f>
        <v>1</v>
      </c>
    </row>
    <row r="200" customFormat="false" ht="15" hidden="false" customHeight="true" outlineLevel="0" collapsed="false">
      <c r="J200" s="1" t="str">
        <f aca="false">'Raw Atomic Data (Pro)'!A200</f>
        <v>Anita</v>
      </c>
      <c r="K200" s="1" t="str">
        <f aca="false">'Raw Atomic Data (Pro)'!C200</f>
        <v>Client acquisition</v>
      </c>
      <c r="L200" s="1" t="str">
        <f aca="false">'Raw Atomic Data (Pro)'!D200</f>
        <v>client-acquisition-discovery</v>
      </c>
      <c r="M200" s="1" t="str">
        <f aca="false">'Raw Atomic Data (Pro)'!E200</f>
        <v>fact</v>
      </c>
      <c r="N200" s="1" t="n">
        <f aca="false">IF(OR(M200="friction",M200="need",M200="workaround"),1,0)</f>
        <v>0</v>
      </c>
      <c r="O200" s="1" t="n">
        <f aca="false">IF(COUNTIFS($K$2:K200,K200,$L$2:L200,L200,$M$2:M200,M200,$J$2:J200,J200)=1,1,0)</f>
        <v>0</v>
      </c>
      <c r="P200" s="1" t="n">
        <f aca="false">IF(AND(N200=1,S200=1,COUNTIFS($L$2:L200,L200,$J$2:J200,J200,$N$2:N200,1,$S$2:S200,1)=1),1,0)</f>
        <v>0</v>
      </c>
      <c r="Q200" s="1" t="n">
        <f aca="false">IF(AND(N200=1,S200=1,COUNTIFS($L$2:L200,L200,$K$2:K200,K200,$N$2:N200,1,$S$2:S200,1)=1),1,0)</f>
        <v>0</v>
      </c>
      <c r="R200" s="1" t="n">
        <f aca="false">IF(AND(N200=1,COUNTIFS($K$2:K200,K200,$L$2:L200,L200,$J$2:J200,J200,$N$2:N200,1)=1),1,0)</f>
        <v>0</v>
      </c>
      <c r="S200" s="1" t="n">
        <f aca="false">IF(AND(K200&lt;&gt;"Context and provider model",K200&lt;&gt;"Motivation"),1,0)</f>
        <v>1</v>
      </c>
    </row>
    <row r="201" customFormat="false" ht="15" hidden="false" customHeight="true" outlineLevel="0" collapsed="false">
      <c r="J201" s="1" t="str">
        <f aca="false">'Raw Atomic Data (Pro)'!A201</f>
        <v>Anita</v>
      </c>
      <c r="K201" s="1" t="str">
        <f aca="false">'Raw Atomic Data (Pro)'!C201</f>
        <v>Client acquisition</v>
      </c>
      <c r="L201" s="1" t="str">
        <f aca="false">'Raw Atomic Data (Pro)'!D201</f>
        <v>client-dog-screening-criteria</v>
      </c>
      <c r="M201" s="1" t="str">
        <f aca="false">'Raw Atomic Data (Pro)'!E201</f>
        <v>fact</v>
      </c>
      <c r="N201" s="1" t="n">
        <f aca="false">IF(OR(M201="friction",M201="need",M201="workaround"),1,0)</f>
        <v>0</v>
      </c>
      <c r="O201" s="1" t="n">
        <f aca="false">IF(COUNTIFS($K$2:K201,K201,$L$2:L201,L201,$M$2:M201,M201,$J$2:J201,J201)=1,1,0)</f>
        <v>1</v>
      </c>
      <c r="P201" s="1" t="n">
        <f aca="false">IF(AND(N201=1,S201=1,COUNTIFS($L$2:L201,L201,$J$2:J201,J201,$N$2:N201,1,$S$2:S201,1)=1),1,0)</f>
        <v>0</v>
      </c>
      <c r="Q201" s="1" t="n">
        <f aca="false">IF(AND(N201=1,S201=1,COUNTIFS($L$2:L201,L201,$K$2:K201,K201,$N$2:N201,1,$S$2:S201,1)=1),1,0)</f>
        <v>0</v>
      </c>
      <c r="R201" s="1" t="n">
        <f aca="false">IF(AND(N201=1,COUNTIFS($K$2:K201,K201,$L$2:L201,L201,$J$2:J201,J201,$N$2:N201,1)=1),1,0)</f>
        <v>0</v>
      </c>
      <c r="S201" s="1" t="n">
        <f aca="false">IF(AND(K201&lt;&gt;"Context and provider model",K201&lt;&gt;"Motivation"),1,0)</f>
        <v>1</v>
      </c>
    </row>
    <row r="202" customFormat="false" ht="15" hidden="false" customHeight="true" outlineLevel="0" collapsed="false">
      <c r="J202" s="1" t="str">
        <f aca="false">'Raw Atomic Data (Pro)'!A202</f>
        <v>Becky</v>
      </c>
      <c r="K202" s="1" t="str">
        <f aca="false">'Raw Atomic Data (Pro)'!C202</f>
        <v>Client acquisition</v>
      </c>
      <c r="L202" s="1" t="str">
        <f aca="false">'Raw Atomic Data (Pro)'!D202</f>
        <v>client-acquisition-discovery</v>
      </c>
      <c r="M202" s="1" t="str">
        <f aca="false">'Raw Atomic Data (Pro)'!E202</f>
        <v>fact</v>
      </c>
      <c r="N202" s="1" t="n">
        <f aca="false">IF(OR(M202="friction",M202="need",M202="workaround"),1,0)</f>
        <v>0</v>
      </c>
      <c r="O202" s="1" t="n">
        <f aca="false">IF(COUNTIFS($K$2:K202,K202,$L$2:L202,L202,$M$2:M202,M202,$J$2:J202,J202)=1,1,0)</f>
        <v>1</v>
      </c>
      <c r="P202" s="1" t="n">
        <f aca="false">IF(AND(N202=1,S202=1,COUNTIFS($L$2:L202,L202,$J$2:J202,J202,$N$2:N202,1,$S$2:S202,1)=1),1,0)</f>
        <v>0</v>
      </c>
      <c r="Q202" s="1" t="n">
        <f aca="false">IF(AND(N202=1,S202=1,COUNTIFS($L$2:L202,L202,$K$2:K202,K202,$N$2:N202,1,$S$2:S202,1)=1),1,0)</f>
        <v>0</v>
      </c>
      <c r="R202" s="1" t="n">
        <f aca="false">IF(AND(N202=1,COUNTIFS($K$2:K202,K202,$L$2:L202,L202,$J$2:J202,J202,$N$2:N202,1)=1),1,0)</f>
        <v>0</v>
      </c>
      <c r="S202" s="1" t="n">
        <f aca="false">IF(AND(K202&lt;&gt;"Context and provider model",K202&lt;&gt;"Motivation"),1,0)</f>
        <v>1</v>
      </c>
    </row>
    <row r="203" customFormat="false" ht="15" hidden="false" customHeight="true" outlineLevel="0" collapsed="false">
      <c r="J203" s="1" t="str">
        <f aca="false">'Raw Atomic Data (Pro)'!A203</f>
        <v>Becky</v>
      </c>
      <c r="K203" s="1" t="str">
        <f aca="false">'Raw Atomic Data (Pro)'!C203</f>
        <v>Client acquisition</v>
      </c>
      <c r="L203" s="1" t="str">
        <f aca="false">'Raw Atomic Data (Pro)'!D203</f>
        <v>profile-information-completeness</v>
      </c>
      <c r="M203" s="1" t="str">
        <f aca="false">'Raw Atomic Data (Pro)'!E203</f>
        <v>fact</v>
      </c>
      <c r="N203" s="1" t="n">
        <f aca="false">IF(OR(M203="friction",M203="need",M203="workaround"),1,0)</f>
        <v>0</v>
      </c>
      <c r="O203" s="1" t="n">
        <f aca="false">IF(COUNTIFS($K$2:K203,K203,$L$2:L203,L203,$M$2:M203,M203,$J$2:J203,J203)=1,1,0)</f>
        <v>1</v>
      </c>
      <c r="P203" s="1" t="n">
        <f aca="false">IF(AND(N203=1,S203=1,COUNTIFS($L$2:L203,L203,$J$2:J203,J203,$N$2:N203,1,$S$2:S203,1)=1),1,0)</f>
        <v>0</v>
      </c>
      <c r="Q203" s="1" t="n">
        <f aca="false">IF(AND(N203=1,S203=1,COUNTIFS($L$2:L203,L203,$K$2:K203,K203,$N$2:N203,1,$S$2:S203,1)=1),1,0)</f>
        <v>0</v>
      </c>
      <c r="R203" s="1" t="n">
        <f aca="false">IF(AND(N203=1,COUNTIFS($K$2:K203,K203,$L$2:L203,L203,$J$2:J203,J203,$N$2:N203,1)=1),1,0)</f>
        <v>0</v>
      </c>
      <c r="S203" s="1" t="n">
        <f aca="false">IF(AND(K203&lt;&gt;"Context and provider model",K203&lt;&gt;"Motivation"),1,0)</f>
        <v>1</v>
      </c>
    </row>
    <row r="204" customFormat="false" ht="15" hidden="false" customHeight="true" outlineLevel="0" collapsed="false">
      <c r="J204" s="1" t="str">
        <f aca="false">'Raw Atomic Data (Pro)'!A204</f>
        <v>Becky</v>
      </c>
      <c r="K204" s="1" t="str">
        <f aca="false">'Raw Atomic Data (Pro)'!C204</f>
        <v>Client acquisition</v>
      </c>
      <c r="L204" s="1" t="str">
        <f aca="false">'Raw Atomic Data (Pro)'!D204</f>
        <v>profile-information-completeness</v>
      </c>
      <c r="M204" s="1" t="str">
        <f aca="false">'Raw Atomic Data (Pro)'!E204</f>
        <v>fact</v>
      </c>
      <c r="N204" s="1" t="n">
        <f aca="false">IF(OR(M204="friction",M204="need",M204="workaround"),1,0)</f>
        <v>0</v>
      </c>
      <c r="O204" s="1" t="n">
        <f aca="false">IF(COUNTIFS($K$2:K204,K204,$L$2:L204,L204,$M$2:M204,M204,$J$2:J204,J204)=1,1,0)</f>
        <v>0</v>
      </c>
      <c r="P204" s="1" t="n">
        <f aca="false">IF(AND(N204=1,S204=1,COUNTIFS($L$2:L204,L204,$J$2:J204,J204,$N$2:N204,1,$S$2:S204,1)=1),1,0)</f>
        <v>0</v>
      </c>
      <c r="Q204" s="1" t="n">
        <f aca="false">IF(AND(N204=1,S204=1,COUNTIFS($L$2:L204,L204,$K$2:K204,K204,$N$2:N204,1,$S$2:S204,1)=1),1,0)</f>
        <v>0</v>
      </c>
      <c r="R204" s="1" t="n">
        <f aca="false">IF(AND(N204=1,COUNTIFS($K$2:K204,K204,$L$2:L204,L204,$J$2:J204,J204,$N$2:N204,1)=1),1,0)</f>
        <v>0</v>
      </c>
      <c r="S204" s="1" t="n">
        <f aca="false">IF(AND(K204&lt;&gt;"Context and provider model",K204&lt;&gt;"Motivation"),1,0)</f>
        <v>1</v>
      </c>
    </row>
    <row r="205" customFormat="false" ht="15" hidden="false" customHeight="true" outlineLevel="0" collapsed="false">
      <c r="J205" s="1" t="str">
        <f aca="false">'Raw Atomic Data (Pro)'!A205</f>
        <v>Becky</v>
      </c>
      <c r="K205" s="1" t="str">
        <f aca="false">'Raw Atomic Data (Pro)'!C205</f>
        <v>Client acquisition</v>
      </c>
      <c r="L205" s="1" t="str">
        <f aca="false">'Raw Atomic Data (Pro)'!D205</f>
        <v>profile-information-completeness</v>
      </c>
      <c r="M205" s="1" t="str">
        <f aca="false">'Raw Atomic Data (Pro)'!E205</f>
        <v>fact</v>
      </c>
      <c r="N205" s="1" t="n">
        <f aca="false">IF(OR(M205="friction",M205="need",M205="workaround"),1,0)</f>
        <v>0</v>
      </c>
      <c r="O205" s="1" t="n">
        <f aca="false">IF(COUNTIFS($K$2:K205,K205,$L$2:L205,L205,$M$2:M205,M205,$J$2:J205,J205)=1,1,0)</f>
        <v>0</v>
      </c>
      <c r="P205" s="1" t="n">
        <f aca="false">IF(AND(N205=1,S205=1,COUNTIFS($L$2:L205,L205,$J$2:J205,J205,$N$2:N205,1,$S$2:S205,1)=1),1,0)</f>
        <v>0</v>
      </c>
      <c r="Q205" s="1" t="n">
        <f aca="false">IF(AND(N205=1,S205=1,COUNTIFS($L$2:L205,L205,$K$2:K205,K205,$N$2:N205,1,$S$2:S205,1)=1),1,0)</f>
        <v>0</v>
      </c>
      <c r="R205" s="1" t="n">
        <f aca="false">IF(AND(N205=1,COUNTIFS($K$2:K205,K205,$L$2:L205,L205,$J$2:J205,J205,$N$2:N205,1)=1),1,0)</f>
        <v>0</v>
      </c>
      <c r="S205" s="1" t="n">
        <f aca="false">IF(AND(K205&lt;&gt;"Context and provider model",K205&lt;&gt;"Motivation"),1,0)</f>
        <v>1</v>
      </c>
    </row>
    <row r="206" customFormat="false" ht="15" hidden="false" customHeight="true" outlineLevel="0" collapsed="false">
      <c r="J206" s="1" t="str">
        <f aca="false">'Raw Atomic Data (Pro)'!A206</f>
        <v>Becky</v>
      </c>
      <c r="K206" s="1" t="str">
        <f aca="false">'Raw Atomic Data (Pro)'!C206</f>
        <v>Client acquisition</v>
      </c>
      <c r="L206" s="1" t="str">
        <f aca="false">'Raw Atomic Data (Pro)'!D206</f>
        <v>profile-information-completeness</v>
      </c>
      <c r="M206" s="1" t="str">
        <f aca="false">'Raw Atomic Data (Pro)'!E206</f>
        <v>need</v>
      </c>
      <c r="N206" s="1" t="n">
        <f aca="false">IF(OR(M206="friction",M206="need",M206="workaround"),1,0)</f>
        <v>1</v>
      </c>
      <c r="O206" s="1" t="n">
        <f aca="false">IF(COUNTIFS($K$2:K206,K206,$L$2:L206,L206,$M$2:M206,M206,$J$2:J206,J206)=1,1,0)</f>
        <v>1</v>
      </c>
      <c r="P206" s="1" t="n">
        <f aca="false">IF(AND(N206=1,S206=1,COUNTIFS($L$2:L206,L206,$J$2:J206,J206,$N$2:N206,1,$S$2:S206,1)=1),1,0)</f>
        <v>1</v>
      </c>
      <c r="Q206" s="1" t="n">
        <f aca="false">IF(AND(N206=1,S206=1,COUNTIFS($L$2:L206,L206,$K$2:K206,K206,$N$2:N206,1,$S$2:S206,1)=1),1,0)</f>
        <v>1</v>
      </c>
      <c r="R206" s="1" t="n">
        <f aca="false">IF(AND(N206=1,COUNTIFS($K$2:K206,K206,$L$2:L206,L206,$J$2:J206,J206,$N$2:N206,1)=1),1,0)</f>
        <v>1</v>
      </c>
      <c r="S206" s="1" t="n">
        <f aca="false">IF(AND(K206&lt;&gt;"Context and provider model",K206&lt;&gt;"Motivation"),1,0)</f>
        <v>1</v>
      </c>
    </row>
    <row r="207" customFormat="false" ht="15" hidden="false" customHeight="true" outlineLevel="0" collapsed="false">
      <c r="J207" s="1" t="str">
        <f aca="false">'Raw Atomic Data (Pro)'!A207</f>
        <v>Becky</v>
      </c>
      <c r="K207" s="1" t="str">
        <f aca="false">'Raw Atomic Data (Pro)'!C207</f>
        <v>Client acquisition</v>
      </c>
      <c r="L207" s="1" t="str">
        <f aca="false">'Raw Atomic Data (Pro)'!D207</f>
        <v>client-acquisition-discovery</v>
      </c>
      <c r="M207" s="1" t="str">
        <f aca="false">'Raw Atomic Data (Pro)'!E207</f>
        <v>fact</v>
      </c>
      <c r="N207" s="1" t="n">
        <f aca="false">IF(OR(M207="friction",M207="need",M207="workaround"),1,0)</f>
        <v>0</v>
      </c>
      <c r="O207" s="1" t="n">
        <f aca="false">IF(COUNTIFS($K$2:K207,K207,$L$2:L207,L207,$M$2:M207,M207,$J$2:J207,J207)=1,1,0)</f>
        <v>0</v>
      </c>
      <c r="P207" s="1" t="n">
        <f aca="false">IF(AND(N207=1,S207=1,COUNTIFS($L$2:L207,L207,$J$2:J207,J207,$N$2:N207,1,$S$2:S207,1)=1),1,0)</f>
        <v>0</v>
      </c>
      <c r="Q207" s="1" t="n">
        <f aca="false">IF(AND(N207=1,S207=1,COUNTIFS($L$2:L207,L207,$K$2:K207,K207,$N$2:N207,1,$S$2:S207,1)=1),1,0)</f>
        <v>0</v>
      </c>
      <c r="R207" s="1" t="n">
        <f aca="false">IF(AND(N207=1,COUNTIFS($K$2:K207,K207,$L$2:L207,L207,$J$2:J207,J207,$N$2:N207,1)=1),1,0)</f>
        <v>0</v>
      </c>
      <c r="S207" s="1" t="n">
        <f aca="false">IF(AND(K207&lt;&gt;"Context and provider model",K207&lt;&gt;"Motivation"),1,0)</f>
        <v>1</v>
      </c>
    </row>
    <row r="208" customFormat="false" ht="15" hidden="false" customHeight="true" outlineLevel="0" collapsed="false">
      <c r="J208" s="1" t="str">
        <f aca="false">'Raw Atomic Data (Pro)'!A208</f>
        <v>Becky</v>
      </c>
      <c r="K208" s="1" t="str">
        <f aca="false">'Raw Atomic Data (Pro)'!C208</f>
        <v>Client acquisition</v>
      </c>
      <c r="L208" s="1" t="str">
        <f aca="false">'Raw Atomic Data (Pro)'!D208</f>
        <v>client-acquisition-discovery</v>
      </c>
      <c r="M208" s="1" t="str">
        <f aca="false">'Raw Atomic Data (Pro)'!E208</f>
        <v>fact</v>
      </c>
      <c r="N208" s="1" t="n">
        <f aca="false">IF(OR(M208="friction",M208="need",M208="workaround"),1,0)</f>
        <v>0</v>
      </c>
      <c r="O208" s="1" t="n">
        <f aca="false">IF(COUNTIFS($K$2:K208,K208,$L$2:L208,L208,$M$2:M208,M208,$J$2:J208,J208)=1,1,0)</f>
        <v>0</v>
      </c>
      <c r="P208" s="1" t="n">
        <f aca="false">IF(AND(N208=1,S208=1,COUNTIFS($L$2:L208,L208,$J$2:J208,J208,$N$2:N208,1,$S$2:S208,1)=1),1,0)</f>
        <v>0</v>
      </c>
      <c r="Q208" s="1" t="n">
        <f aca="false">IF(AND(N208=1,S208=1,COUNTIFS($L$2:L208,L208,$K$2:K208,K208,$N$2:N208,1,$S$2:S208,1)=1),1,0)</f>
        <v>0</v>
      </c>
      <c r="R208" s="1" t="n">
        <f aca="false">IF(AND(N208=1,COUNTIFS($K$2:K208,K208,$L$2:L208,L208,$J$2:J208,J208,$N$2:N208,1)=1),1,0)</f>
        <v>0</v>
      </c>
      <c r="S208" s="1" t="n">
        <f aca="false">IF(AND(K208&lt;&gt;"Context and provider model",K208&lt;&gt;"Motivation"),1,0)</f>
        <v>1</v>
      </c>
    </row>
    <row r="209" customFormat="false" ht="15" hidden="false" customHeight="true" outlineLevel="0" collapsed="false">
      <c r="J209" s="1" t="str">
        <f aca="false">'Raw Atomic Data (Pro)'!A209</f>
        <v>Becky</v>
      </c>
      <c r="K209" s="1" t="str">
        <f aca="false">'Raw Atomic Data (Pro)'!C209</f>
        <v>Client acquisition</v>
      </c>
      <c r="L209" s="1" t="str">
        <f aca="false">'Raw Atomic Data (Pro)'!D209</f>
        <v>sitter-community-network</v>
      </c>
      <c r="M209" s="1" t="str">
        <f aca="false">'Raw Atomic Data (Pro)'!E209</f>
        <v>fact</v>
      </c>
      <c r="N209" s="1" t="n">
        <f aca="false">IF(OR(M209="friction",M209="need",M209="workaround"),1,0)</f>
        <v>0</v>
      </c>
      <c r="O209" s="1" t="n">
        <f aca="false">IF(COUNTIFS($K$2:K209,K209,$L$2:L209,L209,$M$2:M209,M209,$J$2:J209,J209)=1,1,0)</f>
        <v>1</v>
      </c>
      <c r="P209" s="1" t="n">
        <f aca="false">IF(AND(N209=1,S209=1,COUNTIFS($L$2:L209,L209,$J$2:J209,J209,$N$2:N209,1,$S$2:S209,1)=1),1,0)</f>
        <v>0</v>
      </c>
      <c r="Q209" s="1" t="n">
        <f aca="false">IF(AND(N209=1,S209=1,COUNTIFS($L$2:L209,L209,$K$2:K209,K209,$N$2:N209,1,$S$2:S209,1)=1),1,0)</f>
        <v>0</v>
      </c>
      <c r="R209" s="1" t="n">
        <f aca="false">IF(AND(N209=1,COUNTIFS($K$2:K209,K209,$L$2:L209,L209,$J$2:J209,J209,$N$2:N209,1)=1),1,0)</f>
        <v>0</v>
      </c>
      <c r="S209" s="1" t="n">
        <f aca="false">IF(AND(K209&lt;&gt;"Context and provider model",K209&lt;&gt;"Motivation"),1,0)</f>
        <v>1</v>
      </c>
    </row>
    <row r="210" customFormat="false" ht="15" hidden="false" customHeight="true" outlineLevel="0" collapsed="false">
      <c r="J210" s="1" t="str">
        <f aca="false">'Raw Atomic Data (Pro)'!A210</f>
        <v>Becky</v>
      </c>
      <c r="K210" s="1" t="str">
        <f aca="false">'Raw Atomic Data (Pro)'!C210</f>
        <v>Client acquisition</v>
      </c>
      <c r="L210" s="1" t="str">
        <f aca="false">'Raw Atomic Data (Pro)'!D210</f>
        <v>sitter-community-network</v>
      </c>
      <c r="M210" s="1" t="str">
        <f aca="false">'Raw Atomic Data (Pro)'!E210</f>
        <v>fact</v>
      </c>
      <c r="N210" s="1" t="n">
        <f aca="false">IF(OR(M210="friction",M210="need",M210="workaround"),1,0)</f>
        <v>0</v>
      </c>
      <c r="O210" s="1" t="n">
        <f aca="false">IF(COUNTIFS($K$2:K210,K210,$L$2:L210,L210,$M$2:M210,M210,$J$2:J210,J210)=1,1,0)</f>
        <v>0</v>
      </c>
      <c r="P210" s="1" t="n">
        <f aca="false">IF(AND(N210=1,S210=1,COUNTIFS($L$2:L210,L210,$J$2:J210,J210,$N$2:N210,1,$S$2:S210,1)=1),1,0)</f>
        <v>0</v>
      </c>
      <c r="Q210" s="1" t="n">
        <f aca="false">IF(AND(N210=1,S210=1,COUNTIFS($L$2:L210,L210,$K$2:K210,K210,$N$2:N210,1,$S$2:S210,1)=1),1,0)</f>
        <v>0</v>
      </c>
      <c r="R210" s="1" t="n">
        <f aca="false">IF(AND(N210=1,COUNTIFS($K$2:K210,K210,$L$2:L210,L210,$J$2:J210,J210,$N$2:N210,1)=1),1,0)</f>
        <v>0</v>
      </c>
      <c r="S210" s="1" t="n">
        <f aca="false">IF(AND(K210&lt;&gt;"Context and provider model",K210&lt;&gt;"Motivation"),1,0)</f>
        <v>1</v>
      </c>
    </row>
    <row r="211" customFormat="false" ht="15" hidden="false" customHeight="true" outlineLevel="0" collapsed="false">
      <c r="J211" s="1" t="str">
        <f aca="false">'Raw Atomic Data (Pro)'!A211</f>
        <v>Becky</v>
      </c>
      <c r="K211" s="1" t="str">
        <f aca="false">'Raw Atomic Data (Pro)'!C211</f>
        <v>Client acquisition</v>
      </c>
      <c r="L211" s="1" t="str">
        <f aca="false">'Raw Atomic Data (Pro)'!D211</f>
        <v>sitter-community-network</v>
      </c>
      <c r="M211" s="1" t="str">
        <f aca="false">'Raw Atomic Data (Pro)'!E211</f>
        <v>fact</v>
      </c>
      <c r="N211" s="1" t="n">
        <f aca="false">IF(OR(M211="friction",M211="need",M211="workaround"),1,0)</f>
        <v>0</v>
      </c>
      <c r="O211" s="1" t="n">
        <f aca="false">IF(COUNTIFS($K$2:K211,K211,$L$2:L211,L211,$M$2:M211,M211,$J$2:J211,J211)=1,1,0)</f>
        <v>0</v>
      </c>
      <c r="P211" s="1" t="n">
        <f aca="false">IF(AND(N211=1,S211=1,COUNTIFS($L$2:L211,L211,$J$2:J211,J211,$N$2:N211,1,$S$2:S211,1)=1),1,0)</f>
        <v>0</v>
      </c>
      <c r="Q211" s="1" t="n">
        <f aca="false">IF(AND(N211=1,S211=1,COUNTIFS($L$2:L211,L211,$K$2:K211,K211,$N$2:N211,1,$S$2:S211,1)=1),1,0)</f>
        <v>0</v>
      </c>
      <c r="R211" s="1" t="n">
        <f aca="false">IF(AND(N211=1,COUNTIFS($K$2:K211,K211,$L$2:L211,L211,$J$2:J211,J211,$N$2:N211,1)=1),1,0)</f>
        <v>0</v>
      </c>
      <c r="S211" s="1" t="n">
        <f aca="false">IF(AND(K211&lt;&gt;"Context and provider model",K211&lt;&gt;"Motivation"),1,0)</f>
        <v>1</v>
      </c>
    </row>
    <row r="212" customFormat="false" ht="15" hidden="false" customHeight="true" outlineLevel="0" collapsed="false">
      <c r="J212" s="1" t="str">
        <f aca="false">'Raw Atomic Data (Pro)'!A212</f>
        <v>Bruna</v>
      </c>
      <c r="K212" s="1" t="str">
        <f aca="false">'Raw Atomic Data (Pro)'!C212</f>
        <v>Client acquisition</v>
      </c>
      <c r="L212" s="1" t="str">
        <f aca="false">'Raw Atomic Data (Pro)'!D212</f>
        <v>client-acquisition-discovery</v>
      </c>
      <c r="M212" s="1" t="str">
        <f aca="false">'Raw Atomic Data (Pro)'!E212</f>
        <v>fact</v>
      </c>
      <c r="N212" s="1" t="n">
        <f aca="false">IF(OR(M212="friction",M212="need",M212="workaround"),1,0)</f>
        <v>0</v>
      </c>
      <c r="O212" s="1" t="n">
        <f aca="false">IF(COUNTIFS($K$2:K212,K212,$L$2:L212,L212,$M$2:M212,M212,$J$2:J212,J212)=1,1,0)</f>
        <v>1</v>
      </c>
      <c r="P212" s="1" t="n">
        <f aca="false">IF(AND(N212=1,S212=1,COUNTIFS($L$2:L212,L212,$J$2:J212,J212,$N$2:N212,1,$S$2:S212,1)=1),1,0)</f>
        <v>0</v>
      </c>
      <c r="Q212" s="1" t="n">
        <f aca="false">IF(AND(N212=1,S212=1,COUNTIFS($L$2:L212,L212,$K$2:K212,K212,$N$2:N212,1,$S$2:S212,1)=1),1,0)</f>
        <v>0</v>
      </c>
      <c r="R212" s="1" t="n">
        <f aca="false">IF(AND(N212=1,COUNTIFS($K$2:K212,K212,$L$2:L212,L212,$J$2:J212,J212,$N$2:N212,1)=1),1,0)</f>
        <v>0</v>
      </c>
      <c r="S212" s="1" t="n">
        <f aca="false">IF(AND(K212&lt;&gt;"Context and provider model",K212&lt;&gt;"Motivation"),1,0)</f>
        <v>1</v>
      </c>
    </row>
    <row r="213" customFormat="false" ht="15" hidden="false" customHeight="true" outlineLevel="0" collapsed="false">
      <c r="J213" s="1" t="str">
        <f aca="false">'Raw Atomic Data (Pro)'!A213</f>
        <v>Bruna</v>
      </c>
      <c r="K213" s="1" t="str">
        <f aca="false">'Raw Atomic Data (Pro)'!C213</f>
        <v>Client acquisition</v>
      </c>
      <c r="L213" s="1" t="str">
        <f aca="false">'Raw Atomic Data (Pro)'!D213</f>
        <v>client-acquisition-discovery</v>
      </c>
      <c r="M213" s="1" t="str">
        <f aca="false">'Raw Atomic Data (Pro)'!E213</f>
        <v>fact</v>
      </c>
      <c r="N213" s="1" t="n">
        <f aca="false">IF(OR(M213="friction",M213="need",M213="workaround"),1,0)</f>
        <v>0</v>
      </c>
      <c r="O213" s="1" t="n">
        <f aca="false">IF(COUNTIFS($K$2:K213,K213,$L$2:L213,L213,$M$2:M213,M213,$J$2:J213,J213)=1,1,0)</f>
        <v>0</v>
      </c>
      <c r="P213" s="1" t="n">
        <f aca="false">IF(AND(N213=1,S213=1,COUNTIFS($L$2:L213,L213,$J$2:J213,J213,$N$2:N213,1,$S$2:S213,1)=1),1,0)</f>
        <v>0</v>
      </c>
      <c r="Q213" s="1" t="n">
        <f aca="false">IF(AND(N213=1,S213=1,COUNTIFS($L$2:L213,L213,$K$2:K213,K213,$N$2:N213,1,$S$2:S213,1)=1),1,0)</f>
        <v>0</v>
      </c>
      <c r="R213" s="1" t="n">
        <f aca="false">IF(AND(N213=1,COUNTIFS($K$2:K213,K213,$L$2:L213,L213,$J$2:J213,J213,$N$2:N213,1)=1),1,0)</f>
        <v>0</v>
      </c>
      <c r="S213" s="1" t="n">
        <f aca="false">IF(AND(K213&lt;&gt;"Context and provider model",K213&lt;&gt;"Motivation"),1,0)</f>
        <v>1</v>
      </c>
    </row>
    <row r="214" customFormat="false" ht="15" hidden="false" customHeight="true" outlineLevel="0" collapsed="false">
      <c r="J214" s="1" t="str">
        <f aca="false">'Raw Atomic Data (Pro)'!A214</f>
        <v>Bruna</v>
      </c>
      <c r="K214" s="1" t="str">
        <f aca="false">'Raw Atomic Data (Pro)'!C214</f>
        <v>Client acquisition</v>
      </c>
      <c r="L214" s="1" t="str">
        <f aca="false">'Raw Atomic Data (Pro)'!D214</f>
        <v>private-business-parallel-ops</v>
      </c>
      <c r="M214" s="1" t="str">
        <f aca="false">'Raw Atomic Data (Pro)'!E214</f>
        <v>fact</v>
      </c>
      <c r="N214" s="1" t="n">
        <f aca="false">IF(OR(M214="friction",M214="need",M214="workaround"),1,0)</f>
        <v>0</v>
      </c>
      <c r="O214" s="1" t="n">
        <f aca="false">IF(COUNTIFS($K$2:K214,K214,$L$2:L214,L214,$M$2:M214,M214,$J$2:J214,J214)=1,1,0)</f>
        <v>1</v>
      </c>
      <c r="P214" s="1" t="n">
        <f aca="false">IF(AND(N214=1,S214=1,COUNTIFS($L$2:L214,L214,$J$2:J214,J214,$N$2:N214,1,$S$2:S214,1)=1),1,0)</f>
        <v>0</v>
      </c>
      <c r="Q214" s="1" t="n">
        <f aca="false">IF(AND(N214=1,S214=1,COUNTIFS($L$2:L214,L214,$K$2:K214,K214,$N$2:N214,1,$S$2:S214,1)=1),1,0)</f>
        <v>0</v>
      </c>
      <c r="R214" s="1" t="n">
        <f aca="false">IF(AND(N214=1,COUNTIFS($K$2:K214,K214,$L$2:L214,L214,$J$2:J214,J214,$N$2:N214,1)=1),1,0)</f>
        <v>0</v>
      </c>
      <c r="S214" s="1" t="n">
        <f aca="false">IF(AND(K214&lt;&gt;"Context and provider model",K214&lt;&gt;"Motivation"),1,0)</f>
        <v>1</v>
      </c>
    </row>
    <row r="215" customFormat="false" ht="15" hidden="false" customHeight="true" outlineLevel="0" collapsed="false">
      <c r="J215" s="1" t="str">
        <f aca="false">'Raw Atomic Data (Pro)'!A215</f>
        <v>Bruna</v>
      </c>
      <c r="K215" s="1" t="str">
        <f aca="false">'Raw Atomic Data (Pro)'!C215</f>
        <v>Client acquisition</v>
      </c>
      <c r="L215" s="1" t="str">
        <f aca="false">'Raw Atomic Data (Pro)'!D215</f>
        <v>pricing-rate-setting</v>
      </c>
      <c r="M215" s="1" t="str">
        <f aca="false">'Raw Atomic Data (Pro)'!E215</f>
        <v>friction</v>
      </c>
      <c r="N215" s="1" t="n">
        <f aca="false">IF(OR(M215="friction",M215="need",M215="workaround"),1,0)</f>
        <v>1</v>
      </c>
      <c r="O215" s="1" t="n">
        <f aca="false">IF(COUNTIFS($K$2:K215,K215,$L$2:L215,L215,$M$2:M215,M215,$J$2:J215,J215)=1,1,0)</f>
        <v>1</v>
      </c>
      <c r="P215" s="1" t="n">
        <f aca="false">IF(AND(N215=1,S215=1,COUNTIFS($L$2:L215,L215,$J$2:J215,J215,$N$2:N215,1,$S$2:S215,1)=1),1,0)</f>
        <v>1</v>
      </c>
      <c r="Q215" s="1" t="n">
        <f aca="false">IF(AND(N215=1,S215=1,COUNTIFS($L$2:L215,L215,$K$2:K215,K215,$N$2:N215,1,$S$2:S215,1)=1),1,0)</f>
        <v>1</v>
      </c>
      <c r="R215" s="1" t="n">
        <f aca="false">IF(AND(N215=1,COUNTIFS($K$2:K215,K215,$L$2:L215,L215,$J$2:J215,J215,$N$2:N215,1)=1),1,0)</f>
        <v>1</v>
      </c>
      <c r="S215" s="1" t="n">
        <f aca="false">IF(AND(K215&lt;&gt;"Context and provider model",K215&lt;&gt;"Motivation"),1,0)</f>
        <v>1</v>
      </c>
    </row>
    <row r="216" customFormat="false" ht="15" hidden="false" customHeight="true" outlineLevel="0" collapsed="false">
      <c r="J216" s="1" t="str">
        <f aca="false">'Raw Atomic Data (Pro)'!A216</f>
        <v>Bruna</v>
      </c>
      <c r="K216" s="1" t="str">
        <f aca="false">'Raw Atomic Data (Pro)'!C216</f>
        <v>Client acquisition</v>
      </c>
      <c r="L216" s="1" t="str">
        <f aca="false">'Raw Atomic Data (Pro)'!D216</f>
        <v>safety-risk-incidents</v>
      </c>
      <c r="M216" s="1" t="str">
        <f aca="false">'Raw Atomic Data (Pro)'!E216</f>
        <v>value-statement</v>
      </c>
      <c r="N216" s="1" t="n">
        <f aca="false">IF(OR(M216="friction",M216="need",M216="workaround"),1,0)</f>
        <v>0</v>
      </c>
      <c r="O216" s="1" t="n">
        <f aca="false">IF(COUNTIFS($K$2:K216,K216,$L$2:L216,L216,$M$2:M216,M216,$J$2:J216,J216)=1,1,0)</f>
        <v>1</v>
      </c>
      <c r="P216" s="1" t="n">
        <f aca="false">IF(AND(N216=1,S216=1,COUNTIFS($L$2:L216,L216,$J$2:J216,J216,$N$2:N216,1,$S$2:S216,1)=1),1,0)</f>
        <v>0</v>
      </c>
      <c r="Q216" s="1" t="n">
        <f aca="false">IF(AND(N216=1,S216=1,COUNTIFS($L$2:L216,L216,$K$2:K216,K216,$N$2:N216,1,$S$2:S216,1)=1),1,0)</f>
        <v>0</v>
      </c>
      <c r="R216" s="1" t="n">
        <f aca="false">IF(AND(N216=1,COUNTIFS($K$2:K216,K216,$L$2:L216,L216,$J$2:J216,J216,$N$2:N216,1)=1),1,0)</f>
        <v>0</v>
      </c>
      <c r="S216" s="1" t="n">
        <f aca="false">IF(AND(K216&lt;&gt;"Context and provider model",K216&lt;&gt;"Motivation"),1,0)</f>
        <v>1</v>
      </c>
    </row>
    <row r="217" customFormat="false" ht="15" hidden="false" customHeight="true" outlineLevel="0" collapsed="false">
      <c r="J217" s="1" t="str">
        <f aca="false">'Raw Atomic Data (Pro)'!A217</f>
        <v>Colin</v>
      </c>
      <c r="K217" s="1" t="str">
        <f aca="false">'Raw Atomic Data (Pro)'!C217</f>
        <v>Client acquisition</v>
      </c>
      <c r="L217" s="1" t="str">
        <f aca="false">'Raw Atomic Data (Pro)'!D217</f>
        <v>client-acquisition-discovery</v>
      </c>
      <c r="M217" s="1" t="str">
        <f aca="false">'Raw Atomic Data (Pro)'!E217</f>
        <v>fact</v>
      </c>
      <c r="N217" s="1" t="n">
        <f aca="false">IF(OR(M217="friction",M217="need",M217="workaround"),1,0)</f>
        <v>0</v>
      </c>
      <c r="O217" s="1" t="n">
        <f aca="false">IF(COUNTIFS($K$2:K217,K217,$L$2:L217,L217,$M$2:M217,M217,$J$2:J217,J217)=1,1,0)</f>
        <v>1</v>
      </c>
      <c r="P217" s="1" t="n">
        <f aca="false">IF(AND(N217=1,S217=1,COUNTIFS($L$2:L217,L217,$J$2:J217,J217,$N$2:N217,1,$S$2:S217,1)=1),1,0)</f>
        <v>0</v>
      </c>
      <c r="Q217" s="1" t="n">
        <f aca="false">IF(AND(N217=1,S217=1,COUNTIFS($L$2:L217,L217,$K$2:K217,K217,$N$2:N217,1,$S$2:S217,1)=1),1,0)</f>
        <v>0</v>
      </c>
      <c r="R217" s="1" t="n">
        <f aca="false">IF(AND(N217=1,COUNTIFS($K$2:K217,K217,$L$2:L217,L217,$J$2:J217,J217,$N$2:N217,1)=1),1,0)</f>
        <v>0</v>
      </c>
      <c r="S217" s="1" t="n">
        <f aca="false">IF(AND(K217&lt;&gt;"Context and provider model",K217&lt;&gt;"Motivation"),1,0)</f>
        <v>1</v>
      </c>
    </row>
    <row r="218" customFormat="false" ht="15" hidden="false" customHeight="true" outlineLevel="0" collapsed="false">
      <c r="J218" s="1" t="str">
        <f aca="false">'Raw Atomic Data (Pro)'!A218</f>
        <v>Colin</v>
      </c>
      <c r="K218" s="1" t="str">
        <f aca="false">'Raw Atomic Data (Pro)'!C218</f>
        <v>Client acquisition</v>
      </c>
      <c r="L218" s="1" t="str">
        <f aca="false">'Raw Atomic Data (Pro)'!D218</f>
        <v>client-acquisition-discovery</v>
      </c>
      <c r="M218" s="1" t="str">
        <f aca="false">'Raw Atomic Data (Pro)'!E218</f>
        <v>fact</v>
      </c>
      <c r="N218" s="1" t="n">
        <f aca="false">IF(OR(M218="friction",M218="need",M218="workaround"),1,0)</f>
        <v>0</v>
      </c>
      <c r="O218" s="1" t="n">
        <f aca="false">IF(COUNTIFS($K$2:K218,K218,$L$2:L218,L218,$M$2:M218,M218,$J$2:J218,J218)=1,1,0)</f>
        <v>0</v>
      </c>
      <c r="P218" s="1" t="n">
        <f aca="false">IF(AND(N218=1,S218=1,COUNTIFS($L$2:L218,L218,$J$2:J218,J218,$N$2:N218,1,$S$2:S218,1)=1),1,0)</f>
        <v>0</v>
      </c>
      <c r="Q218" s="1" t="n">
        <f aca="false">IF(AND(N218=1,S218=1,COUNTIFS($L$2:L218,L218,$K$2:K218,K218,$N$2:N218,1,$S$2:S218,1)=1),1,0)</f>
        <v>0</v>
      </c>
      <c r="R218" s="1" t="n">
        <f aca="false">IF(AND(N218=1,COUNTIFS($K$2:K218,K218,$L$2:L218,L218,$J$2:J218,J218,$N$2:N218,1)=1),1,0)</f>
        <v>0</v>
      </c>
      <c r="S218" s="1" t="n">
        <f aca="false">IF(AND(K218&lt;&gt;"Context and provider model",K218&lt;&gt;"Motivation"),1,0)</f>
        <v>1</v>
      </c>
    </row>
    <row r="219" customFormat="false" ht="15" hidden="false" customHeight="true" outlineLevel="0" collapsed="false">
      <c r="J219" s="1" t="str">
        <f aca="false">'Raw Atomic Data (Pro)'!A219</f>
        <v>Colin</v>
      </c>
      <c r="K219" s="1" t="str">
        <f aca="false">'Raw Atomic Data (Pro)'!C219</f>
        <v>Client acquisition</v>
      </c>
      <c r="L219" s="1" t="str">
        <f aca="false">'Raw Atomic Data (Pro)'!D219</f>
        <v>repeat-client-relationships</v>
      </c>
      <c r="M219" s="1" t="str">
        <f aca="false">'Raw Atomic Data (Pro)'!E219</f>
        <v>fact</v>
      </c>
      <c r="N219" s="1" t="n">
        <f aca="false">IF(OR(M219="friction",M219="need",M219="workaround"),1,0)</f>
        <v>0</v>
      </c>
      <c r="O219" s="1" t="n">
        <f aca="false">IF(COUNTIFS($K$2:K219,K219,$L$2:L219,L219,$M$2:M219,M219,$J$2:J219,J219)=1,1,0)</f>
        <v>1</v>
      </c>
      <c r="P219" s="1" t="n">
        <f aca="false">IF(AND(N219=1,S219=1,COUNTIFS($L$2:L219,L219,$J$2:J219,J219,$N$2:N219,1,$S$2:S219,1)=1),1,0)</f>
        <v>0</v>
      </c>
      <c r="Q219" s="1" t="n">
        <f aca="false">IF(AND(N219=1,S219=1,COUNTIFS($L$2:L219,L219,$K$2:K219,K219,$N$2:N219,1,$S$2:S219,1)=1),1,0)</f>
        <v>0</v>
      </c>
      <c r="R219" s="1" t="n">
        <f aca="false">IF(AND(N219=1,COUNTIFS($K$2:K219,K219,$L$2:L219,L219,$J$2:J219,J219,$N$2:N219,1)=1),1,0)</f>
        <v>0</v>
      </c>
      <c r="S219" s="1" t="n">
        <f aca="false">IF(AND(K219&lt;&gt;"Context and provider model",K219&lt;&gt;"Motivation"),1,0)</f>
        <v>1</v>
      </c>
    </row>
    <row r="220" customFormat="false" ht="15" hidden="false" customHeight="true" outlineLevel="0" collapsed="false">
      <c r="J220" s="1" t="str">
        <f aca="false">'Raw Atomic Data (Pro)'!A220</f>
        <v>Colin</v>
      </c>
      <c r="K220" s="1" t="str">
        <f aca="false">'Raw Atomic Data (Pro)'!C220</f>
        <v>Client acquisition</v>
      </c>
      <c r="L220" s="1" t="str">
        <f aca="false">'Raw Atomic Data (Pro)'!D220</f>
        <v>client-acquisition-discovery</v>
      </c>
      <c r="M220" s="1" t="str">
        <f aca="false">'Raw Atomic Data (Pro)'!E220</f>
        <v>fact</v>
      </c>
      <c r="N220" s="1" t="n">
        <f aca="false">IF(OR(M220="friction",M220="need",M220="workaround"),1,0)</f>
        <v>0</v>
      </c>
      <c r="O220" s="1" t="n">
        <f aca="false">IF(COUNTIFS($K$2:K220,K220,$L$2:L220,L220,$M$2:M220,M220,$J$2:J220,J220)=1,1,0)</f>
        <v>0</v>
      </c>
      <c r="P220" s="1" t="n">
        <f aca="false">IF(AND(N220=1,S220=1,COUNTIFS($L$2:L220,L220,$J$2:J220,J220,$N$2:N220,1,$S$2:S220,1)=1),1,0)</f>
        <v>0</v>
      </c>
      <c r="Q220" s="1" t="n">
        <f aca="false">IF(AND(N220=1,S220=1,COUNTIFS($L$2:L220,L220,$K$2:K220,K220,$N$2:N220,1,$S$2:S220,1)=1),1,0)</f>
        <v>0</v>
      </c>
      <c r="R220" s="1" t="n">
        <f aca="false">IF(AND(N220=1,COUNTIFS($K$2:K220,K220,$L$2:L220,L220,$J$2:J220,J220,$N$2:N220,1)=1),1,0)</f>
        <v>0</v>
      </c>
      <c r="S220" s="1" t="n">
        <f aca="false">IF(AND(K220&lt;&gt;"Context and provider model",K220&lt;&gt;"Motivation"),1,0)</f>
        <v>1</v>
      </c>
    </row>
    <row r="221" customFormat="false" ht="15" hidden="false" customHeight="true" outlineLevel="0" collapsed="false">
      <c r="J221" s="1" t="str">
        <f aca="false">'Raw Atomic Data (Pro)'!A221</f>
        <v>Colin</v>
      </c>
      <c r="K221" s="1" t="str">
        <f aca="false">'Raw Atomic Data (Pro)'!C221</f>
        <v>Client acquisition</v>
      </c>
      <c r="L221" s="1" t="str">
        <f aca="false">'Raw Atomic Data (Pro)'!D221</f>
        <v>client-acquisition-discovery</v>
      </c>
      <c r="M221" s="1" t="str">
        <f aca="false">'Raw Atomic Data (Pro)'!E221</f>
        <v>fact</v>
      </c>
      <c r="N221" s="1" t="n">
        <f aca="false">IF(OR(M221="friction",M221="need",M221="workaround"),1,0)</f>
        <v>0</v>
      </c>
      <c r="O221" s="1" t="n">
        <f aca="false">IF(COUNTIFS($K$2:K221,K221,$L$2:L221,L221,$M$2:M221,M221,$J$2:J221,J221)=1,1,0)</f>
        <v>0</v>
      </c>
      <c r="P221" s="1" t="n">
        <f aca="false">IF(AND(N221=1,S221=1,COUNTIFS($L$2:L221,L221,$J$2:J221,J221,$N$2:N221,1,$S$2:S221,1)=1),1,0)</f>
        <v>0</v>
      </c>
      <c r="Q221" s="1" t="n">
        <f aca="false">IF(AND(N221=1,S221=1,COUNTIFS($L$2:L221,L221,$K$2:K221,K221,$N$2:N221,1,$S$2:S221,1)=1),1,0)</f>
        <v>0</v>
      </c>
      <c r="R221" s="1" t="n">
        <f aca="false">IF(AND(N221=1,COUNTIFS($K$2:K221,K221,$L$2:L221,L221,$J$2:J221,J221,$N$2:N221,1)=1),1,0)</f>
        <v>0</v>
      </c>
      <c r="S221" s="1" t="n">
        <f aca="false">IF(AND(K221&lt;&gt;"Context and provider model",K221&lt;&gt;"Motivation"),1,0)</f>
        <v>1</v>
      </c>
    </row>
    <row r="222" customFormat="false" ht="15" hidden="false" customHeight="true" outlineLevel="0" collapsed="false">
      <c r="J222" s="1" t="str">
        <f aca="false">'Raw Atomic Data (Pro)'!A222</f>
        <v>Dawn</v>
      </c>
      <c r="K222" s="1" t="str">
        <f aca="false">'Raw Atomic Data (Pro)'!C222</f>
        <v>Client acquisition</v>
      </c>
      <c r="L222" s="1" t="str">
        <f aca="false">'Raw Atomic Data (Pro)'!D222</f>
        <v>booking-confirmation-mechanics</v>
      </c>
      <c r="M222" s="1" t="str">
        <f aca="false">'Raw Atomic Data (Pro)'!E222</f>
        <v>fact</v>
      </c>
      <c r="N222" s="1" t="n">
        <f aca="false">IF(OR(M222="friction",M222="need",M222="workaround"),1,0)</f>
        <v>0</v>
      </c>
      <c r="O222" s="1" t="n">
        <f aca="false">IF(COUNTIFS($K$2:K222,K222,$L$2:L222,L222,$M$2:M222,M222,$J$2:J222,J222)=1,1,0)</f>
        <v>1</v>
      </c>
      <c r="P222" s="1" t="n">
        <f aca="false">IF(AND(N222=1,S222=1,COUNTIFS($L$2:L222,L222,$J$2:J222,J222,$N$2:N222,1,$S$2:S222,1)=1),1,0)</f>
        <v>0</v>
      </c>
      <c r="Q222" s="1" t="n">
        <f aca="false">IF(AND(N222=1,S222=1,COUNTIFS($L$2:L222,L222,$K$2:K222,K222,$N$2:N222,1,$S$2:S222,1)=1),1,0)</f>
        <v>0</v>
      </c>
      <c r="R222" s="1" t="n">
        <f aca="false">IF(AND(N222=1,COUNTIFS($K$2:K222,K222,$L$2:L222,L222,$J$2:J222,J222,$N$2:N222,1)=1),1,0)</f>
        <v>0</v>
      </c>
      <c r="S222" s="1" t="n">
        <f aca="false">IF(AND(K222&lt;&gt;"Context and provider model",K222&lt;&gt;"Motivation"),1,0)</f>
        <v>1</v>
      </c>
    </row>
    <row r="223" customFormat="false" ht="15" hidden="false" customHeight="true" outlineLevel="0" collapsed="false">
      <c r="J223" s="1" t="str">
        <f aca="false">'Raw Atomic Data (Pro)'!A223</f>
        <v>Dawn</v>
      </c>
      <c r="K223" s="1" t="str">
        <f aca="false">'Raw Atomic Data (Pro)'!C223</f>
        <v>Client acquisition</v>
      </c>
      <c r="L223" s="1" t="str">
        <f aca="false">'Raw Atomic Data (Pro)'!D223</f>
        <v>booking-confirmation-mechanics</v>
      </c>
      <c r="M223" s="1" t="str">
        <f aca="false">'Raw Atomic Data (Pro)'!E223</f>
        <v>workaround</v>
      </c>
      <c r="N223" s="1" t="n">
        <f aca="false">IF(OR(M223="friction",M223="need",M223="workaround"),1,0)</f>
        <v>1</v>
      </c>
      <c r="O223" s="1" t="n">
        <f aca="false">IF(COUNTIFS($K$2:K223,K223,$L$2:L223,L223,$M$2:M223,M223,$J$2:J223,J223)=1,1,0)</f>
        <v>1</v>
      </c>
      <c r="P223" s="1" t="n">
        <f aca="false">IF(AND(N223=1,S223=1,COUNTIFS($L$2:L223,L223,$J$2:J223,J223,$N$2:N223,1,$S$2:S223,1)=1),1,0)</f>
        <v>1</v>
      </c>
      <c r="Q223" s="1" t="n">
        <f aca="false">IF(AND(N223=1,S223=1,COUNTIFS($L$2:L223,L223,$K$2:K223,K223,$N$2:N223,1,$S$2:S223,1)=1),1,0)</f>
        <v>1</v>
      </c>
      <c r="R223" s="1" t="n">
        <f aca="false">IF(AND(N223=1,COUNTIFS($K$2:K223,K223,$L$2:L223,L223,$J$2:J223,J223,$N$2:N223,1)=1),1,0)</f>
        <v>1</v>
      </c>
      <c r="S223" s="1" t="n">
        <f aca="false">IF(AND(K223&lt;&gt;"Context and provider model",K223&lt;&gt;"Motivation"),1,0)</f>
        <v>1</v>
      </c>
    </row>
    <row r="224" customFormat="false" ht="15" hidden="false" customHeight="true" outlineLevel="0" collapsed="false">
      <c r="J224" s="1" t="str">
        <f aca="false">'Raw Atomic Data (Pro)'!A224</f>
        <v>Erika</v>
      </c>
      <c r="K224" s="1" t="str">
        <f aca="false">'Raw Atomic Data (Pro)'!C224</f>
        <v>Client acquisition</v>
      </c>
      <c r="L224" s="1" t="str">
        <f aca="false">'Raw Atomic Data (Pro)'!D224</f>
        <v>onboarding-signup-process</v>
      </c>
      <c r="M224" s="1" t="str">
        <f aca="false">'Raw Atomic Data (Pro)'!E224</f>
        <v>fact</v>
      </c>
      <c r="N224" s="1" t="n">
        <f aca="false">IF(OR(M224="friction",M224="need",M224="workaround"),1,0)</f>
        <v>0</v>
      </c>
      <c r="O224" s="1" t="n">
        <f aca="false">IF(COUNTIFS($K$2:K224,K224,$L$2:L224,L224,$M$2:M224,M224,$J$2:J224,J224)=1,1,0)</f>
        <v>1</v>
      </c>
      <c r="P224" s="1" t="n">
        <f aca="false">IF(AND(N224=1,S224=1,COUNTIFS($L$2:L224,L224,$J$2:J224,J224,$N$2:N224,1,$S$2:S224,1)=1),1,0)</f>
        <v>0</v>
      </c>
      <c r="Q224" s="1" t="n">
        <f aca="false">IF(AND(N224=1,S224=1,COUNTIFS($L$2:L224,L224,$K$2:K224,K224,$N$2:N224,1,$S$2:S224,1)=1),1,0)</f>
        <v>0</v>
      </c>
      <c r="R224" s="1" t="n">
        <f aca="false">IF(AND(N224=1,COUNTIFS($K$2:K224,K224,$L$2:L224,L224,$J$2:J224,J224,$N$2:N224,1)=1),1,0)</f>
        <v>0</v>
      </c>
      <c r="S224" s="1" t="n">
        <f aca="false">IF(AND(K224&lt;&gt;"Context and provider model",K224&lt;&gt;"Motivation"),1,0)</f>
        <v>1</v>
      </c>
    </row>
    <row r="225" customFormat="false" ht="15" hidden="false" customHeight="true" outlineLevel="0" collapsed="false">
      <c r="J225" s="1" t="str">
        <f aca="false">'Raw Atomic Data (Pro)'!A225</f>
        <v>Erika</v>
      </c>
      <c r="K225" s="1" t="str">
        <f aca="false">'Raw Atomic Data (Pro)'!C225</f>
        <v>Client acquisition</v>
      </c>
      <c r="L225" s="1" t="str">
        <f aca="false">'Raw Atomic Data (Pro)'!D225</f>
        <v>onboarding-signup-process</v>
      </c>
      <c r="M225" s="1" t="str">
        <f aca="false">'Raw Atomic Data (Pro)'!E225</f>
        <v>value-statement</v>
      </c>
      <c r="N225" s="1" t="n">
        <f aca="false">IF(OR(M225="friction",M225="need",M225="workaround"),1,0)</f>
        <v>0</v>
      </c>
      <c r="O225" s="1" t="n">
        <f aca="false">IF(COUNTIFS($K$2:K225,K225,$L$2:L225,L225,$M$2:M225,M225,$J$2:J225,J225)=1,1,0)</f>
        <v>1</v>
      </c>
      <c r="P225" s="1" t="n">
        <f aca="false">IF(AND(N225=1,S225=1,COUNTIFS($L$2:L225,L225,$J$2:J225,J225,$N$2:N225,1,$S$2:S225,1)=1),1,0)</f>
        <v>0</v>
      </c>
      <c r="Q225" s="1" t="n">
        <f aca="false">IF(AND(N225=1,S225=1,COUNTIFS($L$2:L225,L225,$K$2:K225,K225,$N$2:N225,1,$S$2:S225,1)=1),1,0)</f>
        <v>0</v>
      </c>
      <c r="R225" s="1" t="n">
        <f aca="false">IF(AND(N225=1,COUNTIFS($K$2:K225,K225,$L$2:L225,L225,$J$2:J225,J225,$N$2:N225,1)=1),1,0)</f>
        <v>0</v>
      </c>
      <c r="S225" s="1" t="n">
        <f aca="false">IF(AND(K225&lt;&gt;"Context and provider model",K225&lt;&gt;"Motivation"),1,0)</f>
        <v>1</v>
      </c>
    </row>
    <row r="226" customFormat="false" ht="15" hidden="false" customHeight="true" outlineLevel="0" collapsed="false">
      <c r="J226" s="1" t="str">
        <f aca="false">'Raw Atomic Data (Pro)'!A226</f>
        <v>Erika</v>
      </c>
      <c r="K226" s="1" t="str">
        <f aca="false">'Raw Atomic Data (Pro)'!C226</f>
        <v>Client acquisition</v>
      </c>
      <c r="L226" s="1" t="str">
        <f aca="false">'Raw Atomic Data (Pro)'!D226</f>
        <v>onboarding-signup-process</v>
      </c>
      <c r="M226" s="1" t="str">
        <f aca="false">'Raw Atomic Data (Pro)'!E226</f>
        <v>fact</v>
      </c>
      <c r="N226" s="1" t="n">
        <f aca="false">IF(OR(M226="friction",M226="need",M226="workaround"),1,0)</f>
        <v>0</v>
      </c>
      <c r="O226" s="1" t="n">
        <f aca="false">IF(COUNTIFS($K$2:K226,K226,$L$2:L226,L226,$M$2:M226,M226,$J$2:J226,J226)=1,1,0)</f>
        <v>0</v>
      </c>
      <c r="P226" s="1" t="n">
        <f aca="false">IF(AND(N226=1,S226=1,COUNTIFS($L$2:L226,L226,$J$2:J226,J226,$N$2:N226,1,$S$2:S226,1)=1),1,0)</f>
        <v>0</v>
      </c>
      <c r="Q226" s="1" t="n">
        <f aca="false">IF(AND(N226=1,S226=1,COUNTIFS($L$2:L226,L226,$K$2:K226,K226,$N$2:N226,1,$S$2:S226,1)=1),1,0)</f>
        <v>0</v>
      </c>
      <c r="R226" s="1" t="n">
        <f aca="false">IF(AND(N226=1,COUNTIFS($K$2:K226,K226,$L$2:L226,L226,$J$2:J226,J226,$N$2:N226,1)=1),1,0)</f>
        <v>0</v>
      </c>
      <c r="S226" s="1" t="n">
        <f aca="false">IF(AND(K226&lt;&gt;"Context and provider model",K226&lt;&gt;"Motivation"),1,0)</f>
        <v>1</v>
      </c>
    </row>
    <row r="227" customFormat="false" ht="15" hidden="false" customHeight="true" outlineLevel="0" collapsed="false">
      <c r="J227" s="1" t="str">
        <f aca="false">'Raw Atomic Data (Pro)'!A227</f>
        <v>Erika</v>
      </c>
      <c r="K227" s="1" t="str">
        <f aca="false">'Raw Atomic Data (Pro)'!C227</f>
        <v>Client acquisition</v>
      </c>
      <c r="L227" s="1" t="str">
        <f aca="false">'Raw Atomic Data (Pro)'!D227</f>
        <v>messaging-platform-mechanics</v>
      </c>
      <c r="M227" s="1" t="str">
        <f aca="false">'Raw Atomic Data (Pro)'!E227</f>
        <v>fact</v>
      </c>
      <c r="N227" s="1" t="n">
        <f aca="false">IF(OR(M227="friction",M227="need",M227="workaround"),1,0)</f>
        <v>0</v>
      </c>
      <c r="O227" s="1" t="n">
        <f aca="false">IF(COUNTIFS($K$2:K227,K227,$L$2:L227,L227,$M$2:M227,M227,$J$2:J227,J227)=1,1,0)</f>
        <v>1</v>
      </c>
      <c r="P227" s="1" t="n">
        <f aca="false">IF(AND(N227=1,S227=1,COUNTIFS($L$2:L227,L227,$J$2:J227,J227,$N$2:N227,1,$S$2:S227,1)=1),1,0)</f>
        <v>0</v>
      </c>
      <c r="Q227" s="1" t="n">
        <f aca="false">IF(AND(N227=1,S227=1,COUNTIFS($L$2:L227,L227,$K$2:K227,K227,$N$2:N227,1,$S$2:S227,1)=1),1,0)</f>
        <v>0</v>
      </c>
      <c r="R227" s="1" t="n">
        <f aca="false">IF(AND(N227=1,COUNTIFS($K$2:K227,K227,$L$2:L227,L227,$J$2:J227,J227,$N$2:N227,1)=1),1,0)</f>
        <v>0</v>
      </c>
      <c r="S227" s="1" t="n">
        <f aca="false">IF(AND(K227&lt;&gt;"Context and provider model",K227&lt;&gt;"Motivation"),1,0)</f>
        <v>1</v>
      </c>
    </row>
    <row r="228" customFormat="false" ht="15" hidden="false" customHeight="true" outlineLevel="0" collapsed="false">
      <c r="J228" s="1" t="str">
        <f aca="false">'Raw Atomic Data (Pro)'!A228</f>
        <v>Erika</v>
      </c>
      <c r="K228" s="1" t="str">
        <f aca="false">'Raw Atomic Data (Pro)'!C228</f>
        <v>Client acquisition</v>
      </c>
      <c r="L228" s="1" t="str">
        <f aca="false">'Raw Atomic Data (Pro)'!D228</f>
        <v>client-acquisition-discovery</v>
      </c>
      <c r="M228" s="1" t="str">
        <f aca="false">'Raw Atomic Data (Pro)'!E228</f>
        <v>fact</v>
      </c>
      <c r="N228" s="1" t="n">
        <f aca="false">IF(OR(M228="friction",M228="need",M228="workaround"),1,0)</f>
        <v>0</v>
      </c>
      <c r="O228" s="1" t="n">
        <f aca="false">IF(COUNTIFS($K$2:K228,K228,$L$2:L228,L228,$M$2:M228,M228,$J$2:J228,J228)=1,1,0)</f>
        <v>1</v>
      </c>
      <c r="P228" s="1" t="n">
        <f aca="false">IF(AND(N228=1,S228=1,COUNTIFS($L$2:L228,L228,$J$2:J228,J228,$N$2:N228,1,$S$2:S228,1)=1),1,0)</f>
        <v>0</v>
      </c>
      <c r="Q228" s="1" t="n">
        <f aca="false">IF(AND(N228=1,S228=1,COUNTIFS($L$2:L228,L228,$K$2:K228,K228,$N$2:N228,1,$S$2:S228,1)=1),1,0)</f>
        <v>0</v>
      </c>
      <c r="R228" s="1" t="n">
        <f aca="false">IF(AND(N228=1,COUNTIFS($K$2:K228,K228,$L$2:L228,L228,$J$2:J228,J228,$N$2:N228,1)=1),1,0)</f>
        <v>0</v>
      </c>
      <c r="S228" s="1" t="n">
        <f aca="false">IF(AND(K228&lt;&gt;"Context and provider model",K228&lt;&gt;"Motivation"),1,0)</f>
        <v>1</v>
      </c>
    </row>
    <row r="229" customFormat="false" ht="15" hidden="false" customHeight="true" outlineLevel="0" collapsed="false">
      <c r="J229" s="1" t="str">
        <f aca="false">'Raw Atomic Data (Pro)'!A229</f>
        <v>Erika</v>
      </c>
      <c r="K229" s="1" t="str">
        <f aca="false">'Raw Atomic Data (Pro)'!C229</f>
        <v>Client acquisition</v>
      </c>
      <c r="L229" s="1" t="str">
        <f aca="false">'Raw Atomic Data (Pro)'!D229</f>
        <v>client-acquisition-discovery</v>
      </c>
      <c r="M229" s="1" t="str">
        <f aca="false">'Raw Atomic Data (Pro)'!E229</f>
        <v>fact</v>
      </c>
      <c r="N229" s="1" t="n">
        <f aca="false">IF(OR(M229="friction",M229="need",M229="workaround"),1,0)</f>
        <v>0</v>
      </c>
      <c r="O229" s="1" t="n">
        <f aca="false">IF(COUNTIFS($K$2:K229,K229,$L$2:L229,L229,$M$2:M229,M229,$J$2:J229,J229)=1,1,0)</f>
        <v>0</v>
      </c>
      <c r="P229" s="1" t="n">
        <f aca="false">IF(AND(N229=1,S229=1,COUNTIFS($L$2:L229,L229,$J$2:J229,J229,$N$2:N229,1,$S$2:S229,1)=1),1,0)</f>
        <v>0</v>
      </c>
      <c r="Q229" s="1" t="n">
        <f aca="false">IF(AND(N229=1,S229=1,COUNTIFS($L$2:L229,L229,$K$2:K229,K229,$N$2:N229,1,$S$2:S229,1)=1),1,0)</f>
        <v>0</v>
      </c>
      <c r="R229" s="1" t="n">
        <f aca="false">IF(AND(N229=1,COUNTIFS($K$2:K229,K229,$L$2:L229,L229,$J$2:J229,J229,$N$2:N229,1)=1),1,0)</f>
        <v>0</v>
      </c>
      <c r="S229" s="1" t="n">
        <f aca="false">IF(AND(K229&lt;&gt;"Context and provider model",K229&lt;&gt;"Motivation"),1,0)</f>
        <v>1</v>
      </c>
    </row>
    <row r="230" customFormat="false" ht="15" hidden="false" customHeight="true" outlineLevel="0" collapsed="false">
      <c r="J230" s="1" t="str">
        <f aca="false">'Raw Atomic Data (Pro)'!A230</f>
        <v>Kristin</v>
      </c>
      <c r="K230" s="1" t="str">
        <f aca="false">'Raw Atomic Data (Pro)'!C230</f>
        <v>Client acquisition</v>
      </c>
      <c r="L230" s="1" t="str">
        <f aca="false">'Raw Atomic Data (Pro)'!D230</f>
        <v>client-acquisition-discovery</v>
      </c>
      <c r="M230" s="1" t="str">
        <f aca="false">'Raw Atomic Data (Pro)'!E230</f>
        <v>fact</v>
      </c>
      <c r="N230" s="1" t="n">
        <f aca="false">IF(OR(M230="friction",M230="need",M230="workaround"),1,0)</f>
        <v>0</v>
      </c>
      <c r="O230" s="1" t="n">
        <f aca="false">IF(COUNTIFS($K$2:K230,K230,$L$2:L230,L230,$M$2:M230,M230,$J$2:J230,J230)=1,1,0)</f>
        <v>1</v>
      </c>
      <c r="P230" s="1" t="n">
        <f aca="false">IF(AND(N230=1,S230=1,COUNTIFS($L$2:L230,L230,$J$2:J230,J230,$N$2:N230,1,$S$2:S230,1)=1),1,0)</f>
        <v>0</v>
      </c>
      <c r="Q230" s="1" t="n">
        <f aca="false">IF(AND(N230=1,S230=1,COUNTIFS($L$2:L230,L230,$K$2:K230,K230,$N$2:N230,1,$S$2:S230,1)=1),1,0)</f>
        <v>0</v>
      </c>
      <c r="R230" s="1" t="n">
        <f aca="false">IF(AND(N230=1,COUNTIFS($K$2:K230,K230,$L$2:L230,L230,$J$2:J230,J230,$N$2:N230,1)=1),1,0)</f>
        <v>0</v>
      </c>
      <c r="S230" s="1" t="n">
        <f aca="false">IF(AND(K230&lt;&gt;"Context and provider model",K230&lt;&gt;"Motivation"),1,0)</f>
        <v>1</v>
      </c>
    </row>
    <row r="231" customFormat="false" ht="15" hidden="false" customHeight="true" outlineLevel="0" collapsed="false">
      <c r="J231" s="1" t="str">
        <f aca="false">'Raw Atomic Data (Pro)'!A231</f>
        <v>Kristin</v>
      </c>
      <c r="K231" s="1" t="str">
        <f aca="false">'Raw Atomic Data (Pro)'!C231</f>
        <v>Client acquisition</v>
      </c>
      <c r="L231" s="1" t="str">
        <f aca="false">'Raw Atomic Data (Pro)'!D231</f>
        <v>client-acquisition-discovery</v>
      </c>
      <c r="M231" s="1" t="str">
        <f aca="false">'Raw Atomic Data (Pro)'!E231</f>
        <v>value-statement</v>
      </c>
      <c r="N231" s="1" t="n">
        <f aca="false">IF(OR(M231="friction",M231="need",M231="workaround"),1,0)</f>
        <v>0</v>
      </c>
      <c r="O231" s="1" t="n">
        <f aca="false">IF(COUNTIFS($K$2:K231,K231,$L$2:L231,L231,$M$2:M231,M231,$J$2:J231,J231)=1,1,0)</f>
        <v>1</v>
      </c>
      <c r="P231" s="1" t="n">
        <f aca="false">IF(AND(N231=1,S231=1,COUNTIFS($L$2:L231,L231,$J$2:J231,J231,$N$2:N231,1,$S$2:S231,1)=1),1,0)</f>
        <v>0</v>
      </c>
      <c r="Q231" s="1" t="n">
        <f aca="false">IF(AND(N231=1,S231=1,COUNTIFS($L$2:L231,L231,$K$2:K231,K231,$N$2:N231,1,$S$2:S231,1)=1),1,0)</f>
        <v>0</v>
      </c>
      <c r="R231" s="1" t="n">
        <f aca="false">IF(AND(N231=1,COUNTIFS($K$2:K231,K231,$L$2:L231,L231,$J$2:J231,J231,$N$2:N231,1)=1),1,0)</f>
        <v>0</v>
      </c>
      <c r="S231" s="1" t="n">
        <f aca="false">IF(AND(K231&lt;&gt;"Context and provider model",K231&lt;&gt;"Motivation"),1,0)</f>
        <v>1</v>
      </c>
    </row>
    <row r="232" customFormat="false" ht="15" hidden="false" customHeight="true" outlineLevel="0" collapsed="false">
      <c r="J232" s="1" t="str">
        <f aca="false">'Raw Atomic Data (Pro)'!A232</f>
        <v>Kristin</v>
      </c>
      <c r="K232" s="1" t="str">
        <f aca="false">'Raw Atomic Data (Pro)'!C232</f>
        <v>Client acquisition</v>
      </c>
      <c r="L232" s="1" t="str">
        <f aca="false">'Raw Atomic Data (Pro)'!D232</f>
        <v>client-acquisition-discovery</v>
      </c>
      <c r="M232" s="1" t="str">
        <f aca="false">'Raw Atomic Data (Pro)'!E232</f>
        <v>fact</v>
      </c>
      <c r="N232" s="1" t="n">
        <f aca="false">IF(OR(M232="friction",M232="need",M232="workaround"),1,0)</f>
        <v>0</v>
      </c>
      <c r="O232" s="1" t="n">
        <f aca="false">IF(COUNTIFS($K$2:K232,K232,$L$2:L232,L232,$M$2:M232,M232,$J$2:J232,J232)=1,1,0)</f>
        <v>0</v>
      </c>
      <c r="P232" s="1" t="n">
        <f aca="false">IF(AND(N232=1,S232=1,COUNTIFS($L$2:L232,L232,$J$2:J232,J232,$N$2:N232,1,$S$2:S232,1)=1),1,0)</f>
        <v>0</v>
      </c>
      <c r="Q232" s="1" t="n">
        <f aca="false">IF(AND(N232=1,S232=1,COUNTIFS($L$2:L232,L232,$K$2:K232,K232,$N$2:N232,1,$S$2:S232,1)=1),1,0)</f>
        <v>0</v>
      </c>
      <c r="R232" s="1" t="n">
        <f aca="false">IF(AND(N232=1,COUNTIFS($K$2:K232,K232,$L$2:L232,L232,$J$2:J232,J232,$N$2:N232,1)=1),1,0)</f>
        <v>0</v>
      </c>
      <c r="S232" s="1" t="n">
        <f aca="false">IF(AND(K232&lt;&gt;"Context and provider model",K232&lt;&gt;"Motivation"),1,0)</f>
        <v>1</v>
      </c>
    </row>
    <row r="233" customFormat="false" ht="15" hidden="false" customHeight="true" outlineLevel="0" collapsed="false">
      <c r="J233" s="1" t="str">
        <f aca="false">'Raw Atomic Data (Pro)'!A233</f>
        <v>Kristin</v>
      </c>
      <c r="K233" s="1" t="str">
        <f aca="false">'Raw Atomic Data (Pro)'!C233</f>
        <v>Client acquisition</v>
      </c>
      <c r="L233" s="1" t="str">
        <f aca="false">'Raw Atomic Data (Pro)'!D233</f>
        <v>off-platform-clients-leakage</v>
      </c>
      <c r="M233" s="1" t="str">
        <f aca="false">'Raw Atomic Data (Pro)'!E233</f>
        <v>fact</v>
      </c>
      <c r="N233" s="1" t="n">
        <f aca="false">IF(OR(M233="friction",M233="need",M233="workaround"),1,0)</f>
        <v>0</v>
      </c>
      <c r="O233" s="1" t="n">
        <f aca="false">IF(COUNTIFS($K$2:K233,K233,$L$2:L233,L233,$M$2:M233,M233,$J$2:J233,J233)=1,1,0)</f>
        <v>1</v>
      </c>
      <c r="P233" s="1" t="n">
        <f aca="false">IF(AND(N233=1,S233=1,COUNTIFS($L$2:L233,L233,$J$2:J233,J233,$N$2:N233,1,$S$2:S233,1)=1),1,0)</f>
        <v>0</v>
      </c>
      <c r="Q233" s="1" t="n">
        <f aca="false">IF(AND(N233=1,S233=1,COUNTIFS($L$2:L233,L233,$K$2:K233,K233,$N$2:N233,1,$S$2:S233,1)=1),1,0)</f>
        <v>0</v>
      </c>
      <c r="R233" s="1" t="n">
        <f aca="false">IF(AND(N233=1,COUNTIFS($K$2:K233,K233,$L$2:L233,L233,$J$2:J233,J233,$N$2:N233,1)=1),1,0)</f>
        <v>0</v>
      </c>
      <c r="S233" s="1" t="n">
        <f aca="false">IF(AND(K233&lt;&gt;"Context and provider model",K233&lt;&gt;"Motivation"),1,0)</f>
        <v>1</v>
      </c>
    </row>
    <row r="234" customFormat="false" ht="15" hidden="false" customHeight="true" outlineLevel="0" collapsed="false">
      <c r="J234" s="1" t="str">
        <f aca="false">'Raw Atomic Data (Pro)'!A234</f>
        <v>Naomi</v>
      </c>
      <c r="K234" s="1" t="str">
        <f aca="false">'Raw Atomic Data (Pro)'!C234</f>
        <v>Client acquisition</v>
      </c>
      <c r="L234" s="1" t="str">
        <f aca="false">'Raw Atomic Data (Pro)'!D234</f>
        <v>client-acquisition-discovery</v>
      </c>
      <c r="M234" s="1" t="str">
        <f aca="false">'Raw Atomic Data (Pro)'!E234</f>
        <v>value-statement</v>
      </c>
      <c r="N234" s="1" t="n">
        <f aca="false">IF(OR(M234="friction",M234="need",M234="workaround"),1,0)</f>
        <v>0</v>
      </c>
      <c r="O234" s="1" t="n">
        <f aca="false">IF(COUNTIFS($K$2:K234,K234,$L$2:L234,L234,$M$2:M234,M234,$J$2:J234,J234)=1,1,0)</f>
        <v>1</v>
      </c>
      <c r="P234" s="1" t="n">
        <f aca="false">IF(AND(N234=1,S234=1,COUNTIFS($L$2:L234,L234,$J$2:J234,J234,$N$2:N234,1,$S$2:S234,1)=1),1,0)</f>
        <v>0</v>
      </c>
      <c r="Q234" s="1" t="n">
        <f aca="false">IF(AND(N234=1,S234=1,COUNTIFS($L$2:L234,L234,$K$2:K234,K234,$N$2:N234,1,$S$2:S234,1)=1),1,0)</f>
        <v>0</v>
      </c>
      <c r="R234" s="1" t="n">
        <f aca="false">IF(AND(N234=1,COUNTIFS($K$2:K234,K234,$L$2:L234,L234,$J$2:J234,J234,$N$2:N234,1)=1),1,0)</f>
        <v>0</v>
      </c>
      <c r="S234" s="1" t="n">
        <f aca="false">IF(AND(K234&lt;&gt;"Context and provider model",K234&lt;&gt;"Motivation"),1,0)</f>
        <v>1</v>
      </c>
    </row>
    <row r="235" customFormat="false" ht="15" hidden="false" customHeight="true" outlineLevel="0" collapsed="false">
      <c r="J235" s="1" t="str">
        <f aca="false">'Raw Atomic Data (Pro)'!A235</f>
        <v>Naomi</v>
      </c>
      <c r="K235" s="1" t="str">
        <f aca="false">'Raw Atomic Data (Pro)'!C235</f>
        <v>Client acquisition</v>
      </c>
      <c r="L235" s="1" t="str">
        <f aca="false">'Raw Atomic Data (Pro)'!D235</f>
        <v>private-business-parallel-ops</v>
      </c>
      <c r="M235" s="1" t="str">
        <f aca="false">'Raw Atomic Data (Pro)'!E235</f>
        <v>fact</v>
      </c>
      <c r="N235" s="1" t="n">
        <f aca="false">IF(OR(M235="friction",M235="need",M235="workaround"),1,0)</f>
        <v>0</v>
      </c>
      <c r="O235" s="1" t="n">
        <f aca="false">IF(COUNTIFS($K$2:K235,K235,$L$2:L235,L235,$M$2:M235,M235,$J$2:J235,J235)=1,1,0)</f>
        <v>1</v>
      </c>
      <c r="P235" s="1" t="n">
        <f aca="false">IF(AND(N235=1,S235=1,COUNTIFS($L$2:L235,L235,$J$2:J235,J235,$N$2:N235,1,$S$2:S235,1)=1),1,0)</f>
        <v>0</v>
      </c>
      <c r="Q235" s="1" t="n">
        <f aca="false">IF(AND(N235=1,S235=1,COUNTIFS($L$2:L235,L235,$K$2:K235,K235,$N$2:N235,1,$S$2:S235,1)=1),1,0)</f>
        <v>0</v>
      </c>
      <c r="R235" s="1" t="n">
        <f aca="false">IF(AND(N235=1,COUNTIFS($K$2:K235,K235,$L$2:L235,L235,$J$2:J235,J235,$N$2:N235,1)=1),1,0)</f>
        <v>0</v>
      </c>
      <c r="S235" s="1" t="n">
        <f aca="false">IF(AND(K235&lt;&gt;"Context and provider model",K235&lt;&gt;"Motivation"),1,0)</f>
        <v>1</v>
      </c>
    </row>
    <row r="236" customFormat="false" ht="15" hidden="false" customHeight="true" outlineLevel="0" collapsed="false">
      <c r="J236" s="1" t="str">
        <f aca="false">'Raw Atomic Data (Pro)'!A236</f>
        <v>Naomi</v>
      </c>
      <c r="K236" s="1" t="str">
        <f aca="false">'Raw Atomic Data (Pro)'!C236</f>
        <v>Client acquisition</v>
      </c>
      <c r="L236" s="1" t="str">
        <f aca="false">'Raw Atomic Data (Pro)'!D236</f>
        <v>client-acquisition-discovery</v>
      </c>
      <c r="M236" s="1" t="str">
        <f aca="false">'Raw Atomic Data (Pro)'!E236</f>
        <v>friction</v>
      </c>
      <c r="N236" s="1" t="n">
        <f aca="false">IF(OR(M236="friction",M236="need",M236="workaround"),1,0)</f>
        <v>1</v>
      </c>
      <c r="O236" s="1" t="n">
        <f aca="false">IF(COUNTIFS($K$2:K236,K236,$L$2:L236,L236,$M$2:M236,M236,$J$2:J236,J236)=1,1,0)</f>
        <v>1</v>
      </c>
      <c r="P236" s="1" t="n">
        <f aca="false">IF(AND(N236=1,S236=1,COUNTIFS($L$2:L236,L236,$J$2:J236,J236,$N$2:N236,1,$S$2:S236,1)=1),1,0)</f>
        <v>1</v>
      </c>
      <c r="Q236" s="1" t="n">
        <f aca="false">IF(AND(N236=1,S236=1,COUNTIFS($L$2:L236,L236,$K$2:K236,K236,$N$2:N236,1,$S$2:S236,1)=1),1,0)</f>
        <v>1</v>
      </c>
      <c r="R236" s="1" t="n">
        <f aca="false">IF(AND(N236=1,COUNTIFS($K$2:K236,K236,$L$2:L236,L236,$J$2:J236,J236,$N$2:N236,1)=1),1,0)</f>
        <v>1</v>
      </c>
      <c r="S236" s="1" t="n">
        <f aca="false">IF(AND(K236&lt;&gt;"Context and provider model",K236&lt;&gt;"Motivation"),1,0)</f>
        <v>1</v>
      </c>
    </row>
    <row r="237" customFormat="false" ht="15" hidden="false" customHeight="true" outlineLevel="0" collapsed="false">
      <c r="J237" s="1" t="str">
        <f aca="false">'Raw Atomic Data (Pro)'!A237</f>
        <v>Naomi</v>
      </c>
      <c r="K237" s="1" t="str">
        <f aca="false">'Raw Atomic Data (Pro)'!C237</f>
        <v>Client acquisition</v>
      </c>
      <c r="L237" s="1" t="str">
        <f aca="false">'Raw Atomic Data (Pro)'!D237</f>
        <v>client-dog-screening-criteria</v>
      </c>
      <c r="M237" s="1" t="str">
        <f aca="false">'Raw Atomic Data (Pro)'!E237</f>
        <v>fact</v>
      </c>
      <c r="N237" s="1" t="n">
        <f aca="false">IF(OR(M237="friction",M237="need",M237="workaround"),1,0)</f>
        <v>0</v>
      </c>
      <c r="O237" s="1" t="n">
        <f aca="false">IF(COUNTIFS($K$2:K237,K237,$L$2:L237,L237,$M$2:M237,M237,$J$2:J237,J237)=1,1,0)</f>
        <v>1</v>
      </c>
      <c r="P237" s="1" t="n">
        <f aca="false">IF(AND(N237=1,S237=1,COUNTIFS($L$2:L237,L237,$J$2:J237,J237,$N$2:N237,1,$S$2:S237,1)=1),1,0)</f>
        <v>0</v>
      </c>
      <c r="Q237" s="1" t="n">
        <f aca="false">IF(AND(N237=1,S237=1,COUNTIFS($L$2:L237,L237,$K$2:K237,K237,$N$2:N237,1,$S$2:S237,1)=1),1,0)</f>
        <v>0</v>
      </c>
      <c r="R237" s="1" t="n">
        <f aca="false">IF(AND(N237=1,COUNTIFS($K$2:K237,K237,$L$2:L237,L237,$J$2:J237,J237,$N$2:N237,1)=1),1,0)</f>
        <v>0</v>
      </c>
      <c r="S237" s="1" t="n">
        <f aca="false">IF(AND(K237&lt;&gt;"Context and provider model",K237&lt;&gt;"Motivation"),1,0)</f>
        <v>1</v>
      </c>
    </row>
    <row r="238" customFormat="false" ht="15" hidden="false" customHeight="true" outlineLevel="0" collapsed="false">
      <c r="J238" s="1" t="str">
        <f aca="false">'Raw Atomic Data (Pro)'!A238</f>
        <v>Naomi</v>
      </c>
      <c r="K238" s="1" t="str">
        <f aca="false">'Raw Atomic Data (Pro)'!C238</f>
        <v>Client acquisition</v>
      </c>
      <c r="L238" s="1" t="str">
        <f aca="false">'Raw Atomic Data (Pro)'!D238</f>
        <v>booking-confirmation-mechanics</v>
      </c>
      <c r="M238" s="1" t="str">
        <f aca="false">'Raw Atomic Data (Pro)'!E238</f>
        <v>fact</v>
      </c>
      <c r="N238" s="1" t="n">
        <f aca="false">IF(OR(M238="friction",M238="need",M238="workaround"),1,0)</f>
        <v>0</v>
      </c>
      <c r="O238" s="1" t="n">
        <f aca="false">IF(COUNTIFS($K$2:K238,K238,$L$2:L238,L238,$M$2:M238,M238,$J$2:J238,J238)=1,1,0)</f>
        <v>1</v>
      </c>
      <c r="P238" s="1" t="n">
        <f aca="false">IF(AND(N238=1,S238=1,COUNTIFS($L$2:L238,L238,$J$2:J238,J238,$N$2:N238,1,$S$2:S238,1)=1),1,0)</f>
        <v>0</v>
      </c>
      <c r="Q238" s="1" t="n">
        <f aca="false">IF(AND(N238=1,S238=1,COUNTIFS($L$2:L238,L238,$K$2:K238,K238,$N$2:N238,1,$S$2:S238,1)=1),1,0)</f>
        <v>0</v>
      </c>
      <c r="R238" s="1" t="n">
        <f aca="false">IF(AND(N238=1,COUNTIFS($K$2:K238,K238,$L$2:L238,L238,$J$2:J238,J238,$N$2:N238,1)=1),1,0)</f>
        <v>0</v>
      </c>
      <c r="S238" s="1" t="n">
        <f aca="false">IF(AND(K238&lt;&gt;"Context and provider model",K238&lt;&gt;"Motivation"),1,0)</f>
        <v>1</v>
      </c>
    </row>
    <row r="239" customFormat="false" ht="15" hidden="false" customHeight="true" outlineLevel="0" collapsed="false">
      <c r="J239" s="1" t="str">
        <f aca="false">'Raw Atomic Data (Pro)'!A239</f>
        <v>Shania</v>
      </c>
      <c r="K239" s="1" t="str">
        <f aca="false">'Raw Atomic Data (Pro)'!C239</f>
        <v>Client acquisition</v>
      </c>
      <c r="L239" s="1" t="str">
        <f aca="false">'Raw Atomic Data (Pro)'!D239</f>
        <v>client-acquisition-discovery</v>
      </c>
      <c r="M239" s="1" t="str">
        <f aca="false">'Raw Atomic Data (Pro)'!E239</f>
        <v>fact</v>
      </c>
      <c r="N239" s="1" t="n">
        <f aca="false">IF(OR(M239="friction",M239="need",M239="workaround"),1,0)</f>
        <v>0</v>
      </c>
      <c r="O239" s="1" t="n">
        <f aca="false">IF(COUNTIFS($K$2:K239,K239,$L$2:L239,L239,$M$2:M239,M239,$J$2:J239,J239)=1,1,0)</f>
        <v>1</v>
      </c>
      <c r="P239" s="1" t="n">
        <f aca="false">IF(AND(N239=1,S239=1,COUNTIFS($L$2:L239,L239,$J$2:J239,J239,$N$2:N239,1,$S$2:S239,1)=1),1,0)</f>
        <v>0</v>
      </c>
      <c r="Q239" s="1" t="n">
        <f aca="false">IF(AND(N239=1,S239=1,COUNTIFS($L$2:L239,L239,$K$2:K239,K239,$N$2:N239,1,$S$2:S239,1)=1),1,0)</f>
        <v>0</v>
      </c>
      <c r="R239" s="1" t="n">
        <f aca="false">IF(AND(N239=1,COUNTIFS($K$2:K239,K239,$L$2:L239,L239,$J$2:J239,J239,$N$2:N239,1)=1),1,0)</f>
        <v>0</v>
      </c>
      <c r="S239" s="1" t="n">
        <f aca="false">IF(AND(K239&lt;&gt;"Context and provider model",K239&lt;&gt;"Motivation"),1,0)</f>
        <v>1</v>
      </c>
    </row>
    <row r="240" customFormat="false" ht="15" hidden="false" customHeight="true" outlineLevel="0" collapsed="false">
      <c r="J240" s="1" t="str">
        <f aca="false">'Raw Atomic Data (Pro)'!A240</f>
        <v>Shania</v>
      </c>
      <c r="K240" s="1" t="str">
        <f aca="false">'Raw Atomic Data (Pro)'!C240</f>
        <v>Client acquisition</v>
      </c>
      <c r="L240" s="1" t="str">
        <f aca="false">'Raw Atomic Data (Pro)'!D240</f>
        <v>search-ranking-visibility</v>
      </c>
      <c r="M240" s="1" t="str">
        <f aca="false">'Raw Atomic Data (Pro)'!E240</f>
        <v>fact</v>
      </c>
      <c r="N240" s="1" t="n">
        <f aca="false">IF(OR(M240="friction",M240="need",M240="workaround"),1,0)</f>
        <v>0</v>
      </c>
      <c r="O240" s="1" t="n">
        <f aca="false">IF(COUNTIFS($K$2:K240,K240,$L$2:L240,L240,$M$2:M240,M240,$J$2:J240,J240)=1,1,0)</f>
        <v>1</v>
      </c>
      <c r="P240" s="1" t="n">
        <f aca="false">IF(AND(N240=1,S240=1,COUNTIFS($L$2:L240,L240,$J$2:J240,J240,$N$2:N240,1,$S$2:S240,1)=1),1,0)</f>
        <v>0</v>
      </c>
      <c r="Q240" s="1" t="n">
        <f aca="false">IF(AND(N240=1,S240=1,COUNTIFS($L$2:L240,L240,$K$2:K240,K240,$N$2:N240,1,$S$2:S240,1)=1),1,0)</f>
        <v>0</v>
      </c>
      <c r="R240" s="1" t="n">
        <f aca="false">IF(AND(N240=1,COUNTIFS($K$2:K240,K240,$L$2:L240,L240,$J$2:J240,J240,$N$2:N240,1)=1),1,0)</f>
        <v>0</v>
      </c>
      <c r="S240" s="1" t="n">
        <f aca="false">IF(AND(K240&lt;&gt;"Context and provider model",K240&lt;&gt;"Motivation"),1,0)</f>
        <v>1</v>
      </c>
    </row>
    <row r="241" customFormat="false" ht="15" hidden="false" customHeight="true" outlineLevel="0" collapsed="false">
      <c r="J241" s="1" t="str">
        <f aca="false">'Raw Atomic Data (Pro)'!A241</f>
        <v>Shania</v>
      </c>
      <c r="K241" s="1" t="str">
        <f aca="false">'Raw Atomic Data (Pro)'!C241</f>
        <v>Client acquisition</v>
      </c>
      <c r="L241" s="1" t="str">
        <f aca="false">'Raw Atomic Data (Pro)'!D241</f>
        <v>client-acquisition-discovery</v>
      </c>
      <c r="M241" s="1" t="str">
        <f aca="false">'Raw Atomic Data (Pro)'!E241</f>
        <v>fact</v>
      </c>
      <c r="N241" s="1" t="n">
        <f aca="false">IF(OR(M241="friction",M241="need",M241="workaround"),1,0)</f>
        <v>0</v>
      </c>
      <c r="O241" s="1" t="n">
        <f aca="false">IF(COUNTIFS($K$2:K241,K241,$L$2:L241,L241,$M$2:M241,M241,$J$2:J241,J241)=1,1,0)</f>
        <v>0</v>
      </c>
      <c r="P241" s="1" t="n">
        <f aca="false">IF(AND(N241=1,S241=1,COUNTIFS($L$2:L241,L241,$J$2:J241,J241,$N$2:N241,1,$S$2:S241,1)=1),1,0)</f>
        <v>0</v>
      </c>
      <c r="Q241" s="1" t="n">
        <f aca="false">IF(AND(N241=1,S241=1,COUNTIFS($L$2:L241,L241,$K$2:K241,K241,$N$2:N241,1,$S$2:S241,1)=1),1,0)</f>
        <v>0</v>
      </c>
      <c r="R241" s="1" t="n">
        <f aca="false">IF(AND(N241=1,COUNTIFS($K$2:K241,K241,$L$2:L241,L241,$J$2:J241,J241,$N$2:N241,1)=1),1,0)</f>
        <v>0</v>
      </c>
      <c r="S241" s="1" t="n">
        <f aca="false">IF(AND(K241&lt;&gt;"Context and provider model",K241&lt;&gt;"Motivation"),1,0)</f>
        <v>1</v>
      </c>
    </row>
    <row r="242" customFormat="false" ht="15" hidden="false" customHeight="true" outlineLevel="0" collapsed="false">
      <c r="J242" s="1" t="str">
        <f aca="false">'Raw Atomic Data (Pro)'!A242</f>
        <v>Shania</v>
      </c>
      <c r="K242" s="1" t="str">
        <f aca="false">'Raw Atomic Data (Pro)'!C242</f>
        <v>Client acquisition</v>
      </c>
      <c r="L242" s="1" t="str">
        <f aca="false">'Raw Atomic Data (Pro)'!D242</f>
        <v>client-acquisition-discovery</v>
      </c>
      <c r="M242" s="1" t="str">
        <f aca="false">'Raw Atomic Data (Pro)'!E242</f>
        <v>fact</v>
      </c>
      <c r="N242" s="1" t="n">
        <f aca="false">IF(OR(M242="friction",M242="need",M242="workaround"),1,0)</f>
        <v>0</v>
      </c>
      <c r="O242" s="1" t="n">
        <f aca="false">IF(COUNTIFS($K$2:K242,K242,$L$2:L242,L242,$M$2:M242,M242,$J$2:J242,J242)=1,1,0)</f>
        <v>0</v>
      </c>
      <c r="P242" s="1" t="n">
        <f aca="false">IF(AND(N242=1,S242=1,COUNTIFS($L$2:L242,L242,$J$2:J242,J242,$N$2:N242,1,$S$2:S242,1)=1),1,0)</f>
        <v>0</v>
      </c>
      <c r="Q242" s="1" t="n">
        <f aca="false">IF(AND(N242=1,S242=1,COUNTIFS($L$2:L242,L242,$K$2:K242,K242,$N$2:N242,1,$S$2:S242,1)=1),1,0)</f>
        <v>0</v>
      </c>
      <c r="R242" s="1" t="n">
        <f aca="false">IF(AND(N242=1,COUNTIFS($K$2:K242,K242,$L$2:L242,L242,$J$2:J242,J242,$N$2:N242,1)=1),1,0)</f>
        <v>0</v>
      </c>
      <c r="S242" s="1" t="n">
        <f aca="false">IF(AND(K242&lt;&gt;"Context and provider model",K242&lt;&gt;"Motivation"),1,0)</f>
        <v>1</v>
      </c>
    </row>
    <row r="243" customFormat="false" ht="15" hidden="false" customHeight="true" outlineLevel="0" collapsed="false">
      <c r="J243" s="1" t="str">
        <f aca="false">'Raw Atomic Data (Pro)'!A243</f>
        <v>Tianrui</v>
      </c>
      <c r="K243" s="1" t="str">
        <f aca="false">'Raw Atomic Data (Pro)'!C243</f>
        <v>Client acquisition</v>
      </c>
      <c r="L243" s="1" t="str">
        <f aca="false">'Raw Atomic Data (Pro)'!D243</f>
        <v>search-ranking-visibility</v>
      </c>
      <c r="M243" s="1" t="str">
        <f aca="false">'Raw Atomic Data (Pro)'!E243</f>
        <v>fact</v>
      </c>
      <c r="N243" s="1" t="n">
        <f aca="false">IF(OR(M243="friction",M243="need",M243="workaround"),1,0)</f>
        <v>0</v>
      </c>
      <c r="O243" s="1" t="n">
        <f aca="false">IF(COUNTIFS($K$2:K243,K243,$L$2:L243,L243,$M$2:M243,M243,$J$2:J243,J243)=1,1,0)</f>
        <v>1</v>
      </c>
      <c r="P243" s="1" t="n">
        <f aca="false">IF(AND(N243=1,S243=1,COUNTIFS($L$2:L243,L243,$J$2:J243,J243,$N$2:N243,1,$S$2:S243,1)=1),1,0)</f>
        <v>0</v>
      </c>
      <c r="Q243" s="1" t="n">
        <f aca="false">IF(AND(N243=1,S243=1,COUNTIFS($L$2:L243,L243,$K$2:K243,K243,$N$2:N243,1,$S$2:S243,1)=1),1,0)</f>
        <v>0</v>
      </c>
      <c r="R243" s="1" t="n">
        <f aca="false">IF(AND(N243=1,COUNTIFS($K$2:K243,K243,$L$2:L243,L243,$J$2:J243,J243,$N$2:N243,1)=1),1,0)</f>
        <v>0</v>
      </c>
      <c r="S243" s="1" t="n">
        <f aca="false">IF(AND(K243&lt;&gt;"Context and provider model",K243&lt;&gt;"Motivation"),1,0)</f>
        <v>1</v>
      </c>
    </row>
    <row r="244" customFormat="false" ht="15" hidden="false" customHeight="true" outlineLevel="0" collapsed="false">
      <c r="J244" s="1" t="str">
        <f aca="false">'Raw Atomic Data (Pro)'!A244</f>
        <v>Tianrui</v>
      </c>
      <c r="K244" s="1" t="str">
        <f aca="false">'Raw Atomic Data (Pro)'!C244</f>
        <v>Client acquisition</v>
      </c>
      <c r="L244" s="1" t="str">
        <f aca="false">'Raw Atomic Data (Pro)'!D244</f>
        <v>client-acquisition-discovery</v>
      </c>
      <c r="M244" s="1" t="str">
        <f aca="false">'Raw Atomic Data (Pro)'!E244</f>
        <v>fact</v>
      </c>
      <c r="N244" s="1" t="n">
        <f aca="false">IF(OR(M244="friction",M244="need",M244="workaround"),1,0)</f>
        <v>0</v>
      </c>
      <c r="O244" s="1" t="n">
        <f aca="false">IF(COUNTIFS($K$2:K244,K244,$L$2:L244,L244,$M$2:M244,M244,$J$2:J244,J244)=1,1,0)</f>
        <v>1</v>
      </c>
      <c r="P244" s="1" t="n">
        <f aca="false">IF(AND(N244=1,S244=1,COUNTIFS($L$2:L244,L244,$J$2:J244,J244,$N$2:N244,1,$S$2:S244,1)=1),1,0)</f>
        <v>0</v>
      </c>
      <c r="Q244" s="1" t="n">
        <f aca="false">IF(AND(N244=1,S244=1,COUNTIFS($L$2:L244,L244,$K$2:K244,K244,$N$2:N244,1,$S$2:S244,1)=1),1,0)</f>
        <v>0</v>
      </c>
      <c r="R244" s="1" t="n">
        <f aca="false">IF(AND(N244=1,COUNTIFS($K$2:K244,K244,$L$2:L244,L244,$J$2:J244,J244,$N$2:N244,1)=1),1,0)</f>
        <v>0</v>
      </c>
      <c r="S244" s="1" t="n">
        <f aca="false">IF(AND(K244&lt;&gt;"Context and provider model",K244&lt;&gt;"Motivation"),1,0)</f>
        <v>1</v>
      </c>
    </row>
    <row r="245" customFormat="false" ht="15" hidden="false" customHeight="true" outlineLevel="0" collapsed="false">
      <c r="J245" s="1" t="str">
        <f aca="false">'Raw Atomic Data (Pro)'!A245</f>
        <v>Tianrui</v>
      </c>
      <c r="K245" s="1" t="str">
        <f aca="false">'Raw Atomic Data (Pro)'!C245</f>
        <v>Client acquisition</v>
      </c>
      <c r="L245" s="1" t="str">
        <f aca="false">'Raw Atomic Data (Pro)'!D245</f>
        <v>onboarding-signup-process</v>
      </c>
      <c r="M245" s="1" t="str">
        <f aca="false">'Raw Atomic Data (Pro)'!E245</f>
        <v>fact</v>
      </c>
      <c r="N245" s="1" t="n">
        <f aca="false">IF(OR(M245="friction",M245="need",M245="workaround"),1,0)</f>
        <v>0</v>
      </c>
      <c r="O245" s="1" t="n">
        <f aca="false">IF(COUNTIFS($K$2:K245,K245,$L$2:L245,L245,$M$2:M245,M245,$J$2:J245,J245)=1,1,0)</f>
        <v>1</v>
      </c>
      <c r="P245" s="1" t="n">
        <f aca="false">IF(AND(N245=1,S245=1,COUNTIFS($L$2:L245,L245,$J$2:J245,J245,$N$2:N245,1,$S$2:S245,1)=1),1,0)</f>
        <v>0</v>
      </c>
      <c r="Q245" s="1" t="n">
        <f aca="false">IF(AND(N245=1,S245=1,COUNTIFS($L$2:L245,L245,$K$2:K245,K245,$N$2:N245,1,$S$2:S245,1)=1),1,0)</f>
        <v>0</v>
      </c>
      <c r="R245" s="1" t="n">
        <f aca="false">IF(AND(N245=1,COUNTIFS($K$2:K245,K245,$L$2:L245,L245,$J$2:J245,J245,$N$2:N245,1)=1),1,0)</f>
        <v>0</v>
      </c>
      <c r="S245" s="1" t="n">
        <f aca="false">IF(AND(K245&lt;&gt;"Context and provider model",K245&lt;&gt;"Motivation"),1,0)</f>
        <v>1</v>
      </c>
    </row>
    <row r="246" customFormat="false" ht="15" hidden="false" customHeight="true" outlineLevel="0" collapsed="false">
      <c r="J246" s="1" t="str">
        <f aca="false">'Raw Atomic Data (Pro)'!A246</f>
        <v>Tianrui</v>
      </c>
      <c r="K246" s="1" t="str">
        <f aca="false">'Raw Atomic Data (Pro)'!C246</f>
        <v>Client acquisition</v>
      </c>
      <c r="L246" s="1" t="str">
        <f aca="false">'Raw Atomic Data (Pro)'!D246</f>
        <v>search-ranking-visibility</v>
      </c>
      <c r="M246" s="1" t="str">
        <f aca="false">'Raw Atomic Data (Pro)'!E246</f>
        <v>friction</v>
      </c>
      <c r="N246" s="1" t="n">
        <f aca="false">IF(OR(M246="friction",M246="need",M246="workaround"),1,0)</f>
        <v>1</v>
      </c>
      <c r="O246" s="1" t="n">
        <f aca="false">IF(COUNTIFS($K$2:K246,K246,$L$2:L246,L246,$M$2:M246,M246,$J$2:J246,J246)=1,1,0)</f>
        <v>1</v>
      </c>
      <c r="P246" s="1" t="n">
        <f aca="false">IF(AND(N246=1,S246=1,COUNTIFS($L$2:L246,L246,$J$2:J246,J246,$N$2:N246,1,$S$2:S246,1)=1),1,0)</f>
        <v>1</v>
      </c>
      <c r="Q246" s="1" t="n">
        <f aca="false">IF(AND(N246=1,S246=1,COUNTIFS($L$2:L246,L246,$K$2:K246,K246,$N$2:N246,1,$S$2:S246,1)=1),1,0)</f>
        <v>1</v>
      </c>
      <c r="R246" s="1" t="n">
        <f aca="false">IF(AND(N246=1,COUNTIFS($K$2:K246,K246,$L$2:L246,L246,$J$2:J246,J246,$N$2:N246,1)=1),1,0)</f>
        <v>1</v>
      </c>
      <c r="S246" s="1" t="n">
        <f aca="false">IF(AND(K246&lt;&gt;"Context and provider model",K246&lt;&gt;"Motivation"),1,0)</f>
        <v>1</v>
      </c>
    </row>
    <row r="247" customFormat="false" ht="15" hidden="false" customHeight="true" outlineLevel="0" collapsed="false">
      <c r="J247" s="1" t="str">
        <f aca="false">'Raw Atomic Data (Pro)'!A247</f>
        <v>Tianrui</v>
      </c>
      <c r="K247" s="1" t="str">
        <f aca="false">'Raw Atomic Data (Pro)'!C247</f>
        <v>Client acquisition</v>
      </c>
      <c r="L247" s="1" t="str">
        <f aca="false">'Raw Atomic Data (Pro)'!D247</f>
        <v>search-ranking-visibility</v>
      </c>
      <c r="M247" s="1" t="str">
        <f aca="false">'Raw Atomic Data (Pro)'!E247</f>
        <v>need</v>
      </c>
      <c r="N247" s="1" t="n">
        <f aca="false">IF(OR(M247="friction",M247="need",M247="workaround"),1,0)</f>
        <v>1</v>
      </c>
      <c r="O247" s="1" t="n">
        <f aca="false">IF(COUNTIFS($K$2:K247,K247,$L$2:L247,L247,$M$2:M247,M247,$J$2:J247,J247)=1,1,0)</f>
        <v>1</v>
      </c>
      <c r="P247" s="1" t="n">
        <f aca="false">IF(AND(N247=1,S247=1,COUNTIFS($L$2:L247,L247,$J$2:J247,J247,$N$2:N247,1,$S$2:S247,1)=1),1,0)</f>
        <v>0</v>
      </c>
      <c r="Q247" s="1" t="n">
        <f aca="false">IF(AND(N247=1,S247=1,COUNTIFS($L$2:L247,L247,$K$2:K247,K247,$N$2:N247,1,$S$2:S247,1)=1),1,0)</f>
        <v>0</v>
      </c>
      <c r="R247" s="1" t="n">
        <f aca="false">IF(AND(N247=1,COUNTIFS($K$2:K247,K247,$L$2:L247,L247,$J$2:J247,J247,$N$2:N247,1)=1),1,0)</f>
        <v>0</v>
      </c>
      <c r="S247" s="1" t="n">
        <f aca="false">IF(AND(K247&lt;&gt;"Context and provider model",K247&lt;&gt;"Motivation"),1,0)</f>
        <v>1</v>
      </c>
    </row>
    <row r="248" customFormat="false" ht="15" hidden="false" customHeight="true" outlineLevel="0" collapsed="false">
      <c r="J248" s="1" t="str">
        <f aca="false">'Raw Atomic Data (Pro)'!A248</f>
        <v>Tianrui</v>
      </c>
      <c r="K248" s="1" t="str">
        <f aca="false">'Raw Atomic Data (Pro)'!C248</f>
        <v>Client acquisition</v>
      </c>
      <c r="L248" s="1" t="str">
        <f aca="false">'Raw Atomic Data (Pro)'!D248</f>
        <v>client-acquisition-discovery</v>
      </c>
      <c r="M248" s="1" t="str">
        <f aca="false">'Raw Atomic Data (Pro)'!E248</f>
        <v>workaround</v>
      </c>
      <c r="N248" s="1" t="n">
        <f aca="false">IF(OR(M248="friction",M248="need",M248="workaround"),1,0)</f>
        <v>1</v>
      </c>
      <c r="O248" s="1" t="n">
        <f aca="false">IF(COUNTIFS($K$2:K248,K248,$L$2:L248,L248,$M$2:M248,M248,$J$2:J248,J248)=1,1,0)</f>
        <v>1</v>
      </c>
      <c r="P248" s="1" t="n">
        <f aca="false">IF(AND(N248=1,S248=1,COUNTIFS($L$2:L248,L248,$J$2:J248,J248,$N$2:N248,1,$S$2:S248,1)=1),1,0)</f>
        <v>1</v>
      </c>
      <c r="Q248" s="1" t="n">
        <f aca="false">IF(AND(N248=1,S248=1,COUNTIFS($L$2:L248,L248,$K$2:K248,K248,$N$2:N248,1,$S$2:S248,1)=1),1,0)</f>
        <v>0</v>
      </c>
      <c r="R248" s="1" t="n">
        <f aca="false">IF(AND(N248=1,COUNTIFS($K$2:K248,K248,$L$2:L248,L248,$J$2:J248,J248,$N$2:N248,1)=1),1,0)</f>
        <v>1</v>
      </c>
      <c r="S248" s="1" t="n">
        <f aca="false">IF(AND(K248&lt;&gt;"Context and provider model",K248&lt;&gt;"Motivation"),1,0)</f>
        <v>1</v>
      </c>
    </row>
    <row r="249" customFormat="false" ht="15" hidden="false" customHeight="true" outlineLevel="0" collapsed="false">
      <c r="J249" s="1" t="str">
        <f aca="false">'Raw Atomic Data (Pro)'!A249</f>
        <v>Tianrui</v>
      </c>
      <c r="K249" s="1" t="str">
        <f aca="false">'Raw Atomic Data (Pro)'!C249</f>
        <v>Client acquisition</v>
      </c>
      <c r="L249" s="1" t="str">
        <f aca="false">'Raw Atomic Data (Pro)'!D249</f>
        <v>repeat-client-relationships</v>
      </c>
      <c r="M249" s="1" t="str">
        <f aca="false">'Raw Atomic Data (Pro)'!E249</f>
        <v>fact</v>
      </c>
      <c r="N249" s="1" t="n">
        <f aca="false">IF(OR(M249="friction",M249="need",M249="workaround"),1,0)</f>
        <v>0</v>
      </c>
      <c r="O249" s="1" t="n">
        <f aca="false">IF(COUNTIFS($K$2:K249,K249,$L$2:L249,L249,$M$2:M249,M249,$J$2:J249,J249)=1,1,0)</f>
        <v>1</v>
      </c>
      <c r="P249" s="1" t="n">
        <f aca="false">IF(AND(N249=1,S249=1,COUNTIFS($L$2:L249,L249,$J$2:J249,J249,$N$2:N249,1,$S$2:S249,1)=1),1,0)</f>
        <v>0</v>
      </c>
      <c r="Q249" s="1" t="n">
        <f aca="false">IF(AND(N249=1,S249=1,COUNTIFS($L$2:L249,L249,$K$2:K249,K249,$N$2:N249,1,$S$2:S249,1)=1),1,0)</f>
        <v>0</v>
      </c>
      <c r="R249" s="1" t="n">
        <f aca="false">IF(AND(N249=1,COUNTIFS($K$2:K249,K249,$L$2:L249,L249,$J$2:J249,J249,$N$2:N249,1)=1),1,0)</f>
        <v>0</v>
      </c>
      <c r="S249" s="1" t="n">
        <f aca="false">IF(AND(K249&lt;&gt;"Context and provider model",K249&lt;&gt;"Motivation"),1,0)</f>
        <v>1</v>
      </c>
    </row>
    <row r="250" customFormat="false" ht="15" hidden="false" customHeight="true" outlineLevel="0" collapsed="false">
      <c r="J250" s="1" t="str">
        <f aca="false">'Raw Atomic Data (Pro)'!A250</f>
        <v>Tianrui</v>
      </c>
      <c r="K250" s="1" t="str">
        <f aca="false">'Raw Atomic Data (Pro)'!C250</f>
        <v>Client acquisition</v>
      </c>
      <c r="L250" s="1" t="str">
        <f aca="false">'Raw Atomic Data (Pro)'!D250</f>
        <v>search-ranking-visibility</v>
      </c>
      <c r="M250" s="1" t="str">
        <f aca="false">'Raw Atomic Data (Pro)'!E250</f>
        <v>workaround</v>
      </c>
      <c r="N250" s="1" t="n">
        <f aca="false">IF(OR(M250="friction",M250="need",M250="workaround"),1,0)</f>
        <v>1</v>
      </c>
      <c r="O250" s="1" t="n">
        <f aca="false">IF(COUNTIFS($K$2:K250,K250,$L$2:L250,L250,$M$2:M250,M250,$J$2:J250,J250)=1,1,0)</f>
        <v>1</v>
      </c>
      <c r="P250" s="1" t="n">
        <f aca="false">IF(AND(N250=1,S250=1,COUNTIFS($L$2:L250,L250,$J$2:J250,J250,$N$2:N250,1,$S$2:S250,1)=1),1,0)</f>
        <v>0</v>
      </c>
      <c r="Q250" s="1" t="n">
        <f aca="false">IF(AND(N250=1,S250=1,COUNTIFS($L$2:L250,L250,$K$2:K250,K250,$N$2:N250,1,$S$2:S250,1)=1),1,0)</f>
        <v>0</v>
      </c>
      <c r="R250" s="1" t="n">
        <f aca="false">IF(AND(N250=1,COUNTIFS($K$2:K250,K250,$L$2:L250,L250,$J$2:J250,J250,$N$2:N250,1)=1),1,0)</f>
        <v>0</v>
      </c>
      <c r="S250" s="1" t="n">
        <f aca="false">IF(AND(K250&lt;&gt;"Context and provider model",K250&lt;&gt;"Motivation"),1,0)</f>
        <v>1</v>
      </c>
    </row>
    <row r="251" customFormat="false" ht="15" hidden="false" customHeight="true" outlineLevel="0" collapsed="false">
      <c r="J251" s="1" t="str">
        <f aca="false">'Raw Atomic Data (Pro)'!A251</f>
        <v>Tifany</v>
      </c>
      <c r="K251" s="1" t="str">
        <f aca="false">'Raw Atomic Data (Pro)'!C251</f>
        <v>Client acquisition</v>
      </c>
      <c r="L251" s="1" t="str">
        <f aca="false">'Raw Atomic Data (Pro)'!D251</f>
        <v>private-business-parallel-ops</v>
      </c>
      <c r="M251" s="1" t="str">
        <f aca="false">'Raw Atomic Data (Pro)'!E251</f>
        <v>fact</v>
      </c>
      <c r="N251" s="1" t="n">
        <f aca="false">IF(OR(M251="friction",M251="need",M251="workaround"),1,0)</f>
        <v>0</v>
      </c>
      <c r="O251" s="1" t="n">
        <f aca="false">IF(COUNTIFS($K$2:K251,K251,$L$2:L251,L251,$M$2:M251,M251,$J$2:J251,J251)=1,1,0)</f>
        <v>1</v>
      </c>
      <c r="P251" s="1" t="n">
        <f aca="false">IF(AND(N251=1,S251=1,COUNTIFS($L$2:L251,L251,$J$2:J251,J251,$N$2:N251,1,$S$2:S251,1)=1),1,0)</f>
        <v>0</v>
      </c>
      <c r="Q251" s="1" t="n">
        <f aca="false">IF(AND(N251=1,S251=1,COUNTIFS($L$2:L251,L251,$K$2:K251,K251,$N$2:N251,1,$S$2:S251,1)=1),1,0)</f>
        <v>0</v>
      </c>
      <c r="R251" s="1" t="n">
        <f aca="false">IF(AND(N251=1,COUNTIFS($K$2:K251,K251,$L$2:L251,L251,$J$2:J251,J251,$N$2:N251,1)=1),1,0)</f>
        <v>0</v>
      </c>
      <c r="S251" s="1" t="n">
        <f aca="false">IF(AND(K251&lt;&gt;"Context and provider model",K251&lt;&gt;"Motivation"),1,0)</f>
        <v>1</v>
      </c>
    </row>
    <row r="252" customFormat="false" ht="15" hidden="false" customHeight="true" outlineLevel="0" collapsed="false">
      <c r="J252" s="1" t="str">
        <f aca="false">'Raw Atomic Data (Pro)'!A252</f>
        <v>Tifany</v>
      </c>
      <c r="K252" s="1" t="str">
        <f aca="false">'Raw Atomic Data (Pro)'!C252</f>
        <v>Client acquisition</v>
      </c>
      <c r="L252" s="1" t="str">
        <f aca="false">'Raw Atomic Data (Pro)'!D252</f>
        <v>private-business-parallel-ops</v>
      </c>
      <c r="M252" s="1" t="str">
        <f aca="false">'Raw Atomic Data (Pro)'!E252</f>
        <v>fact</v>
      </c>
      <c r="N252" s="1" t="n">
        <f aca="false">IF(OR(M252="friction",M252="need",M252="workaround"),1,0)</f>
        <v>0</v>
      </c>
      <c r="O252" s="1" t="n">
        <f aca="false">IF(COUNTIFS($K$2:K252,K252,$L$2:L252,L252,$M$2:M252,M252,$J$2:J252,J252)=1,1,0)</f>
        <v>0</v>
      </c>
      <c r="P252" s="1" t="n">
        <f aca="false">IF(AND(N252=1,S252=1,COUNTIFS($L$2:L252,L252,$J$2:J252,J252,$N$2:N252,1,$S$2:S252,1)=1),1,0)</f>
        <v>0</v>
      </c>
      <c r="Q252" s="1" t="n">
        <f aca="false">IF(AND(N252=1,S252=1,COUNTIFS($L$2:L252,L252,$K$2:K252,K252,$N$2:N252,1,$S$2:S252,1)=1),1,0)</f>
        <v>0</v>
      </c>
      <c r="R252" s="1" t="n">
        <f aca="false">IF(AND(N252=1,COUNTIFS($K$2:K252,K252,$L$2:L252,L252,$J$2:J252,J252,$N$2:N252,1)=1),1,0)</f>
        <v>0</v>
      </c>
      <c r="S252" s="1" t="n">
        <f aca="false">IF(AND(K252&lt;&gt;"Context and provider model",K252&lt;&gt;"Motivation"),1,0)</f>
        <v>1</v>
      </c>
    </row>
    <row r="253" customFormat="false" ht="15" hidden="false" customHeight="true" outlineLevel="0" collapsed="false">
      <c r="J253" s="1" t="str">
        <f aca="false">'Raw Atomic Data (Pro)'!A253</f>
        <v>Tifany</v>
      </c>
      <c r="K253" s="1" t="str">
        <f aca="false">'Raw Atomic Data (Pro)'!C253</f>
        <v>Client acquisition</v>
      </c>
      <c r="L253" s="1" t="str">
        <f aca="false">'Raw Atomic Data (Pro)'!D253</f>
        <v>private-business-parallel-ops</v>
      </c>
      <c r="M253" s="1" t="str">
        <f aca="false">'Raw Atomic Data (Pro)'!E253</f>
        <v>fact</v>
      </c>
      <c r="N253" s="1" t="n">
        <f aca="false">IF(OR(M253="friction",M253="need",M253="workaround"),1,0)</f>
        <v>0</v>
      </c>
      <c r="O253" s="1" t="n">
        <f aca="false">IF(COUNTIFS($K$2:K253,K253,$L$2:L253,L253,$M$2:M253,M253,$J$2:J253,J253)=1,1,0)</f>
        <v>0</v>
      </c>
      <c r="P253" s="1" t="n">
        <f aca="false">IF(AND(N253=1,S253=1,COUNTIFS($L$2:L253,L253,$J$2:J253,J253,$N$2:N253,1,$S$2:S253,1)=1),1,0)</f>
        <v>0</v>
      </c>
      <c r="Q253" s="1" t="n">
        <f aca="false">IF(AND(N253=1,S253=1,COUNTIFS($L$2:L253,L253,$K$2:K253,K253,$N$2:N253,1,$S$2:S253,1)=1),1,0)</f>
        <v>0</v>
      </c>
      <c r="R253" s="1" t="n">
        <f aca="false">IF(AND(N253=1,COUNTIFS($K$2:K253,K253,$L$2:L253,L253,$J$2:J253,J253,$N$2:N253,1)=1),1,0)</f>
        <v>0</v>
      </c>
      <c r="S253" s="1" t="n">
        <f aca="false">IF(AND(K253&lt;&gt;"Context and provider model",K253&lt;&gt;"Motivation"),1,0)</f>
        <v>1</v>
      </c>
    </row>
    <row r="254" customFormat="false" ht="15" hidden="false" customHeight="true" outlineLevel="0" collapsed="false">
      <c r="J254" s="1" t="str">
        <f aca="false">'Raw Atomic Data (Pro)'!A254</f>
        <v>Tifany</v>
      </c>
      <c r="K254" s="1" t="str">
        <f aca="false">'Raw Atomic Data (Pro)'!C254</f>
        <v>Client acquisition</v>
      </c>
      <c r="L254" s="1" t="str">
        <f aca="false">'Raw Atomic Data (Pro)'!D254</f>
        <v>private-business-parallel-ops</v>
      </c>
      <c r="M254" s="1" t="str">
        <f aca="false">'Raw Atomic Data (Pro)'!E254</f>
        <v>fact</v>
      </c>
      <c r="N254" s="1" t="n">
        <f aca="false">IF(OR(M254="friction",M254="need",M254="workaround"),1,0)</f>
        <v>0</v>
      </c>
      <c r="O254" s="1" t="n">
        <f aca="false">IF(COUNTIFS($K$2:K254,K254,$L$2:L254,L254,$M$2:M254,M254,$J$2:J254,J254)=1,1,0)</f>
        <v>0</v>
      </c>
      <c r="P254" s="1" t="n">
        <f aca="false">IF(AND(N254=1,S254=1,COUNTIFS($L$2:L254,L254,$J$2:J254,J254,$N$2:N254,1,$S$2:S254,1)=1),1,0)</f>
        <v>0</v>
      </c>
      <c r="Q254" s="1" t="n">
        <f aca="false">IF(AND(N254=1,S254=1,COUNTIFS($L$2:L254,L254,$K$2:K254,K254,$N$2:N254,1,$S$2:S254,1)=1),1,0)</f>
        <v>0</v>
      </c>
      <c r="R254" s="1" t="n">
        <f aca="false">IF(AND(N254=1,COUNTIFS($K$2:K254,K254,$L$2:L254,L254,$J$2:J254,J254,$N$2:N254,1)=1),1,0)</f>
        <v>0</v>
      </c>
      <c r="S254" s="1" t="n">
        <f aca="false">IF(AND(K254&lt;&gt;"Context and provider model",K254&lt;&gt;"Motivation"),1,0)</f>
        <v>1</v>
      </c>
    </row>
    <row r="255" customFormat="false" ht="15" hidden="false" customHeight="true" outlineLevel="0" collapsed="false">
      <c r="J255" s="1" t="str">
        <f aca="false">'Raw Atomic Data (Pro)'!A255</f>
        <v>Tifany</v>
      </c>
      <c r="K255" s="1" t="str">
        <f aca="false">'Raw Atomic Data (Pro)'!C255</f>
        <v>Client acquisition</v>
      </c>
      <c r="L255" s="1" t="str">
        <f aca="false">'Raw Atomic Data (Pro)'!D255</f>
        <v>private-business-parallel-ops</v>
      </c>
      <c r="M255" s="1" t="str">
        <f aca="false">'Raw Atomic Data (Pro)'!E255</f>
        <v>value-statement</v>
      </c>
      <c r="N255" s="1" t="n">
        <f aca="false">IF(OR(M255="friction",M255="need",M255="workaround"),1,0)</f>
        <v>0</v>
      </c>
      <c r="O255" s="1" t="n">
        <f aca="false">IF(COUNTIFS($K$2:K255,K255,$L$2:L255,L255,$M$2:M255,M255,$J$2:J255,J255)=1,1,0)</f>
        <v>1</v>
      </c>
      <c r="P255" s="1" t="n">
        <f aca="false">IF(AND(N255=1,S255=1,COUNTIFS($L$2:L255,L255,$J$2:J255,J255,$N$2:N255,1,$S$2:S255,1)=1),1,0)</f>
        <v>0</v>
      </c>
      <c r="Q255" s="1" t="n">
        <f aca="false">IF(AND(N255=1,S255=1,COUNTIFS($L$2:L255,L255,$K$2:K255,K255,$N$2:N255,1,$S$2:S255,1)=1),1,0)</f>
        <v>0</v>
      </c>
      <c r="R255" s="1" t="n">
        <f aca="false">IF(AND(N255=1,COUNTIFS($K$2:K255,K255,$L$2:L255,L255,$J$2:J255,J255,$N$2:N255,1)=1),1,0)</f>
        <v>0</v>
      </c>
      <c r="S255" s="1" t="n">
        <f aca="false">IF(AND(K255&lt;&gt;"Context and provider model",K255&lt;&gt;"Motivation"),1,0)</f>
        <v>1</v>
      </c>
    </row>
    <row r="256" customFormat="false" ht="15" hidden="false" customHeight="true" outlineLevel="0" collapsed="false">
      <c r="J256" s="1" t="str">
        <f aca="false">'Raw Atomic Data (Pro)'!A256</f>
        <v>Ami</v>
      </c>
      <c r="K256" s="1" t="str">
        <f aca="false">'Raw Atomic Data (Pro)'!C256</f>
        <v>Evaluation and meet-and-greet</v>
      </c>
      <c r="L256" s="1" t="str">
        <f aca="false">'Raw Atomic Data (Pro)'!D256</f>
        <v>meet-and-greet-process</v>
      </c>
      <c r="M256" s="1" t="str">
        <f aca="false">'Raw Atomic Data (Pro)'!E256</f>
        <v>fact</v>
      </c>
      <c r="N256" s="1" t="n">
        <f aca="false">IF(OR(M256="friction",M256="need",M256="workaround"),1,0)</f>
        <v>0</v>
      </c>
      <c r="O256" s="1" t="n">
        <f aca="false">IF(COUNTIFS($K$2:K256,K256,$L$2:L256,L256,$M$2:M256,M256,$J$2:J256,J256)=1,1,0)</f>
        <v>1</v>
      </c>
      <c r="P256" s="1" t="n">
        <f aca="false">IF(AND(N256=1,S256=1,COUNTIFS($L$2:L256,L256,$J$2:J256,J256,$N$2:N256,1,$S$2:S256,1)=1),1,0)</f>
        <v>0</v>
      </c>
      <c r="Q256" s="1" t="n">
        <f aca="false">IF(AND(N256=1,S256=1,COUNTIFS($L$2:L256,L256,$K$2:K256,K256,$N$2:N256,1,$S$2:S256,1)=1),1,0)</f>
        <v>0</v>
      </c>
      <c r="R256" s="1" t="n">
        <f aca="false">IF(AND(N256=1,COUNTIFS($K$2:K256,K256,$L$2:L256,L256,$J$2:J256,J256,$N$2:N256,1)=1),1,0)</f>
        <v>0</v>
      </c>
      <c r="S256" s="1" t="n">
        <f aca="false">IF(AND(K256&lt;&gt;"Context and provider model",K256&lt;&gt;"Motivation"),1,0)</f>
        <v>1</v>
      </c>
    </row>
    <row r="257" customFormat="false" ht="15" hidden="false" customHeight="true" outlineLevel="0" collapsed="false">
      <c r="J257" s="1" t="str">
        <f aca="false">'Raw Atomic Data (Pro)'!A257</f>
        <v>Ami</v>
      </c>
      <c r="K257" s="1" t="str">
        <f aca="false">'Raw Atomic Data (Pro)'!C257</f>
        <v>Evaluation and meet-and-greet</v>
      </c>
      <c r="L257" s="1" t="str">
        <f aca="false">'Raw Atomic Data (Pro)'!D257</f>
        <v>meet-and-greet-process</v>
      </c>
      <c r="M257" s="1" t="str">
        <f aca="false">'Raw Atomic Data (Pro)'!E257</f>
        <v>fact</v>
      </c>
      <c r="N257" s="1" t="n">
        <f aca="false">IF(OR(M257="friction",M257="need",M257="workaround"),1,0)</f>
        <v>0</v>
      </c>
      <c r="O257" s="1" t="n">
        <f aca="false">IF(COUNTIFS($K$2:K257,K257,$L$2:L257,L257,$M$2:M257,M257,$J$2:J257,J257)=1,1,0)</f>
        <v>0</v>
      </c>
      <c r="P257" s="1" t="n">
        <f aca="false">IF(AND(N257=1,S257=1,COUNTIFS($L$2:L257,L257,$J$2:J257,J257,$N$2:N257,1,$S$2:S257,1)=1),1,0)</f>
        <v>0</v>
      </c>
      <c r="Q257" s="1" t="n">
        <f aca="false">IF(AND(N257=1,S257=1,COUNTIFS($L$2:L257,L257,$K$2:K257,K257,$N$2:N257,1,$S$2:S257,1)=1),1,0)</f>
        <v>0</v>
      </c>
      <c r="R257" s="1" t="n">
        <f aca="false">IF(AND(N257=1,COUNTIFS($K$2:K257,K257,$L$2:L257,L257,$J$2:J257,J257,$N$2:N257,1)=1),1,0)</f>
        <v>0</v>
      </c>
      <c r="S257" s="1" t="n">
        <f aca="false">IF(AND(K257&lt;&gt;"Context and provider model",K257&lt;&gt;"Motivation"),1,0)</f>
        <v>1</v>
      </c>
    </row>
    <row r="258" customFormat="false" ht="15" hidden="false" customHeight="true" outlineLevel="0" collapsed="false">
      <c r="J258" s="1" t="str">
        <f aca="false">'Raw Atomic Data (Pro)'!A258</f>
        <v>Ami</v>
      </c>
      <c r="K258" s="1" t="str">
        <f aca="false">'Raw Atomic Data (Pro)'!C258</f>
        <v>Evaluation and meet-and-greet</v>
      </c>
      <c r="L258" s="1" t="str">
        <f aca="false">'Raw Atomic Data (Pro)'!D258</f>
        <v>meet-and-greet-process</v>
      </c>
      <c r="M258" s="1" t="str">
        <f aca="false">'Raw Atomic Data (Pro)'!E258</f>
        <v>fact</v>
      </c>
      <c r="N258" s="1" t="n">
        <f aca="false">IF(OR(M258="friction",M258="need",M258="workaround"),1,0)</f>
        <v>0</v>
      </c>
      <c r="O258" s="1" t="n">
        <f aca="false">IF(COUNTIFS($K$2:K258,K258,$L$2:L258,L258,$M$2:M258,M258,$J$2:J258,J258)=1,1,0)</f>
        <v>0</v>
      </c>
      <c r="P258" s="1" t="n">
        <f aca="false">IF(AND(N258=1,S258=1,COUNTIFS($L$2:L258,L258,$J$2:J258,J258,$N$2:N258,1,$S$2:S258,1)=1),1,0)</f>
        <v>0</v>
      </c>
      <c r="Q258" s="1" t="n">
        <f aca="false">IF(AND(N258=1,S258=1,COUNTIFS($L$2:L258,L258,$K$2:K258,K258,$N$2:N258,1,$S$2:S258,1)=1),1,0)</f>
        <v>0</v>
      </c>
      <c r="R258" s="1" t="n">
        <f aca="false">IF(AND(N258=1,COUNTIFS($K$2:K258,K258,$L$2:L258,L258,$J$2:J258,J258,$N$2:N258,1)=1),1,0)</f>
        <v>0</v>
      </c>
      <c r="S258" s="1" t="n">
        <f aca="false">IF(AND(K258&lt;&gt;"Context and provider model",K258&lt;&gt;"Motivation"),1,0)</f>
        <v>1</v>
      </c>
    </row>
    <row r="259" customFormat="false" ht="15" hidden="false" customHeight="true" outlineLevel="0" collapsed="false">
      <c r="J259" s="1" t="str">
        <f aca="false">'Raw Atomic Data (Pro)'!A259</f>
        <v>Ami</v>
      </c>
      <c r="K259" s="1" t="str">
        <f aca="false">'Raw Atomic Data (Pro)'!C259</f>
        <v>Evaluation and meet-and-greet</v>
      </c>
      <c r="L259" s="1" t="str">
        <f aca="false">'Raw Atomic Data (Pro)'!D259</f>
        <v>meet-and-greet-process</v>
      </c>
      <c r="M259" s="1" t="str">
        <f aca="false">'Raw Atomic Data (Pro)'!E259</f>
        <v>value-statement</v>
      </c>
      <c r="N259" s="1" t="n">
        <f aca="false">IF(OR(M259="friction",M259="need",M259="workaround"),1,0)</f>
        <v>0</v>
      </c>
      <c r="O259" s="1" t="n">
        <f aca="false">IF(COUNTIFS($K$2:K259,K259,$L$2:L259,L259,$M$2:M259,M259,$J$2:J259,J259)=1,1,0)</f>
        <v>1</v>
      </c>
      <c r="P259" s="1" t="n">
        <f aca="false">IF(AND(N259=1,S259=1,COUNTIFS($L$2:L259,L259,$J$2:J259,J259,$N$2:N259,1,$S$2:S259,1)=1),1,0)</f>
        <v>0</v>
      </c>
      <c r="Q259" s="1" t="n">
        <f aca="false">IF(AND(N259=1,S259=1,COUNTIFS($L$2:L259,L259,$K$2:K259,K259,$N$2:N259,1,$S$2:S259,1)=1),1,0)</f>
        <v>0</v>
      </c>
      <c r="R259" s="1" t="n">
        <f aca="false">IF(AND(N259=1,COUNTIFS($K$2:K259,K259,$L$2:L259,L259,$J$2:J259,J259,$N$2:N259,1)=1),1,0)</f>
        <v>0</v>
      </c>
      <c r="S259" s="1" t="n">
        <f aca="false">IF(AND(K259&lt;&gt;"Context and provider model",K259&lt;&gt;"Motivation"),1,0)</f>
        <v>1</v>
      </c>
    </row>
    <row r="260" customFormat="false" ht="15" hidden="false" customHeight="true" outlineLevel="0" collapsed="false">
      <c r="J260" s="1" t="str">
        <f aca="false">'Raw Atomic Data (Pro)'!A260</f>
        <v>Andrew</v>
      </c>
      <c r="K260" s="1" t="str">
        <f aca="false">'Raw Atomic Data (Pro)'!C260</f>
        <v>Evaluation and meet-and-greet</v>
      </c>
      <c r="L260" s="1" t="str">
        <f aca="false">'Raw Atomic Data (Pro)'!D260</f>
        <v>meet-and-greet-process</v>
      </c>
      <c r="M260" s="1" t="str">
        <f aca="false">'Raw Atomic Data (Pro)'!E260</f>
        <v>fact</v>
      </c>
      <c r="N260" s="1" t="n">
        <f aca="false">IF(OR(M260="friction",M260="need",M260="workaround"),1,0)</f>
        <v>0</v>
      </c>
      <c r="O260" s="1" t="n">
        <f aca="false">IF(COUNTIFS($K$2:K260,K260,$L$2:L260,L260,$M$2:M260,M260,$J$2:J260,J260)=1,1,0)</f>
        <v>1</v>
      </c>
      <c r="P260" s="1" t="n">
        <f aca="false">IF(AND(N260=1,S260=1,COUNTIFS($L$2:L260,L260,$J$2:J260,J260,$N$2:N260,1,$S$2:S260,1)=1),1,0)</f>
        <v>0</v>
      </c>
      <c r="Q260" s="1" t="n">
        <f aca="false">IF(AND(N260=1,S260=1,COUNTIFS($L$2:L260,L260,$K$2:K260,K260,$N$2:N260,1,$S$2:S260,1)=1),1,0)</f>
        <v>0</v>
      </c>
      <c r="R260" s="1" t="n">
        <f aca="false">IF(AND(N260=1,COUNTIFS($K$2:K260,K260,$L$2:L260,L260,$J$2:J260,J260,$N$2:N260,1)=1),1,0)</f>
        <v>0</v>
      </c>
      <c r="S260" s="1" t="n">
        <f aca="false">IF(AND(K260&lt;&gt;"Context and provider model",K260&lt;&gt;"Motivation"),1,0)</f>
        <v>1</v>
      </c>
    </row>
    <row r="261" customFormat="false" ht="15" hidden="false" customHeight="true" outlineLevel="0" collapsed="false">
      <c r="J261" s="1" t="str">
        <f aca="false">'Raw Atomic Data (Pro)'!A261</f>
        <v>Andrew</v>
      </c>
      <c r="K261" s="1" t="str">
        <f aca="false">'Raw Atomic Data (Pro)'!C261</f>
        <v>Evaluation and meet-and-greet</v>
      </c>
      <c r="L261" s="1" t="str">
        <f aca="false">'Raw Atomic Data (Pro)'!D261</f>
        <v>safety-risk-incidents</v>
      </c>
      <c r="M261" s="1" t="str">
        <f aca="false">'Raw Atomic Data (Pro)'!E261</f>
        <v>fact</v>
      </c>
      <c r="N261" s="1" t="n">
        <f aca="false">IF(OR(M261="friction",M261="need",M261="workaround"),1,0)</f>
        <v>0</v>
      </c>
      <c r="O261" s="1" t="n">
        <f aca="false">IF(COUNTIFS($K$2:K261,K261,$L$2:L261,L261,$M$2:M261,M261,$J$2:J261,J261)=1,1,0)</f>
        <v>1</v>
      </c>
      <c r="P261" s="1" t="n">
        <f aca="false">IF(AND(N261=1,S261=1,COUNTIFS($L$2:L261,L261,$J$2:J261,J261,$N$2:N261,1,$S$2:S261,1)=1),1,0)</f>
        <v>0</v>
      </c>
      <c r="Q261" s="1" t="n">
        <f aca="false">IF(AND(N261=1,S261=1,COUNTIFS($L$2:L261,L261,$K$2:K261,K261,$N$2:N261,1,$S$2:S261,1)=1),1,0)</f>
        <v>0</v>
      </c>
      <c r="R261" s="1" t="n">
        <f aca="false">IF(AND(N261=1,COUNTIFS($K$2:K261,K261,$L$2:L261,L261,$J$2:J261,J261,$N$2:N261,1)=1),1,0)</f>
        <v>0</v>
      </c>
      <c r="S261" s="1" t="n">
        <f aca="false">IF(AND(K261&lt;&gt;"Context and provider model",K261&lt;&gt;"Motivation"),1,0)</f>
        <v>1</v>
      </c>
    </row>
    <row r="262" customFormat="false" ht="15" hidden="false" customHeight="true" outlineLevel="0" collapsed="false">
      <c r="J262" s="1" t="str">
        <f aca="false">'Raw Atomic Data (Pro)'!A262</f>
        <v>Andrew</v>
      </c>
      <c r="K262" s="1" t="str">
        <f aca="false">'Raw Atomic Data (Pro)'!C262</f>
        <v>Evaluation and meet-and-greet</v>
      </c>
      <c r="L262" s="1" t="str">
        <f aca="false">'Raw Atomic Data (Pro)'!D262</f>
        <v>safety-risk-incidents</v>
      </c>
      <c r="M262" s="1" t="str">
        <f aca="false">'Raw Atomic Data (Pro)'!E262</f>
        <v>fact</v>
      </c>
      <c r="N262" s="1" t="n">
        <f aca="false">IF(OR(M262="friction",M262="need",M262="workaround"),1,0)</f>
        <v>0</v>
      </c>
      <c r="O262" s="1" t="n">
        <f aca="false">IF(COUNTIFS($K$2:K262,K262,$L$2:L262,L262,$M$2:M262,M262,$J$2:J262,J262)=1,1,0)</f>
        <v>0</v>
      </c>
      <c r="P262" s="1" t="n">
        <f aca="false">IF(AND(N262=1,S262=1,COUNTIFS($L$2:L262,L262,$J$2:J262,J262,$N$2:N262,1,$S$2:S262,1)=1),1,0)</f>
        <v>0</v>
      </c>
      <c r="Q262" s="1" t="n">
        <f aca="false">IF(AND(N262=1,S262=1,COUNTIFS($L$2:L262,L262,$K$2:K262,K262,$N$2:N262,1,$S$2:S262,1)=1),1,0)</f>
        <v>0</v>
      </c>
      <c r="R262" s="1" t="n">
        <f aca="false">IF(AND(N262=1,COUNTIFS($K$2:K262,K262,$L$2:L262,L262,$J$2:J262,J262,$N$2:N262,1)=1),1,0)</f>
        <v>0</v>
      </c>
      <c r="S262" s="1" t="n">
        <f aca="false">IF(AND(K262&lt;&gt;"Context and provider model",K262&lt;&gt;"Motivation"),1,0)</f>
        <v>1</v>
      </c>
    </row>
    <row r="263" customFormat="false" ht="15" hidden="false" customHeight="true" outlineLevel="0" collapsed="false">
      <c r="J263" s="1" t="str">
        <f aca="false">'Raw Atomic Data (Pro)'!A263</f>
        <v>Andrew</v>
      </c>
      <c r="K263" s="1" t="str">
        <f aca="false">'Raw Atomic Data (Pro)'!C263</f>
        <v>Evaluation and meet-and-greet</v>
      </c>
      <c r="L263" s="1" t="str">
        <f aca="false">'Raw Atomic Data (Pro)'!D263</f>
        <v>meet-and-greet-process</v>
      </c>
      <c r="M263" s="1" t="str">
        <f aca="false">'Raw Atomic Data (Pro)'!E263</f>
        <v>fact</v>
      </c>
      <c r="N263" s="1" t="n">
        <f aca="false">IF(OR(M263="friction",M263="need",M263="workaround"),1,0)</f>
        <v>0</v>
      </c>
      <c r="O263" s="1" t="n">
        <f aca="false">IF(COUNTIFS($K$2:K263,K263,$L$2:L263,L263,$M$2:M263,M263,$J$2:J263,J263)=1,1,0)</f>
        <v>0</v>
      </c>
      <c r="P263" s="1" t="n">
        <f aca="false">IF(AND(N263=1,S263=1,COUNTIFS($L$2:L263,L263,$J$2:J263,J263,$N$2:N263,1,$S$2:S263,1)=1),1,0)</f>
        <v>0</v>
      </c>
      <c r="Q263" s="1" t="n">
        <f aca="false">IF(AND(N263=1,S263=1,COUNTIFS($L$2:L263,L263,$K$2:K263,K263,$N$2:N263,1,$S$2:S263,1)=1),1,0)</f>
        <v>0</v>
      </c>
      <c r="R263" s="1" t="n">
        <f aca="false">IF(AND(N263=1,COUNTIFS($K$2:K263,K263,$L$2:L263,L263,$J$2:J263,J263,$N$2:N263,1)=1),1,0)</f>
        <v>0</v>
      </c>
      <c r="S263" s="1" t="n">
        <f aca="false">IF(AND(K263&lt;&gt;"Context and provider model",K263&lt;&gt;"Motivation"),1,0)</f>
        <v>1</v>
      </c>
    </row>
    <row r="264" customFormat="false" ht="15" hidden="false" customHeight="true" outlineLevel="0" collapsed="false">
      <c r="J264" s="1" t="str">
        <f aca="false">'Raw Atomic Data (Pro)'!A264</f>
        <v>Andrew</v>
      </c>
      <c r="K264" s="1" t="str">
        <f aca="false">'Raw Atomic Data (Pro)'!C264</f>
        <v>Evaluation and meet-and-greet</v>
      </c>
      <c r="L264" s="1" t="str">
        <f aca="false">'Raw Atomic Data (Pro)'!D264</f>
        <v>meet-and-greet-process</v>
      </c>
      <c r="M264" s="1" t="str">
        <f aca="false">'Raw Atomic Data (Pro)'!E264</f>
        <v>fact</v>
      </c>
      <c r="N264" s="1" t="n">
        <f aca="false">IF(OR(M264="friction",M264="need",M264="workaround"),1,0)</f>
        <v>0</v>
      </c>
      <c r="O264" s="1" t="n">
        <f aca="false">IF(COUNTIFS($K$2:K264,K264,$L$2:L264,L264,$M$2:M264,M264,$J$2:J264,J264)=1,1,0)</f>
        <v>0</v>
      </c>
      <c r="P264" s="1" t="n">
        <f aca="false">IF(AND(N264=1,S264=1,COUNTIFS($L$2:L264,L264,$J$2:J264,J264,$N$2:N264,1,$S$2:S264,1)=1),1,0)</f>
        <v>0</v>
      </c>
      <c r="Q264" s="1" t="n">
        <f aca="false">IF(AND(N264=1,S264=1,COUNTIFS($L$2:L264,L264,$K$2:K264,K264,$N$2:N264,1,$S$2:S264,1)=1),1,0)</f>
        <v>0</v>
      </c>
      <c r="R264" s="1" t="n">
        <f aca="false">IF(AND(N264=1,COUNTIFS($K$2:K264,K264,$L$2:L264,L264,$J$2:J264,J264,$N$2:N264,1)=1),1,0)</f>
        <v>0</v>
      </c>
      <c r="S264" s="1" t="n">
        <f aca="false">IF(AND(K264&lt;&gt;"Context and provider model",K264&lt;&gt;"Motivation"),1,0)</f>
        <v>1</v>
      </c>
    </row>
    <row r="265" customFormat="false" ht="15" hidden="false" customHeight="true" outlineLevel="0" collapsed="false">
      <c r="J265" s="1" t="str">
        <f aca="false">'Raw Atomic Data (Pro)'!A265</f>
        <v>Andrew</v>
      </c>
      <c r="K265" s="1" t="str">
        <f aca="false">'Raw Atomic Data (Pro)'!C265</f>
        <v>Evaluation and meet-and-greet</v>
      </c>
      <c r="L265" s="1" t="str">
        <f aca="false">'Raw Atomic Data (Pro)'!D265</f>
        <v>meet-and-greet-process</v>
      </c>
      <c r="M265" s="1" t="str">
        <f aca="false">'Raw Atomic Data (Pro)'!E265</f>
        <v>value-statement</v>
      </c>
      <c r="N265" s="1" t="n">
        <f aca="false">IF(OR(M265="friction",M265="need",M265="workaround"),1,0)</f>
        <v>0</v>
      </c>
      <c r="O265" s="1" t="n">
        <f aca="false">IF(COUNTIFS($K$2:K265,K265,$L$2:L265,L265,$M$2:M265,M265,$J$2:J265,J265)=1,1,0)</f>
        <v>1</v>
      </c>
      <c r="P265" s="1" t="n">
        <f aca="false">IF(AND(N265=1,S265=1,COUNTIFS($L$2:L265,L265,$J$2:J265,J265,$N$2:N265,1,$S$2:S265,1)=1),1,0)</f>
        <v>0</v>
      </c>
      <c r="Q265" s="1" t="n">
        <f aca="false">IF(AND(N265=1,S265=1,COUNTIFS($L$2:L265,L265,$K$2:K265,K265,$N$2:N265,1,$S$2:S265,1)=1),1,0)</f>
        <v>0</v>
      </c>
      <c r="R265" s="1" t="n">
        <f aca="false">IF(AND(N265=1,COUNTIFS($K$2:K265,K265,$L$2:L265,L265,$J$2:J265,J265,$N$2:N265,1)=1),1,0)</f>
        <v>0</v>
      </c>
      <c r="S265" s="1" t="n">
        <f aca="false">IF(AND(K265&lt;&gt;"Context and provider model",K265&lt;&gt;"Motivation"),1,0)</f>
        <v>1</v>
      </c>
    </row>
    <row r="266" customFormat="false" ht="15" hidden="false" customHeight="true" outlineLevel="0" collapsed="false">
      <c r="J266" s="1" t="str">
        <f aca="false">'Raw Atomic Data (Pro)'!A266</f>
        <v>Anita</v>
      </c>
      <c r="K266" s="1" t="str">
        <f aca="false">'Raw Atomic Data (Pro)'!C266</f>
        <v>Evaluation and meet-and-greet</v>
      </c>
      <c r="L266" s="1" t="str">
        <f aca="false">'Raw Atomic Data (Pro)'!D266</f>
        <v>meet-and-greet-process</v>
      </c>
      <c r="M266" s="1" t="str">
        <f aca="false">'Raw Atomic Data (Pro)'!E266</f>
        <v>fact</v>
      </c>
      <c r="N266" s="1" t="n">
        <f aca="false">IF(OR(M266="friction",M266="need",M266="workaround"),1,0)</f>
        <v>0</v>
      </c>
      <c r="O266" s="1" t="n">
        <f aca="false">IF(COUNTIFS($K$2:K266,K266,$L$2:L266,L266,$M$2:M266,M266,$J$2:J266,J266)=1,1,0)</f>
        <v>1</v>
      </c>
      <c r="P266" s="1" t="n">
        <f aca="false">IF(AND(N266=1,S266=1,COUNTIFS($L$2:L266,L266,$J$2:J266,J266,$N$2:N266,1,$S$2:S266,1)=1),1,0)</f>
        <v>0</v>
      </c>
      <c r="Q266" s="1" t="n">
        <f aca="false">IF(AND(N266=1,S266=1,COUNTIFS($L$2:L266,L266,$K$2:K266,K266,$N$2:N266,1,$S$2:S266,1)=1),1,0)</f>
        <v>0</v>
      </c>
      <c r="R266" s="1" t="n">
        <f aca="false">IF(AND(N266=1,COUNTIFS($K$2:K266,K266,$L$2:L266,L266,$J$2:J266,J266,$N$2:N266,1)=1),1,0)</f>
        <v>0</v>
      </c>
      <c r="S266" s="1" t="n">
        <f aca="false">IF(AND(K266&lt;&gt;"Context and provider model",K266&lt;&gt;"Motivation"),1,0)</f>
        <v>1</v>
      </c>
    </row>
    <row r="267" customFormat="false" ht="15" hidden="false" customHeight="true" outlineLevel="0" collapsed="false">
      <c r="J267" s="1" t="str">
        <f aca="false">'Raw Atomic Data (Pro)'!A267</f>
        <v>Anita</v>
      </c>
      <c r="K267" s="1" t="str">
        <f aca="false">'Raw Atomic Data (Pro)'!C267</f>
        <v>Evaluation and meet-and-greet</v>
      </c>
      <c r="L267" s="1" t="str">
        <f aca="false">'Raw Atomic Data (Pro)'!D267</f>
        <v>meet-and-greet-process</v>
      </c>
      <c r="M267" s="1" t="str">
        <f aca="false">'Raw Atomic Data (Pro)'!E267</f>
        <v>fact</v>
      </c>
      <c r="N267" s="1" t="n">
        <f aca="false">IF(OR(M267="friction",M267="need",M267="workaround"),1,0)</f>
        <v>0</v>
      </c>
      <c r="O267" s="1" t="n">
        <f aca="false">IF(COUNTIFS($K$2:K267,K267,$L$2:L267,L267,$M$2:M267,M267,$J$2:J267,J267)=1,1,0)</f>
        <v>0</v>
      </c>
      <c r="P267" s="1" t="n">
        <f aca="false">IF(AND(N267=1,S267=1,COUNTIFS($L$2:L267,L267,$J$2:J267,J267,$N$2:N267,1,$S$2:S267,1)=1),1,0)</f>
        <v>0</v>
      </c>
      <c r="Q267" s="1" t="n">
        <f aca="false">IF(AND(N267=1,S267=1,COUNTIFS($L$2:L267,L267,$K$2:K267,K267,$N$2:N267,1,$S$2:S267,1)=1),1,0)</f>
        <v>0</v>
      </c>
      <c r="R267" s="1" t="n">
        <f aca="false">IF(AND(N267=1,COUNTIFS($K$2:K267,K267,$L$2:L267,L267,$J$2:J267,J267,$N$2:N267,1)=1),1,0)</f>
        <v>0</v>
      </c>
      <c r="S267" s="1" t="n">
        <f aca="false">IF(AND(K267&lt;&gt;"Context and provider model",K267&lt;&gt;"Motivation"),1,0)</f>
        <v>1</v>
      </c>
    </row>
    <row r="268" customFormat="false" ht="15" hidden="false" customHeight="true" outlineLevel="0" collapsed="false">
      <c r="J268" s="1" t="str">
        <f aca="false">'Raw Atomic Data (Pro)'!A268</f>
        <v>Anita</v>
      </c>
      <c r="K268" s="1" t="str">
        <f aca="false">'Raw Atomic Data (Pro)'!C268</f>
        <v>Evaluation and meet-and-greet</v>
      </c>
      <c r="L268" s="1" t="str">
        <f aca="false">'Raw Atomic Data (Pro)'!D268</f>
        <v>meet-and-greet-process</v>
      </c>
      <c r="M268" s="1" t="str">
        <f aca="false">'Raw Atomic Data (Pro)'!E268</f>
        <v>fact</v>
      </c>
      <c r="N268" s="1" t="n">
        <f aca="false">IF(OR(M268="friction",M268="need",M268="workaround"),1,0)</f>
        <v>0</v>
      </c>
      <c r="O268" s="1" t="n">
        <f aca="false">IF(COUNTIFS($K$2:K268,K268,$L$2:L268,L268,$M$2:M268,M268,$J$2:J268,J268)=1,1,0)</f>
        <v>0</v>
      </c>
      <c r="P268" s="1" t="n">
        <f aca="false">IF(AND(N268=1,S268=1,COUNTIFS($L$2:L268,L268,$J$2:J268,J268,$N$2:N268,1,$S$2:S268,1)=1),1,0)</f>
        <v>0</v>
      </c>
      <c r="Q268" s="1" t="n">
        <f aca="false">IF(AND(N268=1,S268=1,COUNTIFS($L$2:L268,L268,$K$2:K268,K268,$N$2:N268,1,$S$2:S268,1)=1),1,0)</f>
        <v>0</v>
      </c>
      <c r="R268" s="1" t="n">
        <f aca="false">IF(AND(N268=1,COUNTIFS($K$2:K268,K268,$L$2:L268,L268,$J$2:J268,J268,$N$2:N268,1)=1),1,0)</f>
        <v>0</v>
      </c>
      <c r="S268" s="1" t="n">
        <f aca="false">IF(AND(K268&lt;&gt;"Context and provider model",K268&lt;&gt;"Motivation"),1,0)</f>
        <v>1</v>
      </c>
    </row>
    <row r="269" customFormat="false" ht="15" hidden="false" customHeight="true" outlineLevel="0" collapsed="false">
      <c r="J269" s="1" t="str">
        <f aca="false">'Raw Atomic Data (Pro)'!A269</f>
        <v>Anita</v>
      </c>
      <c r="K269" s="1" t="str">
        <f aca="false">'Raw Atomic Data (Pro)'!C269</f>
        <v>Evaluation and meet-and-greet</v>
      </c>
      <c r="L269" s="1" t="str">
        <f aca="false">'Raw Atomic Data (Pro)'!D269</f>
        <v>meet-and-greet-process</v>
      </c>
      <c r="M269" s="1" t="str">
        <f aca="false">'Raw Atomic Data (Pro)'!E269</f>
        <v>fact</v>
      </c>
      <c r="N269" s="1" t="n">
        <f aca="false">IF(OR(M269="friction",M269="need",M269="workaround"),1,0)</f>
        <v>0</v>
      </c>
      <c r="O269" s="1" t="n">
        <f aca="false">IF(COUNTIFS($K$2:K269,K269,$L$2:L269,L269,$M$2:M269,M269,$J$2:J269,J269)=1,1,0)</f>
        <v>0</v>
      </c>
      <c r="P269" s="1" t="n">
        <f aca="false">IF(AND(N269=1,S269=1,COUNTIFS($L$2:L269,L269,$J$2:J269,J269,$N$2:N269,1,$S$2:S269,1)=1),1,0)</f>
        <v>0</v>
      </c>
      <c r="Q269" s="1" t="n">
        <f aca="false">IF(AND(N269=1,S269=1,COUNTIFS($L$2:L269,L269,$K$2:K269,K269,$N$2:N269,1,$S$2:S269,1)=1),1,0)</f>
        <v>0</v>
      </c>
      <c r="R269" s="1" t="n">
        <f aca="false">IF(AND(N269=1,COUNTIFS($K$2:K269,K269,$L$2:L269,L269,$J$2:J269,J269,$N$2:N269,1)=1),1,0)</f>
        <v>0</v>
      </c>
      <c r="S269" s="1" t="n">
        <f aca="false">IF(AND(K269&lt;&gt;"Context and provider model",K269&lt;&gt;"Motivation"),1,0)</f>
        <v>1</v>
      </c>
    </row>
    <row r="270" customFormat="false" ht="15" hidden="false" customHeight="true" outlineLevel="0" collapsed="false">
      <c r="J270" s="1" t="str">
        <f aca="false">'Raw Atomic Data (Pro)'!A270</f>
        <v>Anita</v>
      </c>
      <c r="K270" s="1" t="str">
        <f aca="false">'Raw Atomic Data (Pro)'!C270</f>
        <v>Evaluation and meet-and-greet</v>
      </c>
      <c r="L270" s="1" t="str">
        <f aca="false">'Raw Atomic Data (Pro)'!D270</f>
        <v>safety-risk-incidents</v>
      </c>
      <c r="M270" s="1" t="str">
        <f aca="false">'Raw Atomic Data (Pro)'!E270</f>
        <v>friction</v>
      </c>
      <c r="N270" s="1" t="n">
        <f aca="false">IF(OR(M270="friction",M270="need",M270="workaround"),1,0)</f>
        <v>1</v>
      </c>
      <c r="O270" s="1" t="n">
        <f aca="false">IF(COUNTIFS($K$2:K270,K270,$L$2:L270,L270,$M$2:M270,M270,$J$2:J270,J270)=1,1,0)</f>
        <v>1</v>
      </c>
      <c r="P270" s="1" t="n">
        <f aca="false">IF(AND(N270=1,S270=1,COUNTIFS($L$2:L270,L270,$J$2:J270,J270,$N$2:N270,1,$S$2:S270,1)=1),1,0)</f>
        <v>1</v>
      </c>
      <c r="Q270" s="1" t="n">
        <f aca="false">IF(AND(N270=1,S270=1,COUNTIFS($L$2:L270,L270,$K$2:K270,K270,$N$2:N270,1,$S$2:S270,1)=1),1,0)</f>
        <v>1</v>
      </c>
      <c r="R270" s="1" t="n">
        <f aca="false">IF(AND(N270=1,COUNTIFS($K$2:K270,K270,$L$2:L270,L270,$J$2:J270,J270,$N$2:N270,1)=1),1,0)</f>
        <v>1</v>
      </c>
      <c r="S270" s="1" t="n">
        <f aca="false">IF(AND(K270&lt;&gt;"Context and provider model",K270&lt;&gt;"Motivation"),1,0)</f>
        <v>1</v>
      </c>
    </row>
    <row r="271" customFormat="false" ht="15" hidden="false" customHeight="true" outlineLevel="0" collapsed="false">
      <c r="J271" s="1" t="str">
        <f aca="false">'Raw Atomic Data (Pro)'!A271</f>
        <v>Anita</v>
      </c>
      <c r="K271" s="1" t="str">
        <f aca="false">'Raw Atomic Data (Pro)'!C271</f>
        <v>Evaluation and meet-and-greet</v>
      </c>
      <c r="L271" s="1" t="str">
        <f aca="false">'Raw Atomic Data (Pro)'!D271</f>
        <v>safety-risk-incidents</v>
      </c>
      <c r="M271" s="1" t="str">
        <f aca="false">'Raw Atomic Data (Pro)'!E271</f>
        <v>need</v>
      </c>
      <c r="N271" s="1" t="n">
        <f aca="false">IF(OR(M271="friction",M271="need",M271="workaround"),1,0)</f>
        <v>1</v>
      </c>
      <c r="O271" s="1" t="n">
        <f aca="false">IF(COUNTIFS($K$2:K271,K271,$L$2:L271,L271,$M$2:M271,M271,$J$2:J271,J271)=1,1,0)</f>
        <v>1</v>
      </c>
      <c r="P271" s="1" t="n">
        <f aca="false">IF(AND(N271=1,S271=1,COUNTIFS($L$2:L271,L271,$J$2:J271,J271,$N$2:N271,1,$S$2:S271,1)=1),1,0)</f>
        <v>0</v>
      </c>
      <c r="Q271" s="1" t="n">
        <f aca="false">IF(AND(N271=1,S271=1,COUNTIFS($L$2:L271,L271,$K$2:K271,K271,$N$2:N271,1,$S$2:S271,1)=1),1,0)</f>
        <v>0</v>
      </c>
      <c r="R271" s="1" t="n">
        <f aca="false">IF(AND(N271=1,COUNTIFS($K$2:K271,K271,$L$2:L271,L271,$J$2:J271,J271,$N$2:N271,1)=1),1,0)</f>
        <v>0</v>
      </c>
      <c r="S271" s="1" t="n">
        <f aca="false">IF(AND(K271&lt;&gt;"Context and provider model",K271&lt;&gt;"Motivation"),1,0)</f>
        <v>1</v>
      </c>
    </row>
    <row r="272" customFormat="false" ht="15" hidden="false" customHeight="true" outlineLevel="0" collapsed="false">
      <c r="J272" s="1" t="str">
        <f aca="false">'Raw Atomic Data (Pro)'!A272</f>
        <v>Anita</v>
      </c>
      <c r="K272" s="1" t="str">
        <f aca="false">'Raw Atomic Data (Pro)'!C272</f>
        <v>Evaluation and meet-and-greet</v>
      </c>
      <c r="L272" s="1" t="str">
        <f aca="false">'Raw Atomic Data (Pro)'!D272</f>
        <v>safety-risk-incidents</v>
      </c>
      <c r="M272" s="1" t="str">
        <f aca="false">'Raw Atomic Data (Pro)'!E272</f>
        <v>fact</v>
      </c>
      <c r="N272" s="1" t="n">
        <f aca="false">IF(OR(M272="friction",M272="need",M272="workaround"),1,0)</f>
        <v>0</v>
      </c>
      <c r="O272" s="1" t="n">
        <f aca="false">IF(COUNTIFS($K$2:K272,K272,$L$2:L272,L272,$M$2:M272,M272,$J$2:J272,J272)=1,1,0)</f>
        <v>1</v>
      </c>
      <c r="P272" s="1" t="n">
        <f aca="false">IF(AND(N272=1,S272=1,COUNTIFS($L$2:L272,L272,$J$2:J272,J272,$N$2:N272,1,$S$2:S272,1)=1),1,0)</f>
        <v>0</v>
      </c>
      <c r="Q272" s="1" t="n">
        <f aca="false">IF(AND(N272=1,S272=1,COUNTIFS($L$2:L272,L272,$K$2:K272,K272,$N$2:N272,1,$S$2:S272,1)=1),1,0)</f>
        <v>0</v>
      </c>
      <c r="R272" s="1" t="n">
        <f aca="false">IF(AND(N272=1,COUNTIFS($K$2:K272,K272,$L$2:L272,L272,$J$2:J272,J272,$N$2:N272,1)=1),1,0)</f>
        <v>0</v>
      </c>
      <c r="S272" s="1" t="n">
        <f aca="false">IF(AND(K272&lt;&gt;"Context and provider model",K272&lt;&gt;"Motivation"),1,0)</f>
        <v>1</v>
      </c>
    </row>
    <row r="273" customFormat="false" ht="15" hidden="false" customHeight="true" outlineLevel="0" collapsed="false">
      <c r="J273" s="1" t="str">
        <f aca="false">'Raw Atomic Data (Pro)'!A273</f>
        <v>Anita</v>
      </c>
      <c r="K273" s="1" t="str">
        <f aca="false">'Raw Atomic Data (Pro)'!C273</f>
        <v>Evaluation and meet-and-greet</v>
      </c>
      <c r="L273" s="1" t="str">
        <f aca="false">'Raw Atomic Data (Pro)'!D273</f>
        <v>client-dog-screening-criteria</v>
      </c>
      <c r="M273" s="1" t="str">
        <f aca="false">'Raw Atomic Data (Pro)'!E273</f>
        <v>fact</v>
      </c>
      <c r="N273" s="1" t="n">
        <f aca="false">IF(OR(M273="friction",M273="need",M273="workaround"),1,0)</f>
        <v>0</v>
      </c>
      <c r="O273" s="1" t="n">
        <f aca="false">IF(COUNTIFS($K$2:K273,K273,$L$2:L273,L273,$M$2:M273,M273,$J$2:J273,J273)=1,1,0)</f>
        <v>1</v>
      </c>
      <c r="P273" s="1" t="n">
        <f aca="false">IF(AND(N273=1,S273=1,COUNTIFS($L$2:L273,L273,$J$2:J273,J273,$N$2:N273,1,$S$2:S273,1)=1),1,0)</f>
        <v>0</v>
      </c>
      <c r="Q273" s="1" t="n">
        <f aca="false">IF(AND(N273=1,S273=1,COUNTIFS($L$2:L273,L273,$K$2:K273,K273,$N$2:N273,1,$S$2:S273,1)=1),1,0)</f>
        <v>0</v>
      </c>
      <c r="R273" s="1" t="n">
        <f aca="false">IF(AND(N273=1,COUNTIFS($K$2:K273,K273,$L$2:L273,L273,$J$2:J273,J273,$N$2:N273,1)=1),1,0)</f>
        <v>0</v>
      </c>
      <c r="S273" s="1" t="n">
        <f aca="false">IF(AND(K273&lt;&gt;"Context and provider model",K273&lt;&gt;"Motivation"),1,0)</f>
        <v>1</v>
      </c>
    </row>
    <row r="274" customFormat="false" ht="15" hidden="false" customHeight="true" outlineLevel="0" collapsed="false">
      <c r="J274" s="1" t="str">
        <f aca="false">'Raw Atomic Data (Pro)'!A274</f>
        <v>Becky</v>
      </c>
      <c r="K274" s="1" t="str">
        <f aca="false">'Raw Atomic Data (Pro)'!C274</f>
        <v>Evaluation and meet-and-greet</v>
      </c>
      <c r="L274" s="1" t="str">
        <f aca="false">'Raw Atomic Data (Pro)'!D274</f>
        <v>booking-confirmation-mechanics</v>
      </c>
      <c r="M274" s="1" t="str">
        <f aca="false">'Raw Atomic Data (Pro)'!E274</f>
        <v>fact</v>
      </c>
      <c r="N274" s="1" t="n">
        <f aca="false">IF(OR(M274="friction",M274="need",M274="workaround"),1,0)</f>
        <v>0</v>
      </c>
      <c r="O274" s="1" t="n">
        <f aca="false">IF(COUNTIFS($K$2:K274,K274,$L$2:L274,L274,$M$2:M274,M274,$J$2:J274,J274)=1,1,0)</f>
        <v>1</v>
      </c>
      <c r="P274" s="1" t="n">
        <f aca="false">IF(AND(N274=1,S274=1,COUNTIFS($L$2:L274,L274,$J$2:J274,J274,$N$2:N274,1,$S$2:S274,1)=1),1,0)</f>
        <v>0</v>
      </c>
      <c r="Q274" s="1" t="n">
        <f aca="false">IF(AND(N274=1,S274=1,COUNTIFS($L$2:L274,L274,$K$2:K274,K274,$N$2:N274,1,$S$2:S274,1)=1),1,0)</f>
        <v>0</v>
      </c>
      <c r="R274" s="1" t="n">
        <f aca="false">IF(AND(N274=1,COUNTIFS($K$2:K274,K274,$L$2:L274,L274,$J$2:J274,J274,$N$2:N274,1)=1),1,0)</f>
        <v>0</v>
      </c>
      <c r="S274" s="1" t="n">
        <f aca="false">IF(AND(K274&lt;&gt;"Context and provider model",K274&lt;&gt;"Motivation"),1,0)</f>
        <v>1</v>
      </c>
    </row>
    <row r="275" customFormat="false" ht="15" hidden="false" customHeight="true" outlineLevel="0" collapsed="false">
      <c r="J275" s="1" t="str">
        <f aca="false">'Raw Atomic Data (Pro)'!A275</f>
        <v>Becky</v>
      </c>
      <c r="K275" s="1" t="str">
        <f aca="false">'Raw Atomic Data (Pro)'!C275</f>
        <v>Evaluation and meet-and-greet</v>
      </c>
      <c r="L275" s="1" t="str">
        <f aca="false">'Raw Atomic Data (Pro)'!D275</f>
        <v>meet-and-greet-process</v>
      </c>
      <c r="M275" s="1" t="str">
        <f aca="false">'Raw Atomic Data (Pro)'!E275</f>
        <v>fact</v>
      </c>
      <c r="N275" s="1" t="n">
        <f aca="false">IF(OR(M275="friction",M275="need",M275="workaround"),1,0)</f>
        <v>0</v>
      </c>
      <c r="O275" s="1" t="n">
        <f aca="false">IF(COUNTIFS($K$2:K275,K275,$L$2:L275,L275,$M$2:M275,M275,$J$2:J275,J275)=1,1,0)</f>
        <v>1</v>
      </c>
      <c r="P275" s="1" t="n">
        <f aca="false">IF(AND(N275=1,S275=1,COUNTIFS($L$2:L275,L275,$J$2:J275,J275,$N$2:N275,1,$S$2:S275,1)=1),1,0)</f>
        <v>0</v>
      </c>
      <c r="Q275" s="1" t="n">
        <f aca="false">IF(AND(N275=1,S275=1,COUNTIFS($L$2:L275,L275,$K$2:K275,K275,$N$2:N275,1,$S$2:S275,1)=1),1,0)</f>
        <v>0</v>
      </c>
      <c r="R275" s="1" t="n">
        <f aca="false">IF(AND(N275=1,COUNTIFS($K$2:K275,K275,$L$2:L275,L275,$J$2:J275,J275,$N$2:N275,1)=1),1,0)</f>
        <v>0</v>
      </c>
      <c r="S275" s="1" t="n">
        <f aca="false">IF(AND(K275&lt;&gt;"Context and provider model",K275&lt;&gt;"Motivation"),1,0)</f>
        <v>1</v>
      </c>
    </row>
    <row r="276" customFormat="false" ht="15" hidden="false" customHeight="true" outlineLevel="0" collapsed="false">
      <c r="J276" s="1" t="str">
        <f aca="false">'Raw Atomic Data (Pro)'!A276</f>
        <v>Becky</v>
      </c>
      <c r="K276" s="1" t="str">
        <f aca="false">'Raw Atomic Data (Pro)'!C276</f>
        <v>Evaluation and meet-and-greet</v>
      </c>
      <c r="L276" s="1" t="str">
        <f aca="false">'Raw Atomic Data (Pro)'!D276</f>
        <v>meet-and-greet-process</v>
      </c>
      <c r="M276" s="1" t="str">
        <f aca="false">'Raw Atomic Data (Pro)'!E276</f>
        <v>fact</v>
      </c>
      <c r="N276" s="1" t="n">
        <f aca="false">IF(OR(M276="friction",M276="need",M276="workaround"),1,0)</f>
        <v>0</v>
      </c>
      <c r="O276" s="1" t="n">
        <f aca="false">IF(COUNTIFS($K$2:K276,K276,$L$2:L276,L276,$M$2:M276,M276,$J$2:J276,J276)=1,1,0)</f>
        <v>0</v>
      </c>
      <c r="P276" s="1" t="n">
        <f aca="false">IF(AND(N276=1,S276=1,COUNTIFS($L$2:L276,L276,$J$2:J276,J276,$N$2:N276,1,$S$2:S276,1)=1),1,0)</f>
        <v>0</v>
      </c>
      <c r="Q276" s="1" t="n">
        <f aca="false">IF(AND(N276=1,S276=1,COUNTIFS($L$2:L276,L276,$K$2:K276,K276,$N$2:N276,1,$S$2:S276,1)=1),1,0)</f>
        <v>0</v>
      </c>
      <c r="R276" s="1" t="n">
        <f aca="false">IF(AND(N276=1,COUNTIFS($K$2:K276,K276,$L$2:L276,L276,$J$2:J276,J276,$N$2:N276,1)=1),1,0)</f>
        <v>0</v>
      </c>
      <c r="S276" s="1" t="n">
        <f aca="false">IF(AND(K276&lt;&gt;"Context and provider model",K276&lt;&gt;"Motivation"),1,0)</f>
        <v>1</v>
      </c>
    </row>
    <row r="277" customFormat="false" ht="15" hidden="false" customHeight="true" outlineLevel="0" collapsed="false">
      <c r="J277" s="1" t="str">
        <f aca="false">'Raw Atomic Data (Pro)'!A277</f>
        <v>Becky</v>
      </c>
      <c r="K277" s="1" t="str">
        <f aca="false">'Raw Atomic Data (Pro)'!C277</f>
        <v>Evaluation and meet-and-greet</v>
      </c>
      <c r="L277" s="1" t="str">
        <f aca="false">'Raw Atomic Data (Pro)'!D277</f>
        <v>meet-and-greet-process</v>
      </c>
      <c r="M277" s="1" t="str">
        <f aca="false">'Raw Atomic Data (Pro)'!E277</f>
        <v>fact</v>
      </c>
      <c r="N277" s="1" t="n">
        <f aca="false">IF(OR(M277="friction",M277="need",M277="workaround"),1,0)</f>
        <v>0</v>
      </c>
      <c r="O277" s="1" t="n">
        <f aca="false">IF(COUNTIFS($K$2:K277,K277,$L$2:L277,L277,$M$2:M277,M277,$J$2:J277,J277)=1,1,0)</f>
        <v>0</v>
      </c>
      <c r="P277" s="1" t="n">
        <f aca="false">IF(AND(N277=1,S277=1,COUNTIFS($L$2:L277,L277,$J$2:J277,J277,$N$2:N277,1,$S$2:S277,1)=1),1,0)</f>
        <v>0</v>
      </c>
      <c r="Q277" s="1" t="n">
        <f aca="false">IF(AND(N277=1,S277=1,COUNTIFS($L$2:L277,L277,$K$2:K277,K277,$N$2:N277,1,$S$2:S277,1)=1),1,0)</f>
        <v>0</v>
      </c>
      <c r="R277" s="1" t="n">
        <f aca="false">IF(AND(N277=1,COUNTIFS($K$2:K277,K277,$L$2:L277,L277,$J$2:J277,J277,$N$2:N277,1)=1),1,0)</f>
        <v>0</v>
      </c>
      <c r="S277" s="1" t="n">
        <f aca="false">IF(AND(K277&lt;&gt;"Context and provider model",K277&lt;&gt;"Motivation"),1,0)</f>
        <v>1</v>
      </c>
    </row>
    <row r="278" customFormat="false" ht="15" hidden="false" customHeight="true" outlineLevel="0" collapsed="false">
      <c r="J278" s="1" t="str">
        <f aca="false">'Raw Atomic Data (Pro)'!A278</f>
        <v>Becky</v>
      </c>
      <c r="K278" s="1" t="str">
        <f aca="false">'Raw Atomic Data (Pro)'!C278</f>
        <v>Evaluation and meet-and-greet</v>
      </c>
      <c r="L278" s="1" t="str">
        <f aca="false">'Raw Atomic Data (Pro)'!D278</f>
        <v>meet-and-greet-process</v>
      </c>
      <c r="M278" s="1" t="str">
        <f aca="false">'Raw Atomic Data (Pro)'!E278</f>
        <v>fact</v>
      </c>
      <c r="N278" s="1" t="n">
        <f aca="false">IF(OR(M278="friction",M278="need",M278="workaround"),1,0)</f>
        <v>0</v>
      </c>
      <c r="O278" s="1" t="n">
        <f aca="false">IF(COUNTIFS($K$2:K278,K278,$L$2:L278,L278,$M$2:M278,M278,$J$2:J278,J278)=1,1,0)</f>
        <v>0</v>
      </c>
      <c r="P278" s="1" t="n">
        <f aca="false">IF(AND(N278=1,S278=1,COUNTIFS($L$2:L278,L278,$J$2:J278,J278,$N$2:N278,1,$S$2:S278,1)=1),1,0)</f>
        <v>0</v>
      </c>
      <c r="Q278" s="1" t="n">
        <f aca="false">IF(AND(N278=1,S278=1,COUNTIFS($L$2:L278,L278,$K$2:K278,K278,$N$2:N278,1,$S$2:S278,1)=1),1,0)</f>
        <v>0</v>
      </c>
      <c r="R278" s="1" t="n">
        <f aca="false">IF(AND(N278=1,COUNTIFS($K$2:K278,K278,$L$2:L278,L278,$J$2:J278,J278,$N$2:N278,1)=1),1,0)</f>
        <v>0</v>
      </c>
      <c r="S278" s="1" t="n">
        <f aca="false">IF(AND(K278&lt;&gt;"Context and provider model",K278&lt;&gt;"Motivation"),1,0)</f>
        <v>1</v>
      </c>
    </row>
    <row r="279" customFormat="false" ht="15" hidden="false" customHeight="true" outlineLevel="0" collapsed="false">
      <c r="J279" s="1" t="str">
        <f aca="false">'Raw Atomic Data (Pro)'!A279</f>
        <v>Becky</v>
      </c>
      <c r="K279" s="1" t="str">
        <f aca="false">'Raw Atomic Data (Pro)'!C279</f>
        <v>Evaluation and meet-and-greet</v>
      </c>
      <c r="L279" s="1" t="str">
        <f aca="false">'Raw Atomic Data (Pro)'!D279</f>
        <v>client-dog-screening-criteria</v>
      </c>
      <c r="M279" s="1" t="str">
        <f aca="false">'Raw Atomic Data (Pro)'!E279</f>
        <v>fact</v>
      </c>
      <c r="N279" s="1" t="n">
        <f aca="false">IF(OR(M279="friction",M279="need",M279="workaround"),1,0)</f>
        <v>0</v>
      </c>
      <c r="O279" s="1" t="n">
        <f aca="false">IF(COUNTIFS($K$2:K279,K279,$L$2:L279,L279,$M$2:M279,M279,$J$2:J279,J279)=1,1,0)</f>
        <v>1</v>
      </c>
      <c r="P279" s="1" t="n">
        <f aca="false">IF(AND(N279=1,S279=1,COUNTIFS($L$2:L279,L279,$J$2:J279,J279,$N$2:N279,1,$S$2:S279,1)=1),1,0)</f>
        <v>0</v>
      </c>
      <c r="Q279" s="1" t="n">
        <f aca="false">IF(AND(N279=1,S279=1,COUNTIFS($L$2:L279,L279,$K$2:K279,K279,$N$2:N279,1,$S$2:S279,1)=1),1,0)</f>
        <v>0</v>
      </c>
      <c r="R279" s="1" t="n">
        <f aca="false">IF(AND(N279=1,COUNTIFS($K$2:K279,K279,$L$2:L279,L279,$J$2:J279,J279,$N$2:N279,1)=1),1,0)</f>
        <v>0</v>
      </c>
      <c r="S279" s="1" t="n">
        <f aca="false">IF(AND(K279&lt;&gt;"Context and provider model",K279&lt;&gt;"Motivation"),1,0)</f>
        <v>1</v>
      </c>
    </row>
    <row r="280" customFormat="false" ht="15" hidden="false" customHeight="true" outlineLevel="0" collapsed="false">
      <c r="J280" s="1" t="str">
        <f aca="false">'Raw Atomic Data (Pro)'!A280</f>
        <v>Becky</v>
      </c>
      <c r="K280" s="1" t="str">
        <f aca="false">'Raw Atomic Data (Pro)'!C280</f>
        <v>Evaluation and meet-and-greet</v>
      </c>
      <c r="L280" s="1" t="str">
        <f aca="false">'Raw Atomic Data (Pro)'!D280</f>
        <v>meet-and-greet-process</v>
      </c>
      <c r="M280" s="1" t="str">
        <f aca="false">'Raw Atomic Data (Pro)'!E280</f>
        <v>fact</v>
      </c>
      <c r="N280" s="1" t="n">
        <f aca="false">IF(OR(M280="friction",M280="need",M280="workaround"),1,0)</f>
        <v>0</v>
      </c>
      <c r="O280" s="1" t="n">
        <f aca="false">IF(COUNTIFS($K$2:K280,K280,$L$2:L280,L280,$M$2:M280,M280,$J$2:J280,J280)=1,1,0)</f>
        <v>0</v>
      </c>
      <c r="P280" s="1" t="n">
        <f aca="false">IF(AND(N280=1,S280=1,COUNTIFS($L$2:L280,L280,$J$2:J280,J280,$N$2:N280,1,$S$2:S280,1)=1),1,0)</f>
        <v>0</v>
      </c>
      <c r="Q280" s="1" t="n">
        <f aca="false">IF(AND(N280=1,S280=1,COUNTIFS($L$2:L280,L280,$K$2:K280,K280,$N$2:N280,1,$S$2:S280,1)=1),1,0)</f>
        <v>0</v>
      </c>
      <c r="R280" s="1" t="n">
        <f aca="false">IF(AND(N280=1,COUNTIFS($K$2:K280,K280,$L$2:L280,L280,$J$2:J280,J280,$N$2:N280,1)=1),1,0)</f>
        <v>0</v>
      </c>
      <c r="S280" s="1" t="n">
        <f aca="false">IF(AND(K280&lt;&gt;"Context and provider model",K280&lt;&gt;"Motivation"),1,0)</f>
        <v>1</v>
      </c>
    </row>
    <row r="281" customFormat="false" ht="15" hidden="false" customHeight="true" outlineLevel="0" collapsed="false">
      <c r="J281" s="1" t="str">
        <f aca="false">'Raw Atomic Data (Pro)'!A281</f>
        <v>Becky</v>
      </c>
      <c r="K281" s="1" t="str">
        <f aca="false">'Raw Atomic Data (Pro)'!C281</f>
        <v>Evaluation and meet-and-greet</v>
      </c>
      <c r="L281" s="1" t="str">
        <f aca="false">'Raw Atomic Data (Pro)'!D281</f>
        <v>meet-and-greet-process</v>
      </c>
      <c r="M281" s="1" t="str">
        <f aca="false">'Raw Atomic Data (Pro)'!E281</f>
        <v>fact</v>
      </c>
      <c r="N281" s="1" t="n">
        <f aca="false">IF(OR(M281="friction",M281="need",M281="workaround"),1,0)</f>
        <v>0</v>
      </c>
      <c r="O281" s="1" t="n">
        <f aca="false">IF(COUNTIFS($K$2:K281,K281,$L$2:L281,L281,$M$2:M281,M281,$J$2:J281,J281)=1,1,0)</f>
        <v>0</v>
      </c>
      <c r="P281" s="1" t="n">
        <f aca="false">IF(AND(N281=1,S281=1,COUNTIFS($L$2:L281,L281,$J$2:J281,J281,$N$2:N281,1,$S$2:S281,1)=1),1,0)</f>
        <v>0</v>
      </c>
      <c r="Q281" s="1" t="n">
        <f aca="false">IF(AND(N281=1,S281=1,COUNTIFS($L$2:L281,L281,$K$2:K281,K281,$N$2:N281,1,$S$2:S281,1)=1),1,0)</f>
        <v>0</v>
      </c>
      <c r="R281" s="1" t="n">
        <f aca="false">IF(AND(N281=1,COUNTIFS($K$2:K281,K281,$L$2:L281,L281,$J$2:J281,J281,$N$2:N281,1)=1),1,0)</f>
        <v>0</v>
      </c>
      <c r="S281" s="1" t="n">
        <f aca="false">IF(AND(K281&lt;&gt;"Context and provider model",K281&lt;&gt;"Motivation"),1,0)</f>
        <v>1</v>
      </c>
    </row>
    <row r="282" customFormat="false" ht="15" hidden="false" customHeight="true" outlineLevel="0" collapsed="false">
      <c r="J282" s="1" t="str">
        <f aca="false">'Raw Atomic Data (Pro)'!A282</f>
        <v>Becky</v>
      </c>
      <c r="K282" s="1" t="str">
        <f aca="false">'Raw Atomic Data (Pro)'!C282</f>
        <v>Evaluation and meet-and-greet</v>
      </c>
      <c r="L282" s="1" t="str">
        <f aca="false">'Raw Atomic Data (Pro)'!D282</f>
        <v>meet-and-greet-process</v>
      </c>
      <c r="M282" s="1" t="str">
        <f aca="false">'Raw Atomic Data (Pro)'!E282</f>
        <v>fact</v>
      </c>
      <c r="N282" s="1" t="n">
        <f aca="false">IF(OR(M282="friction",M282="need",M282="workaround"),1,0)</f>
        <v>0</v>
      </c>
      <c r="O282" s="1" t="n">
        <f aca="false">IF(COUNTIFS($K$2:K282,K282,$L$2:L282,L282,$M$2:M282,M282,$J$2:J282,J282)=1,1,0)</f>
        <v>0</v>
      </c>
      <c r="P282" s="1" t="n">
        <f aca="false">IF(AND(N282=1,S282=1,COUNTIFS($L$2:L282,L282,$J$2:J282,J282,$N$2:N282,1,$S$2:S282,1)=1),1,0)</f>
        <v>0</v>
      </c>
      <c r="Q282" s="1" t="n">
        <f aca="false">IF(AND(N282=1,S282=1,COUNTIFS($L$2:L282,L282,$K$2:K282,K282,$N$2:N282,1,$S$2:S282,1)=1),1,0)</f>
        <v>0</v>
      </c>
      <c r="R282" s="1" t="n">
        <f aca="false">IF(AND(N282=1,COUNTIFS($K$2:K282,K282,$L$2:L282,L282,$J$2:J282,J282,$N$2:N282,1)=1),1,0)</f>
        <v>0</v>
      </c>
      <c r="S282" s="1" t="n">
        <f aca="false">IF(AND(K282&lt;&gt;"Context and provider model",K282&lt;&gt;"Motivation"),1,0)</f>
        <v>1</v>
      </c>
    </row>
    <row r="283" customFormat="false" ht="15" hidden="false" customHeight="true" outlineLevel="0" collapsed="false">
      <c r="J283" s="1" t="str">
        <f aca="false">'Raw Atomic Data (Pro)'!A283</f>
        <v>Becky</v>
      </c>
      <c r="K283" s="1" t="str">
        <f aca="false">'Raw Atomic Data (Pro)'!C283</f>
        <v>Evaluation and meet-and-greet</v>
      </c>
      <c r="L283" s="1" t="str">
        <f aca="false">'Raw Atomic Data (Pro)'!D283</f>
        <v>client-dog-screening-criteria</v>
      </c>
      <c r="M283" s="1" t="str">
        <f aca="false">'Raw Atomic Data (Pro)'!E283</f>
        <v>fact</v>
      </c>
      <c r="N283" s="1" t="n">
        <f aca="false">IF(OR(M283="friction",M283="need",M283="workaround"),1,0)</f>
        <v>0</v>
      </c>
      <c r="O283" s="1" t="n">
        <f aca="false">IF(COUNTIFS($K$2:K283,K283,$L$2:L283,L283,$M$2:M283,M283,$J$2:J283,J283)=1,1,0)</f>
        <v>0</v>
      </c>
      <c r="P283" s="1" t="n">
        <f aca="false">IF(AND(N283=1,S283=1,COUNTIFS($L$2:L283,L283,$J$2:J283,J283,$N$2:N283,1,$S$2:S283,1)=1),1,0)</f>
        <v>0</v>
      </c>
      <c r="Q283" s="1" t="n">
        <f aca="false">IF(AND(N283=1,S283=1,COUNTIFS($L$2:L283,L283,$K$2:K283,K283,$N$2:N283,1,$S$2:S283,1)=1),1,0)</f>
        <v>0</v>
      </c>
      <c r="R283" s="1" t="n">
        <f aca="false">IF(AND(N283=1,COUNTIFS($K$2:K283,K283,$L$2:L283,L283,$J$2:J283,J283,$N$2:N283,1)=1),1,0)</f>
        <v>0</v>
      </c>
      <c r="S283" s="1" t="n">
        <f aca="false">IF(AND(K283&lt;&gt;"Context and provider model",K283&lt;&gt;"Motivation"),1,0)</f>
        <v>1</v>
      </c>
    </row>
    <row r="284" customFormat="false" ht="15" hidden="false" customHeight="true" outlineLevel="0" collapsed="false">
      <c r="J284" s="1" t="str">
        <f aca="false">'Raw Atomic Data (Pro)'!A284</f>
        <v>Becky</v>
      </c>
      <c r="K284" s="1" t="str">
        <f aca="false">'Raw Atomic Data (Pro)'!C284</f>
        <v>Evaluation and meet-and-greet</v>
      </c>
      <c r="L284" s="1" t="str">
        <f aca="false">'Raw Atomic Data (Pro)'!D284</f>
        <v>meet-and-greet-process</v>
      </c>
      <c r="M284" s="1" t="str">
        <f aca="false">'Raw Atomic Data (Pro)'!E284</f>
        <v>fact</v>
      </c>
      <c r="N284" s="1" t="n">
        <f aca="false">IF(OR(M284="friction",M284="need",M284="workaround"),1,0)</f>
        <v>0</v>
      </c>
      <c r="O284" s="1" t="n">
        <f aca="false">IF(COUNTIFS($K$2:K284,K284,$L$2:L284,L284,$M$2:M284,M284,$J$2:J284,J284)=1,1,0)</f>
        <v>0</v>
      </c>
      <c r="P284" s="1" t="n">
        <f aca="false">IF(AND(N284=1,S284=1,COUNTIFS($L$2:L284,L284,$J$2:J284,J284,$N$2:N284,1,$S$2:S284,1)=1),1,0)</f>
        <v>0</v>
      </c>
      <c r="Q284" s="1" t="n">
        <f aca="false">IF(AND(N284=1,S284=1,COUNTIFS($L$2:L284,L284,$K$2:K284,K284,$N$2:N284,1,$S$2:S284,1)=1),1,0)</f>
        <v>0</v>
      </c>
      <c r="R284" s="1" t="n">
        <f aca="false">IF(AND(N284=1,COUNTIFS($K$2:K284,K284,$L$2:L284,L284,$J$2:J284,J284,$N$2:N284,1)=1),1,0)</f>
        <v>0</v>
      </c>
      <c r="S284" s="1" t="n">
        <f aca="false">IF(AND(K284&lt;&gt;"Context and provider model",K284&lt;&gt;"Motivation"),1,0)</f>
        <v>1</v>
      </c>
    </row>
    <row r="285" customFormat="false" ht="15" hidden="false" customHeight="true" outlineLevel="0" collapsed="false">
      <c r="J285" s="1" t="str">
        <f aca="false">'Raw Atomic Data (Pro)'!A285</f>
        <v>Becky</v>
      </c>
      <c r="K285" s="1" t="str">
        <f aca="false">'Raw Atomic Data (Pro)'!C285</f>
        <v>Evaluation and meet-and-greet</v>
      </c>
      <c r="L285" s="1" t="str">
        <f aca="false">'Raw Atomic Data (Pro)'!D285</f>
        <v>meet-and-greet-process</v>
      </c>
      <c r="M285" s="1" t="str">
        <f aca="false">'Raw Atomic Data (Pro)'!E285</f>
        <v>fact</v>
      </c>
      <c r="N285" s="1" t="n">
        <f aca="false">IF(OR(M285="friction",M285="need",M285="workaround"),1,0)</f>
        <v>0</v>
      </c>
      <c r="O285" s="1" t="n">
        <f aca="false">IF(COUNTIFS($K$2:K285,K285,$L$2:L285,L285,$M$2:M285,M285,$J$2:J285,J285)=1,1,0)</f>
        <v>0</v>
      </c>
      <c r="P285" s="1" t="n">
        <f aca="false">IF(AND(N285=1,S285=1,COUNTIFS($L$2:L285,L285,$J$2:J285,J285,$N$2:N285,1,$S$2:S285,1)=1),1,0)</f>
        <v>0</v>
      </c>
      <c r="Q285" s="1" t="n">
        <f aca="false">IF(AND(N285=1,S285=1,COUNTIFS($L$2:L285,L285,$K$2:K285,K285,$N$2:N285,1,$S$2:S285,1)=1),1,0)</f>
        <v>0</v>
      </c>
      <c r="R285" s="1" t="n">
        <f aca="false">IF(AND(N285=1,COUNTIFS($K$2:K285,K285,$L$2:L285,L285,$J$2:J285,J285,$N$2:N285,1)=1),1,0)</f>
        <v>0</v>
      </c>
      <c r="S285" s="1" t="n">
        <f aca="false">IF(AND(K285&lt;&gt;"Context and provider model",K285&lt;&gt;"Motivation"),1,0)</f>
        <v>1</v>
      </c>
    </row>
    <row r="286" customFormat="false" ht="15" hidden="false" customHeight="true" outlineLevel="0" collapsed="false">
      <c r="J286" s="1" t="str">
        <f aca="false">'Raw Atomic Data (Pro)'!A286</f>
        <v>Bruna</v>
      </c>
      <c r="K286" s="1" t="str">
        <f aca="false">'Raw Atomic Data (Pro)'!C286</f>
        <v>Evaluation and meet-and-greet</v>
      </c>
      <c r="L286" s="1" t="str">
        <f aca="false">'Raw Atomic Data (Pro)'!D286</f>
        <v>client-dog-screening-criteria</v>
      </c>
      <c r="M286" s="1" t="str">
        <f aca="false">'Raw Atomic Data (Pro)'!E286</f>
        <v>fact</v>
      </c>
      <c r="N286" s="1" t="n">
        <f aca="false">IF(OR(M286="friction",M286="need",M286="workaround"),1,0)</f>
        <v>0</v>
      </c>
      <c r="O286" s="1" t="n">
        <f aca="false">IF(COUNTIFS($K$2:K286,K286,$L$2:L286,L286,$M$2:M286,M286,$J$2:J286,J286)=1,1,0)</f>
        <v>1</v>
      </c>
      <c r="P286" s="1" t="n">
        <f aca="false">IF(AND(N286=1,S286=1,COUNTIFS($L$2:L286,L286,$J$2:J286,J286,$N$2:N286,1,$S$2:S286,1)=1),1,0)</f>
        <v>0</v>
      </c>
      <c r="Q286" s="1" t="n">
        <f aca="false">IF(AND(N286=1,S286=1,COUNTIFS($L$2:L286,L286,$K$2:K286,K286,$N$2:N286,1,$S$2:S286,1)=1),1,0)</f>
        <v>0</v>
      </c>
      <c r="R286" s="1" t="n">
        <f aca="false">IF(AND(N286=1,COUNTIFS($K$2:K286,K286,$L$2:L286,L286,$J$2:J286,J286,$N$2:N286,1)=1),1,0)</f>
        <v>0</v>
      </c>
      <c r="S286" s="1" t="n">
        <f aca="false">IF(AND(K286&lt;&gt;"Context and provider model",K286&lt;&gt;"Motivation"),1,0)</f>
        <v>1</v>
      </c>
    </row>
    <row r="287" customFormat="false" ht="15" hidden="false" customHeight="true" outlineLevel="0" collapsed="false">
      <c r="J287" s="1" t="str">
        <f aca="false">'Raw Atomic Data (Pro)'!A287</f>
        <v>Bruna</v>
      </c>
      <c r="K287" s="1" t="str">
        <f aca="false">'Raw Atomic Data (Pro)'!C287</f>
        <v>Evaluation and meet-and-greet</v>
      </c>
      <c r="L287" s="1" t="str">
        <f aca="false">'Raw Atomic Data (Pro)'!D287</f>
        <v>care-instructions-handoff</v>
      </c>
      <c r="M287" s="1" t="str">
        <f aca="false">'Raw Atomic Data (Pro)'!E287</f>
        <v>fact</v>
      </c>
      <c r="N287" s="1" t="n">
        <f aca="false">IF(OR(M287="friction",M287="need",M287="workaround"),1,0)</f>
        <v>0</v>
      </c>
      <c r="O287" s="1" t="n">
        <f aca="false">IF(COUNTIFS($K$2:K287,K287,$L$2:L287,L287,$M$2:M287,M287,$J$2:J287,J287)=1,1,0)</f>
        <v>1</v>
      </c>
      <c r="P287" s="1" t="n">
        <f aca="false">IF(AND(N287=1,S287=1,COUNTIFS($L$2:L287,L287,$J$2:J287,J287,$N$2:N287,1,$S$2:S287,1)=1),1,0)</f>
        <v>0</v>
      </c>
      <c r="Q287" s="1" t="n">
        <f aca="false">IF(AND(N287=1,S287=1,COUNTIFS($L$2:L287,L287,$K$2:K287,K287,$N$2:N287,1,$S$2:S287,1)=1),1,0)</f>
        <v>0</v>
      </c>
      <c r="R287" s="1" t="n">
        <f aca="false">IF(AND(N287=1,COUNTIFS($K$2:K287,K287,$L$2:L287,L287,$J$2:J287,J287,$N$2:N287,1)=1),1,0)</f>
        <v>0</v>
      </c>
      <c r="S287" s="1" t="n">
        <f aca="false">IF(AND(K287&lt;&gt;"Context and provider model",K287&lt;&gt;"Motivation"),1,0)</f>
        <v>1</v>
      </c>
    </row>
    <row r="288" customFormat="false" ht="15" hidden="false" customHeight="true" outlineLevel="0" collapsed="false">
      <c r="J288" s="1" t="str">
        <f aca="false">'Raw Atomic Data (Pro)'!A288</f>
        <v>Bruna</v>
      </c>
      <c r="K288" s="1" t="str">
        <f aca="false">'Raw Atomic Data (Pro)'!C288</f>
        <v>Evaluation and meet-and-greet</v>
      </c>
      <c r="L288" s="1" t="str">
        <f aca="false">'Raw Atomic Data (Pro)'!D288</f>
        <v>client-dog-screening-criteria</v>
      </c>
      <c r="M288" s="1" t="str">
        <f aca="false">'Raw Atomic Data (Pro)'!E288</f>
        <v>fact</v>
      </c>
      <c r="N288" s="1" t="n">
        <f aca="false">IF(OR(M288="friction",M288="need",M288="workaround"),1,0)</f>
        <v>0</v>
      </c>
      <c r="O288" s="1" t="n">
        <f aca="false">IF(COUNTIFS($K$2:K288,K288,$L$2:L288,L288,$M$2:M288,M288,$J$2:J288,J288)=1,1,0)</f>
        <v>0</v>
      </c>
      <c r="P288" s="1" t="n">
        <f aca="false">IF(AND(N288=1,S288=1,COUNTIFS($L$2:L288,L288,$J$2:J288,J288,$N$2:N288,1,$S$2:S288,1)=1),1,0)</f>
        <v>0</v>
      </c>
      <c r="Q288" s="1" t="n">
        <f aca="false">IF(AND(N288=1,S288=1,COUNTIFS($L$2:L288,L288,$K$2:K288,K288,$N$2:N288,1,$S$2:S288,1)=1),1,0)</f>
        <v>0</v>
      </c>
      <c r="R288" s="1" t="n">
        <f aca="false">IF(AND(N288=1,COUNTIFS($K$2:K288,K288,$L$2:L288,L288,$J$2:J288,J288,$N$2:N288,1)=1),1,0)</f>
        <v>0</v>
      </c>
      <c r="S288" s="1" t="n">
        <f aca="false">IF(AND(K288&lt;&gt;"Context and provider model",K288&lt;&gt;"Motivation"),1,0)</f>
        <v>1</v>
      </c>
    </row>
    <row r="289" customFormat="false" ht="15" hidden="false" customHeight="true" outlineLevel="0" collapsed="false">
      <c r="J289" s="1" t="str">
        <f aca="false">'Raw Atomic Data (Pro)'!A289</f>
        <v>Bruna</v>
      </c>
      <c r="K289" s="1" t="str">
        <f aca="false">'Raw Atomic Data (Pro)'!C289</f>
        <v>Evaluation and meet-and-greet</v>
      </c>
      <c r="L289" s="1" t="str">
        <f aca="false">'Raw Atomic Data (Pro)'!D289</f>
        <v>client-dog-screening-criteria</v>
      </c>
      <c r="M289" s="1" t="str">
        <f aca="false">'Raw Atomic Data (Pro)'!E289</f>
        <v>fact</v>
      </c>
      <c r="N289" s="1" t="n">
        <f aca="false">IF(OR(M289="friction",M289="need",M289="workaround"),1,0)</f>
        <v>0</v>
      </c>
      <c r="O289" s="1" t="n">
        <f aca="false">IF(COUNTIFS($K$2:K289,K289,$L$2:L289,L289,$M$2:M289,M289,$J$2:J289,J289)=1,1,0)</f>
        <v>0</v>
      </c>
      <c r="P289" s="1" t="n">
        <f aca="false">IF(AND(N289=1,S289=1,COUNTIFS($L$2:L289,L289,$J$2:J289,J289,$N$2:N289,1,$S$2:S289,1)=1),1,0)</f>
        <v>0</v>
      </c>
      <c r="Q289" s="1" t="n">
        <f aca="false">IF(AND(N289=1,S289=1,COUNTIFS($L$2:L289,L289,$K$2:K289,K289,$N$2:N289,1,$S$2:S289,1)=1),1,0)</f>
        <v>0</v>
      </c>
      <c r="R289" s="1" t="n">
        <f aca="false">IF(AND(N289=1,COUNTIFS($K$2:K289,K289,$L$2:L289,L289,$J$2:J289,J289,$N$2:N289,1)=1),1,0)</f>
        <v>0</v>
      </c>
      <c r="S289" s="1" t="n">
        <f aca="false">IF(AND(K289&lt;&gt;"Context and provider model",K289&lt;&gt;"Motivation"),1,0)</f>
        <v>1</v>
      </c>
    </row>
    <row r="290" customFormat="false" ht="15" hidden="false" customHeight="true" outlineLevel="0" collapsed="false">
      <c r="J290" s="1" t="str">
        <f aca="false">'Raw Atomic Data (Pro)'!A290</f>
        <v>Bruna</v>
      </c>
      <c r="K290" s="1" t="str">
        <f aca="false">'Raw Atomic Data (Pro)'!C290</f>
        <v>Evaluation and meet-and-greet</v>
      </c>
      <c r="L290" s="1" t="str">
        <f aca="false">'Raw Atomic Data (Pro)'!D290</f>
        <v>meet-and-greet-process</v>
      </c>
      <c r="M290" s="1" t="str">
        <f aca="false">'Raw Atomic Data (Pro)'!E290</f>
        <v>fact</v>
      </c>
      <c r="N290" s="1" t="n">
        <f aca="false">IF(OR(M290="friction",M290="need",M290="workaround"),1,0)</f>
        <v>0</v>
      </c>
      <c r="O290" s="1" t="n">
        <f aca="false">IF(COUNTIFS($K$2:K290,K290,$L$2:L290,L290,$M$2:M290,M290,$J$2:J290,J290)=1,1,0)</f>
        <v>1</v>
      </c>
      <c r="P290" s="1" t="n">
        <f aca="false">IF(AND(N290=1,S290=1,COUNTIFS($L$2:L290,L290,$J$2:J290,J290,$N$2:N290,1,$S$2:S290,1)=1),1,0)</f>
        <v>0</v>
      </c>
      <c r="Q290" s="1" t="n">
        <f aca="false">IF(AND(N290=1,S290=1,COUNTIFS($L$2:L290,L290,$K$2:K290,K290,$N$2:N290,1,$S$2:S290,1)=1),1,0)</f>
        <v>0</v>
      </c>
      <c r="R290" s="1" t="n">
        <f aca="false">IF(AND(N290=1,COUNTIFS($K$2:K290,K290,$L$2:L290,L290,$J$2:J290,J290,$N$2:N290,1)=1),1,0)</f>
        <v>0</v>
      </c>
      <c r="S290" s="1" t="n">
        <f aca="false">IF(AND(K290&lt;&gt;"Context and provider model",K290&lt;&gt;"Motivation"),1,0)</f>
        <v>1</v>
      </c>
    </row>
    <row r="291" customFormat="false" ht="15" hidden="false" customHeight="true" outlineLevel="0" collapsed="false">
      <c r="J291" s="1" t="str">
        <f aca="false">'Raw Atomic Data (Pro)'!A291</f>
        <v>Bruna</v>
      </c>
      <c r="K291" s="1" t="str">
        <f aca="false">'Raw Atomic Data (Pro)'!C291</f>
        <v>Evaluation and meet-and-greet</v>
      </c>
      <c r="L291" s="1" t="str">
        <f aca="false">'Raw Atomic Data (Pro)'!D291</f>
        <v>meet-and-greet-process</v>
      </c>
      <c r="M291" s="1" t="str">
        <f aca="false">'Raw Atomic Data (Pro)'!E291</f>
        <v>fact</v>
      </c>
      <c r="N291" s="1" t="n">
        <f aca="false">IF(OR(M291="friction",M291="need",M291="workaround"),1,0)</f>
        <v>0</v>
      </c>
      <c r="O291" s="1" t="n">
        <f aca="false">IF(COUNTIFS($K$2:K291,K291,$L$2:L291,L291,$M$2:M291,M291,$J$2:J291,J291)=1,1,0)</f>
        <v>0</v>
      </c>
      <c r="P291" s="1" t="n">
        <f aca="false">IF(AND(N291=1,S291=1,COUNTIFS($L$2:L291,L291,$J$2:J291,J291,$N$2:N291,1,$S$2:S291,1)=1),1,0)</f>
        <v>0</v>
      </c>
      <c r="Q291" s="1" t="n">
        <f aca="false">IF(AND(N291=1,S291=1,COUNTIFS($L$2:L291,L291,$K$2:K291,K291,$N$2:N291,1,$S$2:S291,1)=1),1,0)</f>
        <v>0</v>
      </c>
      <c r="R291" s="1" t="n">
        <f aca="false">IF(AND(N291=1,COUNTIFS($K$2:K291,K291,$L$2:L291,L291,$J$2:J291,J291,$N$2:N291,1)=1),1,0)</f>
        <v>0</v>
      </c>
      <c r="S291" s="1" t="n">
        <f aca="false">IF(AND(K291&lt;&gt;"Context and provider model",K291&lt;&gt;"Motivation"),1,0)</f>
        <v>1</v>
      </c>
    </row>
    <row r="292" customFormat="false" ht="15" hidden="false" customHeight="true" outlineLevel="0" collapsed="false">
      <c r="J292" s="1" t="str">
        <f aca="false">'Raw Atomic Data (Pro)'!A292</f>
        <v>Colin</v>
      </c>
      <c r="K292" s="1" t="str">
        <f aca="false">'Raw Atomic Data (Pro)'!C292</f>
        <v>Evaluation and meet-and-greet</v>
      </c>
      <c r="L292" s="1" t="str">
        <f aca="false">'Raw Atomic Data (Pro)'!D292</f>
        <v>booking-confirmation-mechanics</v>
      </c>
      <c r="M292" s="1" t="str">
        <f aca="false">'Raw Atomic Data (Pro)'!E292</f>
        <v>fact</v>
      </c>
      <c r="N292" s="1" t="n">
        <f aca="false">IF(OR(M292="friction",M292="need",M292="workaround"),1,0)</f>
        <v>0</v>
      </c>
      <c r="O292" s="1" t="n">
        <f aca="false">IF(COUNTIFS($K$2:K292,K292,$L$2:L292,L292,$M$2:M292,M292,$J$2:J292,J292)=1,1,0)</f>
        <v>1</v>
      </c>
      <c r="P292" s="1" t="n">
        <f aca="false">IF(AND(N292=1,S292=1,COUNTIFS($L$2:L292,L292,$J$2:J292,J292,$N$2:N292,1,$S$2:S292,1)=1),1,0)</f>
        <v>0</v>
      </c>
      <c r="Q292" s="1" t="n">
        <f aca="false">IF(AND(N292=1,S292=1,COUNTIFS($L$2:L292,L292,$K$2:K292,K292,$N$2:N292,1,$S$2:S292,1)=1),1,0)</f>
        <v>0</v>
      </c>
      <c r="R292" s="1" t="n">
        <f aca="false">IF(AND(N292=1,COUNTIFS($K$2:K292,K292,$L$2:L292,L292,$J$2:J292,J292,$N$2:N292,1)=1),1,0)</f>
        <v>0</v>
      </c>
      <c r="S292" s="1" t="n">
        <f aca="false">IF(AND(K292&lt;&gt;"Context and provider model",K292&lt;&gt;"Motivation"),1,0)</f>
        <v>1</v>
      </c>
    </row>
    <row r="293" customFormat="false" ht="15" hidden="false" customHeight="true" outlineLevel="0" collapsed="false">
      <c r="J293" s="1" t="str">
        <f aca="false">'Raw Atomic Data (Pro)'!A293</f>
        <v>Colin</v>
      </c>
      <c r="K293" s="1" t="str">
        <f aca="false">'Raw Atomic Data (Pro)'!C293</f>
        <v>Evaluation and meet-and-greet</v>
      </c>
      <c r="L293" s="1" t="str">
        <f aca="false">'Raw Atomic Data (Pro)'!D293</f>
        <v>meet-and-greet-process</v>
      </c>
      <c r="M293" s="1" t="str">
        <f aca="false">'Raw Atomic Data (Pro)'!E293</f>
        <v>fact</v>
      </c>
      <c r="N293" s="1" t="n">
        <f aca="false">IF(OR(M293="friction",M293="need",M293="workaround"),1,0)</f>
        <v>0</v>
      </c>
      <c r="O293" s="1" t="n">
        <f aca="false">IF(COUNTIFS($K$2:K293,K293,$L$2:L293,L293,$M$2:M293,M293,$J$2:J293,J293)=1,1,0)</f>
        <v>1</v>
      </c>
      <c r="P293" s="1" t="n">
        <f aca="false">IF(AND(N293=1,S293=1,COUNTIFS($L$2:L293,L293,$J$2:J293,J293,$N$2:N293,1,$S$2:S293,1)=1),1,0)</f>
        <v>0</v>
      </c>
      <c r="Q293" s="1" t="n">
        <f aca="false">IF(AND(N293=1,S293=1,COUNTIFS($L$2:L293,L293,$K$2:K293,K293,$N$2:N293,1,$S$2:S293,1)=1),1,0)</f>
        <v>0</v>
      </c>
      <c r="R293" s="1" t="n">
        <f aca="false">IF(AND(N293=1,COUNTIFS($K$2:K293,K293,$L$2:L293,L293,$J$2:J293,J293,$N$2:N293,1)=1),1,0)</f>
        <v>0</v>
      </c>
      <c r="S293" s="1" t="n">
        <f aca="false">IF(AND(K293&lt;&gt;"Context and provider model",K293&lt;&gt;"Motivation"),1,0)</f>
        <v>1</v>
      </c>
    </row>
    <row r="294" customFormat="false" ht="15" hidden="false" customHeight="true" outlineLevel="0" collapsed="false">
      <c r="J294" s="1" t="str">
        <f aca="false">'Raw Atomic Data (Pro)'!A294</f>
        <v>Colin</v>
      </c>
      <c r="K294" s="1" t="str">
        <f aca="false">'Raw Atomic Data (Pro)'!C294</f>
        <v>Evaluation and meet-and-greet</v>
      </c>
      <c r="L294" s="1" t="str">
        <f aca="false">'Raw Atomic Data (Pro)'!D294</f>
        <v>meet-and-greet-process</v>
      </c>
      <c r="M294" s="1" t="str">
        <f aca="false">'Raw Atomic Data (Pro)'!E294</f>
        <v>value-statement</v>
      </c>
      <c r="N294" s="1" t="n">
        <f aca="false">IF(OR(M294="friction",M294="need",M294="workaround"),1,0)</f>
        <v>0</v>
      </c>
      <c r="O294" s="1" t="n">
        <f aca="false">IF(COUNTIFS($K$2:K294,K294,$L$2:L294,L294,$M$2:M294,M294,$J$2:J294,J294)=1,1,0)</f>
        <v>1</v>
      </c>
      <c r="P294" s="1" t="n">
        <f aca="false">IF(AND(N294=1,S294=1,COUNTIFS($L$2:L294,L294,$J$2:J294,J294,$N$2:N294,1,$S$2:S294,1)=1),1,0)</f>
        <v>0</v>
      </c>
      <c r="Q294" s="1" t="n">
        <f aca="false">IF(AND(N294=1,S294=1,COUNTIFS($L$2:L294,L294,$K$2:K294,K294,$N$2:N294,1,$S$2:S294,1)=1),1,0)</f>
        <v>0</v>
      </c>
      <c r="R294" s="1" t="n">
        <f aca="false">IF(AND(N294=1,COUNTIFS($K$2:K294,K294,$L$2:L294,L294,$J$2:J294,J294,$N$2:N294,1)=1),1,0)</f>
        <v>0</v>
      </c>
      <c r="S294" s="1" t="n">
        <f aca="false">IF(AND(K294&lt;&gt;"Context and provider model",K294&lt;&gt;"Motivation"),1,0)</f>
        <v>1</v>
      </c>
    </row>
    <row r="295" customFormat="false" ht="15" hidden="false" customHeight="true" outlineLevel="0" collapsed="false">
      <c r="J295" s="1" t="str">
        <f aca="false">'Raw Atomic Data (Pro)'!A295</f>
        <v>Colin</v>
      </c>
      <c r="K295" s="1" t="str">
        <f aca="false">'Raw Atomic Data (Pro)'!C295</f>
        <v>Evaluation and meet-and-greet</v>
      </c>
      <c r="L295" s="1" t="str">
        <f aca="false">'Raw Atomic Data (Pro)'!D295</f>
        <v>meet-and-greet-process</v>
      </c>
      <c r="M295" s="1" t="str">
        <f aca="false">'Raw Atomic Data (Pro)'!E295</f>
        <v>fact</v>
      </c>
      <c r="N295" s="1" t="n">
        <f aca="false">IF(OR(M295="friction",M295="need",M295="workaround"),1,0)</f>
        <v>0</v>
      </c>
      <c r="O295" s="1" t="n">
        <f aca="false">IF(COUNTIFS($K$2:K295,K295,$L$2:L295,L295,$M$2:M295,M295,$J$2:J295,J295)=1,1,0)</f>
        <v>0</v>
      </c>
      <c r="P295" s="1" t="n">
        <f aca="false">IF(AND(N295=1,S295=1,COUNTIFS($L$2:L295,L295,$J$2:J295,J295,$N$2:N295,1,$S$2:S295,1)=1),1,0)</f>
        <v>0</v>
      </c>
      <c r="Q295" s="1" t="n">
        <f aca="false">IF(AND(N295=1,S295=1,COUNTIFS($L$2:L295,L295,$K$2:K295,K295,$N$2:N295,1,$S$2:S295,1)=1),1,0)</f>
        <v>0</v>
      </c>
      <c r="R295" s="1" t="n">
        <f aca="false">IF(AND(N295=1,COUNTIFS($K$2:K295,K295,$L$2:L295,L295,$J$2:J295,J295,$N$2:N295,1)=1),1,0)</f>
        <v>0</v>
      </c>
      <c r="S295" s="1" t="n">
        <f aca="false">IF(AND(K295&lt;&gt;"Context and provider model",K295&lt;&gt;"Motivation"),1,0)</f>
        <v>1</v>
      </c>
    </row>
    <row r="296" customFormat="false" ht="15" hidden="false" customHeight="true" outlineLevel="0" collapsed="false">
      <c r="J296" s="1" t="str">
        <f aca="false">'Raw Atomic Data (Pro)'!A296</f>
        <v>Colin</v>
      </c>
      <c r="K296" s="1" t="str">
        <f aca="false">'Raw Atomic Data (Pro)'!C296</f>
        <v>Evaluation and meet-and-greet</v>
      </c>
      <c r="L296" s="1" t="str">
        <f aca="false">'Raw Atomic Data (Pro)'!D296</f>
        <v>meet-and-greet-process</v>
      </c>
      <c r="M296" s="1" t="str">
        <f aca="false">'Raw Atomic Data (Pro)'!E296</f>
        <v>fact</v>
      </c>
      <c r="N296" s="1" t="n">
        <f aca="false">IF(OR(M296="friction",M296="need",M296="workaround"),1,0)</f>
        <v>0</v>
      </c>
      <c r="O296" s="1" t="n">
        <f aca="false">IF(COUNTIFS($K$2:K296,K296,$L$2:L296,L296,$M$2:M296,M296,$J$2:J296,J296)=1,1,0)</f>
        <v>0</v>
      </c>
      <c r="P296" s="1" t="n">
        <f aca="false">IF(AND(N296=1,S296=1,COUNTIFS($L$2:L296,L296,$J$2:J296,J296,$N$2:N296,1,$S$2:S296,1)=1),1,0)</f>
        <v>0</v>
      </c>
      <c r="Q296" s="1" t="n">
        <f aca="false">IF(AND(N296=1,S296=1,COUNTIFS($L$2:L296,L296,$K$2:K296,K296,$N$2:N296,1,$S$2:S296,1)=1),1,0)</f>
        <v>0</v>
      </c>
      <c r="R296" s="1" t="n">
        <f aca="false">IF(AND(N296=1,COUNTIFS($K$2:K296,K296,$L$2:L296,L296,$J$2:J296,J296,$N$2:N296,1)=1),1,0)</f>
        <v>0</v>
      </c>
      <c r="S296" s="1" t="n">
        <f aca="false">IF(AND(K296&lt;&gt;"Context and provider model",K296&lt;&gt;"Motivation"),1,0)</f>
        <v>1</v>
      </c>
    </row>
    <row r="297" customFormat="false" ht="15" hidden="false" customHeight="true" outlineLevel="0" collapsed="false">
      <c r="J297" s="1" t="str">
        <f aca="false">'Raw Atomic Data (Pro)'!A297</f>
        <v>Colin</v>
      </c>
      <c r="K297" s="1" t="str">
        <f aca="false">'Raw Atomic Data (Pro)'!C297</f>
        <v>Evaluation and meet-and-greet</v>
      </c>
      <c r="L297" s="1" t="str">
        <f aca="false">'Raw Atomic Data (Pro)'!D297</f>
        <v>client-dog-screening-criteria</v>
      </c>
      <c r="M297" s="1" t="str">
        <f aca="false">'Raw Atomic Data (Pro)'!E297</f>
        <v>fact</v>
      </c>
      <c r="N297" s="1" t="n">
        <f aca="false">IF(OR(M297="friction",M297="need",M297="workaround"),1,0)</f>
        <v>0</v>
      </c>
      <c r="O297" s="1" t="n">
        <f aca="false">IF(COUNTIFS($K$2:K297,K297,$L$2:L297,L297,$M$2:M297,M297,$J$2:J297,J297)=1,1,0)</f>
        <v>1</v>
      </c>
      <c r="P297" s="1" t="n">
        <f aca="false">IF(AND(N297=1,S297=1,COUNTIFS($L$2:L297,L297,$J$2:J297,J297,$N$2:N297,1,$S$2:S297,1)=1),1,0)</f>
        <v>0</v>
      </c>
      <c r="Q297" s="1" t="n">
        <f aca="false">IF(AND(N297=1,S297=1,COUNTIFS($L$2:L297,L297,$K$2:K297,K297,$N$2:N297,1,$S$2:S297,1)=1),1,0)</f>
        <v>0</v>
      </c>
      <c r="R297" s="1" t="n">
        <f aca="false">IF(AND(N297=1,COUNTIFS($K$2:K297,K297,$L$2:L297,L297,$J$2:J297,J297,$N$2:N297,1)=1),1,0)</f>
        <v>0</v>
      </c>
      <c r="S297" s="1" t="n">
        <f aca="false">IF(AND(K297&lt;&gt;"Context and provider model",K297&lt;&gt;"Motivation"),1,0)</f>
        <v>1</v>
      </c>
    </row>
    <row r="298" customFormat="false" ht="15" hidden="false" customHeight="true" outlineLevel="0" collapsed="false">
      <c r="J298" s="1" t="str">
        <f aca="false">'Raw Atomic Data (Pro)'!A298</f>
        <v>Dawn</v>
      </c>
      <c r="K298" s="1" t="str">
        <f aca="false">'Raw Atomic Data (Pro)'!C298</f>
        <v>Evaluation and meet-and-greet</v>
      </c>
      <c r="L298" s="1" t="str">
        <f aca="false">'Raw Atomic Data (Pro)'!D298</f>
        <v>meet-and-greet-process</v>
      </c>
      <c r="M298" s="1" t="str">
        <f aca="false">'Raw Atomic Data (Pro)'!E298</f>
        <v>fact</v>
      </c>
      <c r="N298" s="1" t="n">
        <f aca="false">IF(OR(M298="friction",M298="need",M298="workaround"),1,0)</f>
        <v>0</v>
      </c>
      <c r="O298" s="1" t="n">
        <f aca="false">IF(COUNTIFS($K$2:K298,K298,$L$2:L298,L298,$M$2:M298,M298,$J$2:J298,J298)=1,1,0)</f>
        <v>1</v>
      </c>
      <c r="P298" s="1" t="n">
        <f aca="false">IF(AND(N298=1,S298=1,COUNTIFS($L$2:L298,L298,$J$2:J298,J298,$N$2:N298,1,$S$2:S298,1)=1),1,0)</f>
        <v>0</v>
      </c>
      <c r="Q298" s="1" t="n">
        <f aca="false">IF(AND(N298=1,S298=1,COUNTIFS($L$2:L298,L298,$K$2:K298,K298,$N$2:N298,1,$S$2:S298,1)=1),1,0)</f>
        <v>0</v>
      </c>
      <c r="R298" s="1" t="n">
        <f aca="false">IF(AND(N298=1,COUNTIFS($K$2:K298,K298,$L$2:L298,L298,$J$2:J298,J298,$N$2:N298,1)=1),1,0)</f>
        <v>0</v>
      </c>
      <c r="S298" s="1" t="n">
        <f aca="false">IF(AND(K298&lt;&gt;"Context and provider model",K298&lt;&gt;"Motivation"),1,0)</f>
        <v>1</v>
      </c>
    </row>
    <row r="299" customFormat="false" ht="15" hidden="false" customHeight="true" outlineLevel="0" collapsed="false">
      <c r="J299" s="1" t="str">
        <f aca="false">'Raw Atomic Data (Pro)'!A299</f>
        <v>Dawn</v>
      </c>
      <c r="K299" s="1" t="str">
        <f aca="false">'Raw Atomic Data (Pro)'!C299</f>
        <v>Evaluation and meet-and-greet</v>
      </c>
      <c r="L299" s="1" t="str">
        <f aca="false">'Raw Atomic Data (Pro)'!D299</f>
        <v>care-instructions-handoff</v>
      </c>
      <c r="M299" s="1" t="str">
        <f aca="false">'Raw Atomic Data (Pro)'!E299</f>
        <v>fact</v>
      </c>
      <c r="N299" s="1" t="n">
        <f aca="false">IF(OR(M299="friction",M299="need",M299="workaround"),1,0)</f>
        <v>0</v>
      </c>
      <c r="O299" s="1" t="n">
        <f aca="false">IF(COUNTIFS($K$2:K299,K299,$L$2:L299,L299,$M$2:M299,M299,$J$2:J299,J299)=1,1,0)</f>
        <v>1</v>
      </c>
      <c r="P299" s="1" t="n">
        <f aca="false">IF(AND(N299=1,S299=1,COUNTIFS($L$2:L299,L299,$J$2:J299,J299,$N$2:N299,1,$S$2:S299,1)=1),1,0)</f>
        <v>0</v>
      </c>
      <c r="Q299" s="1" t="n">
        <f aca="false">IF(AND(N299=1,S299=1,COUNTIFS($L$2:L299,L299,$K$2:K299,K299,$N$2:N299,1,$S$2:S299,1)=1),1,0)</f>
        <v>0</v>
      </c>
      <c r="R299" s="1" t="n">
        <f aca="false">IF(AND(N299=1,COUNTIFS($K$2:K299,K299,$L$2:L299,L299,$J$2:J299,J299,$N$2:N299,1)=1),1,0)</f>
        <v>0</v>
      </c>
      <c r="S299" s="1" t="n">
        <f aca="false">IF(AND(K299&lt;&gt;"Context and provider model",K299&lt;&gt;"Motivation"),1,0)</f>
        <v>1</v>
      </c>
    </row>
    <row r="300" customFormat="false" ht="15" hidden="false" customHeight="true" outlineLevel="0" collapsed="false">
      <c r="J300" s="1" t="str">
        <f aca="false">'Raw Atomic Data (Pro)'!A300</f>
        <v>Dawn</v>
      </c>
      <c r="K300" s="1" t="str">
        <f aca="false">'Raw Atomic Data (Pro)'!C300</f>
        <v>Evaluation and meet-and-greet</v>
      </c>
      <c r="L300" s="1" t="str">
        <f aca="false">'Raw Atomic Data (Pro)'!D300</f>
        <v>meet-and-greet-process</v>
      </c>
      <c r="M300" s="1" t="str">
        <f aca="false">'Raw Atomic Data (Pro)'!E300</f>
        <v>fact</v>
      </c>
      <c r="N300" s="1" t="n">
        <f aca="false">IF(OR(M300="friction",M300="need",M300="workaround"),1,0)</f>
        <v>0</v>
      </c>
      <c r="O300" s="1" t="n">
        <f aca="false">IF(COUNTIFS($K$2:K300,K300,$L$2:L300,L300,$M$2:M300,M300,$J$2:J300,J300)=1,1,0)</f>
        <v>0</v>
      </c>
      <c r="P300" s="1" t="n">
        <f aca="false">IF(AND(N300=1,S300=1,COUNTIFS($L$2:L300,L300,$J$2:J300,J300,$N$2:N300,1,$S$2:S300,1)=1),1,0)</f>
        <v>0</v>
      </c>
      <c r="Q300" s="1" t="n">
        <f aca="false">IF(AND(N300=1,S300=1,COUNTIFS($L$2:L300,L300,$K$2:K300,K300,$N$2:N300,1,$S$2:S300,1)=1),1,0)</f>
        <v>0</v>
      </c>
      <c r="R300" s="1" t="n">
        <f aca="false">IF(AND(N300=1,COUNTIFS($K$2:K300,K300,$L$2:L300,L300,$J$2:J300,J300,$N$2:N300,1)=1),1,0)</f>
        <v>0</v>
      </c>
      <c r="S300" s="1" t="n">
        <f aca="false">IF(AND(K300&lt;&gt;"Context and provider model",K300&lt;&gt;"Motivation"),1,0)</f>
        <v>1</v>
      </c>
    </row>
    <row r="301" customFormat="false" ht="15" hidden="false" customHeight="true" outlineLevel="0" collapsed="false">
      <c r="J301" s="1" t="str">
        <f aca="false">'Raw Atomic Data (Pro)'!A301</f>
        <v>Erika</v>
      </c>
      <c r="K301" s="1" t="str">
        <f aca="false">'Raw Atomic Data (Pro)'!C301</f>
        <v>Evaluation and meet-and-greet</v>
      </c>
      <c r="L301" s="1" t="str">
        <f aca="false">'Raw Atomic Data (Pro)'!D301</f>
        <v>client-dog-screening-criteria</v>
      </c>
      <c r="M301" s="1" t="str">
        <f aca="false">'Raw Atomic Data (Pro)'!E301</f>
        <v>fact</v>
      </c>
      <c r="N301" s="1" t="n">
        <f aca="false">IF(OR(M301="friction",M301="need",M301="workaround"),1,0)</f>
        <v>0</v>
      </c>
      <c r="O301" s="1" t="n">
        <f aca="false">IF(COUNTIFS($K$2:K301,K301,$L$2:L301,L301,$M$2:M301,M301,$J$2:J301,J301)=1,1,0)</f>
        <v>1</v>
      </c>
      <c r="P301" s="1" t="n">
        <f aca="false">IF(AND(N301=1,S301=1,COUNTIFS($L$2:L301,L301,$J$2:J301,J301,$N$2:N301,1,$S$2:S301,1)=1),1,0)</f>
        <v>0</v>
      </c>
      <c r="Q301" s="1" t="n">
        <f aca="false">IF(AND(N301=1,S301=1,COUNTIFS($L$2:L301,L301,$K$2:K301,K301,$N$2:N301,1,$S$2:S301,1)=1),1,0)</f>
        <v>0</v>
      </c>
      <c r="R301" s="1" t="n">
        <f aca="false">IF(AND(N301=1,COUNTIFS($K$2:K301,K301,$L$2:L301,L301,$J$2:J301,J301,$N$2:N301,1)=1),1,0)</f>
        <v>0</v>
      </c>
      <c r="S301" s="1" t="n">
        <f aca="false">IF(AND(K301&lt;&gt;"Context and provider model",K301&lt;&gt;"Motivation"),1,0)</f>
        <v>1</v>
      </c>
    </row>
    <row r="302" customFormat="false" ht="15" hidden="false" customHeight="true" outlineLevel="0" collapsed="false">
      <c r="J302" s="1" t="str">
        <f aca="false">'Raw Atomic Data (Pro)'!A302</f>
        <v>Erika</v>
      </c>
      <c r="K302" s="1" t="str">
        <f aca="false">'Raw Atomic Data (Pro)'!C302</f>
        <v>Evaluation and meet-and-greet</v>
      </c>
      <c r="L302" s="1" t="str">
        <f aca="false">'Raw Atomic Data (Pro)'!D302</f>
        <v>client-dog-screening-criteria</v>
      </c>
      <c r="M302" s="1" t="str">
        <f aca="false">'Raw Atomic Data (Pro)'!E302</f>
        <v>fact</v>
      </c>
      <c r="N302" s="1" t="n">
        <f aca="false">IF(OR(M302="friction",M302="need",M302="workaround"),1,0)</f>
        <v>0</v>
      </c>
      <c r="O302" s="1" t="n">
        <f aca="false">IF(COUNTIFS($K$2:K302,K302,$L$2:L302,L302,$M$2:M302,M302,$J$2:J302,J302)=1,1,0)</f>
        <v>0</v>
      </c>
      <c r="P302" s="1" t="n">
        <f aca="false">IF(AND(N302=1,S302=1,COUNTIFS($L$2:L302,L302,$J$2:J302,J302,$N$2:N302,1,$S$2:S302,1)=1),1,0)</f>
        <v>0</v>
      </c>
      <c r="Q302" s="1" t="n">
        <f aca="false">IF(AND(N302=1,S302=1,COUNTIFS($L$2:L302,L302,$K$2:K302,K302,$N$2:N302,1,$S$2:S302,1)=1),1,0)</f>
        <v>0</v>
      </c>
      <c r="R302" s="1" t="n">
        <f aca="false">IF(AND(N302=1,COUNTIFS($K$2:K302,K302,$L$2:L302,L302,$J$2:J302,J302,$N$2:N302,1)=1),1,0)</f>
        <v>0</v>
      </c>
      <c r="S302" s="1" t="n">
        <f aca="false">IF(AND(K302&lt;&gt;"Context and provider model",K302&lt;&gt;"Motivation"),1,0)</f>
        <v>1</v>
      </c>
    </row>
    <row r="303" customFormat="false" ht="15" hidden="false" customHeight="true" outlineLevel="0" collapsed="false">
      <c r="J303" s="1" t="str">
        <f aca="false">'Raw Atomic Data (Pro)'!A303</f>
        <v>Erika</v>
      </c>
      <c r="K303" s="1" t="str">
        <f aca="false">'Raw Atomic Data (Pro)'!C303</f>
        <v>Evaluation and meet-and-greet</v>
      </c>
      <c r="L303" s="1" t="str">
        <f aca="false">'Raw Atomic Data (Pro)'!D303</f>
        <v>client-dog-screening-criteria</v>
      </c>
      <c r="M303" s="1" t="str">
        <f aca="false">'Raw Atomic Data (Pro)'!E303</f>
        <v>fact</v>
      </c>
      <c r="N303" s="1" t="n">
        <f aca="false">IF(OR(M303="friction",M303="need",M303="workaround"),1,0)</f>
        <v>0</v>
      </c>
      <c r="O303" s="1" t="n">
        <f aca="false">IF(COUNTIFS($K$2:K303,K303,$L$2:L303,L303,$M$2:M303,M303,$J$2:J303,J303)=1,1,0)</f>
        <v>0</v>
      </c>
      <c r="P303" s="1" t="n">
        <f aca="false">IF(AND(N303=1,S303=1,COUNTIFS($L$2:L303,L303,$J$2:J303,J303,$N$2:N303,1,$S$2:S303,1)=1),1,0)</f>
        <v>0</v>
      </c>
      <c r="Q303" s="1" t="n">
        <f aca="false">IF(AND(N303=1,S303=1,COUNTIFS($L$2:L303,L303,$K$2:K303,K303,$N$2:N303,1,$S$2:S303,1)=1),1,0)</f>
        <v>0</v>
      </c>
      <c r="R303" s="1" t="n">
        <f aca="false">IF(AND(N303=1,COUNTIFS($K$2:K303,K303,$L$2:L303,L303,$J$2:J303,J303,$N$2:N303,1)=1),1,0)</f>
        <v>0</v>
      </c>
      <c r="S303" s="1" t="n">
        <f aca="false">IF(AND(K303&lt;&gt;"Context and provider model",K303&lt;&gt;"Motivation"),1,0)</f>
        <v>1</v>
      </c>
    </row>
    <row r="304" customFormat="false" ht="15" hidden="false" customHeight="true" outlineLevel="0" collapsed="false">
      <c r="J304" s="1" t="str">
        <f aca="false">'Raw Atomic Data (Pro)'!A304</f>
        <v>Erika</v>
      </c>
      <c r="K304" s="1" t="str">
        <f aca="false">'Raw Atomic Data (Pro)'!C304</f>
        <v>Evaluation and meet-and-greet</v>
      </c>
      <c r="L304" s="1" t="str">
        <f aca="false">'Raw Atomic Data (Pro)'!D304</f>
        <v>client-dog-screening-criteria</v>
      </c>
      <c r="M304" s="1" t="str">
        <f aca="false">'Raw Atomic Data (Pro)'!E304</f>
        <v>fact</v>
      </c>
      <c r="N304" s="1" t="n">
        <f aca="false">IF(OR(M304="friction",M304="need",M304="workaround"),1,0)</f>
        <v>0</v>
      </c>
      <c r="O304" s="1" t="n">
        <f aca="false">IF(COUNTIFS($K$2:K304,K304,$L$2:L304,L304,$M$2:M304,M304,$J$2:J304,J304)=1,1,0)</f>
        <v>0</v>
      </c>
      <c r="P304" s="1" t="n">
        <f aca="false">IF(AND(N304=1,S304=1,COUNTIFS($L$2:L304,L304,$J$2:J304,J304,$N$2:N304,1,$S$2:S304,1)=1),1,0)</f>
        <v>0</v>
      </c>
      <c r="Q304" s="1" t="n">
        <f aca="false">IF(AND(N304=1,S304=1,COUNTIFS($L$2:L304,L304,$K$2:K304,K304,$N$2:N304,1,$S$2:S304,1)=1),1,0)</f>
        <v>0</v>
      </c>
      <c r="R304" s="1" t="n">
        <f aca="false">IF(AND(N304=1,COUNTIFS($K$2:K304,K304,$L$2:L304,L304,$J$2:J304,J304,$N$2:N304,1)=1),1,0)</f>
        <v>0</v>
      </c>
      <c r="S304" s="1" t="n">
        <f aca="false">IF(AND(K304&lt;&gt;"Context and provider model",K304&lt;&gt;"Motivation"),1,0)</f>
        <v>1</v>
      </c>
    </row>
    <row r="305" customFormat="false" ht="15" hidden="false" customHeight="true" outlineLevel="0" collapsed="false">
      <c r="J305" s="1" t="str">
        <f aca="false">'Raw Atomic Data (Pro)'!A305</f>
        <v>Erika</v>
      </c>
      <c r="K305" s="1" t="str">
        <f aca="false">'Raw Atomic Data (Pro)'!C305</f>
        <v>Evaluation and meet-and-greet</v>
      </c>
      <c r="L305" s="1" t="str">
        <f aca="false">'Raw Atomic Data (Pro)'!D305</f>
        <v>client-dog-screening-criteria</v>
      </c>
      <c r="M305" s="1" t="str">
        <f aca="false">'Raw Atomic Data (Pro)'!E305</f>
        <v>fact</v>
      </c>
      <c r="N305" s="1" t="n">
        <f aca="false">IF(OR(M305="friction",M305="need",M305="workaround"),1,0)</f>
        <v>0</v>
      </c>
      <c r="O305" s="1" t="n">
        <f aca="false">IF(COUNTIFS($K$2:K305,K305,$L$2:L305,L305,$M$2:M305,M305,$J$2:J305,J305)=1,1,0)</f>
        <v>0</v>
      </c>
      <c r="P305" s="1" t="n">
        <f aca="false">IF(AND(N305=1,S305=1,COUNTIFS($L$2:L305,L305,$J$2:J305,J305,$N$2:N305,1,$S$2:S305,1)=1),1,0)</f>
        <v>0</v>
      </c>
      <c r="Q305" s="1" t="n">
        <f aca="false">IF(AND(N305=1,S305=1,COUNTIFS($L$2:L305,L305,$K$2:K305,K305,$N$2:N305,1,$S$2:S305,1)=1),1,0)</f>
        <v>0</v>
      </c>
      <c r="R305" s="1" t="n">
        <f aca="false">IF(AND(N305=1,COUNTIFS($K$2:K305,K305,$L$2:L305,L305,$J$2:J305,J305,$N$2:N305,1)=1),1,0)</f>
        <v>0</v>
      </c>
      <c r="S305" s="1" t="n">
        <f aca="false">IF(AND(K305&lt;&gt;"Context and provider model",K305&lt;&gt;"Motivation"),1,0)</f>
        <v>1</v>
      </c>
    </row>
    <row r="306" customFormat="false" ht="15" hidden="false" customHeight="true" outlineLevel="0" collapsed="false">
      <c r="J306" s="1" t="str">
        <f aca="false">'Raw Atomic Data (Pro)'!A306</f>
        <v>Erika</v>
      </c>
      <c r="K306" s="1" t="str">
        <f aca="false">'Raw Atomic Data (Pro)'!C306</f>
        <v>Evaluation and meet-and-greet</v>
      </c>
      <c r="L306" s="1" t="str">
        <f aca="false">'Raw Atomic Data (Pro)'!D306</f>
        <v>client-dog-screening-criteria</v>
      </c>
      <c r="M306" s="1" t="str">
        <f aca="false">'Raw Atomic Data (Pro)'!E306</f>
        <v>fact</v>
      </c>
      <c r="N306" s="1" t="n">
        <f aca="false">IF(OR(M306="friction",M306="need",M306="workaround"),1,0)</f>
        <v>0</v>
      </c>
      <c r="O306" s="1" t="n">
        <f aca="false">IF(COUNTIFS($K$2:K306,K306,$L$2:L306,L306,$M$2:M306,M306,$J$2:J306,J306)=1,1,0)</f>
        <v>0</v>
      </c>
      <c r="P306" s="1" t="n">
        <f aca="false">IF(AND(N306=1,S306=1,COUNTIFS($L$2:L306,L306,$J$2:J306,J306,$N$2:N306,1,$S$2:S306,1)=1),1,0)</f>
        <v>0</v>
      </c>
      <c r="Q306" s="1" t="n">
        <f aca="false">IF(AND(N306=1,S306=1,COUNTIFS($L$2:L306,L306,$K$2:K306,K306,$N$2:N306,1,$S$2:S306,1)=1),1,0)</f>
        <v>0</v>
      </c>
      <c r="R306" s="1" t="n">
        <f aca="false">IF(AND(N306=1,COUNTIFS($K$2:K306,K306,$L$2:L306,L306,$J$2:J306,J306,$N$2:N306,1)=1),1,0)</f>
        <v>0</v>
      </c>
      <c r="S306" s="1" t="n">
        <f aca="false">IF(AND(K306&lt;&gt;"Context and provider model",K306&lt;&gt;"Motivation"),1,0)</f>
        <v>1</v>
      </c>
    </row>
    <row r="307" customFormat="false" ht="15" hidden="false" customHeight="true" outlineLevel="0" collapsed="false">
      <c r="J307" s="1" t="str">
        <f aca="false">'Raw Atomic Data (Pro)'!A307</f>
        <v>Erika</v>
      </c>
      <c r="K307" s="1" t="str">
        <f aca="false">'Raw Atomic Data (Pro)'!C307</f>
        <v>Evaluation and meet-and-greet</v>
      </c>
      <c r="L307" s="1" t="str">
        <f aca="false">'Raw Atomic Data (Pro)'!D307</f>
        <v>care-instructions-handoff</v>
      </c>
      <c r="M307" s="1" t="str">
        <f aca="false">'Raw Atomic Data (Pro)'!E307</f>
        <v>fact</v>
      </c>
      <c r="N307" s="1" t="n">
        <f aca="false">IF(OR(M307="friction",M307="need",M307="workaround"),1,0)</f>
        <v>0</v>
      </c>
      <c r="O307" s="1" t="n">
        <f aca="false">IF(COUNTIFS($K$2:K307,K307,$L$2:L307,L307,$M$2:M307,M307,$J$2:J307,J307)=1,1,0)</f>
        <v>1</v>
      </c>
      <c r="P307" s="1" t="n">
        <f aca="false">IF(AND(N307=1,S307=1,COUNTIFS($L$2:L307,L307,$J$2:J307,J307,$N$2:N307,1,$S$2:S307,1)=1),1,0)</f>
        <v>0</v>
      </c>
      <c r="Q307" s="1" t="n">
        <f aca="false">IF(AND(N307=1,S307=1,COUNTIFS($L$2:L307,L307,$K$2:K307,K307,$N$2:N307,1,$S$2:S307,1)=1),1,0)</f>
        <v>0</v>
      </c>
      <c r="R307" s="1" t="n">
        <f aca="false">IF(AND(N307=1,COUNTIFS($K$2:K307,K307,$L$2:L307,L307,$J$2:J307,J307,$N$2:N307,1)=1),1,0)</f>
        <v>0</v>
      </c>
      <c r="S307" s="1" t="n">
        <f aca="false">IF(AND(K307&lt;&gt;"Context and provider model",K307&lt;&gt;"Motivation"),1,0)</f>
        <v>1</v>
      </c>
    </row>
    <row r="308" customFormat="false" ht="15" hidden="false" customHeight="true" outlineLevel="0" collapsed="false">
      <c r="J308" s="1" t="str">
        <f aca="false">'Raw Atomic Data (Pro)'!A308</f>
        <v>Erika</v>
      </c>
      <c r="K308" s="1" t="str">
        <f aca="false">'Raw Atomic Data (Pro)'!C308</f>
        <v>Evaluation and meet-and-greet</v>
      </c>
      <c r="L308" s="1" t="str">
        <f aca="false">'Raw Atomic Data (Pro)'!D308</f>
        <v>meet-and-greet-process</v>
      </c>
      <c r="M308" s="1" t="str">
        <f aca="false">'Raw Atomic Data (Pro)'!E308</f>
        <v>fact</v>
      </c>
      <c r="N308" s="1" t="n">
        <f aca="false">IF(OR(M308="friction",M308="need",M308="workaround"),1,0)</f>
        <v>0</v>
      </c>
      <c r="O308" s="1" t="n">
        <f aca="false">IF(COUNTIFS($K$2:K308,K308,$L$2:L308,L308,$M$2:M308,M308,$J$2:J308,J308)=1,1,0)</f>
        <v>1</v>
      </c>
      <c r="P308" s="1" t="n">
        <f aca="false">IF(AND(N308=1,S308=1,COUNTIFS($L$2:L308,L308,$J$2:J308,J308,$N$2:N308,1,$S$2:S308,1)=1),1,0)</f>
        <v>0</v>
      </c>
      <c r="Q308" s="1" t="n">
        <f aca="false">IF(AND(N308=1,S308=1,COUNTIFS($L$2:L308,L308,$K$2:K308,K308,$N$2:N308,1,$S$2:S308,1)=1),1,0)</f>
        <v>0</v>
      </c>
      <c r="R308" s="1" t="n">
        <f aca="false">IF(AND(N308=1,COUNTIFS($K$2:K308,K308,$L$2:L308,L308,$J$2:J308,J308,$N$2:N308,1)=1),1,0)</f>
        <v>0</v>
      </c>
      <c r="S308" s="1" t="n">
        <f aca="false">IF(AND(K308&lt;&gt;"Context and provider model",K308&lt;&gt;"Motivation"),1,0)</f>
        <v>1</v>
      </c>
    </row>
    <row r="309" customFormat="false" ht="15" hidden="false" customHeight="true" outlineLevel="0" collapsed="false">
      <c r="J309" s="1" t="str">
        <f aca="false">'Raw Atomic Data (Pro)'!A309</f>
        <v>Kristin</v>
      </c>
      <c r="K309" s="1" t="str">
        <f aca="false">'Raw Atomic Data (Pro)'!C309</f>
        <v>Evaluation and meet-and-greet</v>
      </c>
      <c r="L309" s="1" t="str">
        <f aca="false">'Raw Atomic Data (Pro)'!D309</f>
        <v>meet-and-greet-process</v>
      </c>
      <c r="M309" s="1" t="str">
        <f aca="false">'Raw Atomic Data (Pro)'!E309</f>
        <v>fact</v>
      </c>
      <c r="N309" s="1" t="n">
        <f aca="false">IF(OR(M309="friction",M309="need",M309="workaround"),1,0)</f>
        <v>0</v>
      </c>
      <c r="O309" s="1" t="n">
        <f aca="false">IF(COUNTIFS($K$2:K309,K309,$L$2:L309,L309,$M$2:M309,M309,$J$2:J309,J309)=1,1,0)</f>
        <v>1</v>
      </c>
      <c r="P309" s="1" t="n">
        <f aca="false">IF(AND(N309=1,S309=1,COUNTIFS($L$2:L309,L309,$J$2:J309,J309,$N$2:N309,1,$S$2:S309,1)=1),1,0)</f>
        <v>0</v>
      </c>
      <c r="Q309" s="1" t="n">
        <f aca="false">IF(AND(N309=1,S309=1,COUNTIFS($L$2:L309,L309,$K$2:K309,K309,$N$2:N309,1,$S$2:S309,1)=1),1,0)</f>
        <v>0</v>
      </c>
      <c r="R309" s="1" t="n">
        <f aca="false">IF(AND(N309=1,COUNTIFS($K$2:K309,K309,$L$2:L309,L309,$J$2:J309,J309,$N$2:N309,1)=1),1,0)</f>
        <v>0</v>
      </c>
      <c r="S309" s="1" t="n">
        <f aca="false">IF(AND(K309&lt;&gt;"Context and provider model",K309&lt;&gt;"Motivation"),1,0)</f>
        <v>1</v>
      </c>
    </row>
    <row r="310" customFormat="false" ht="15" hidden="false" customHeight="true" outlineLevel="0" collapsed="false">
      <c r="J310" s="1" t="str">
        <f aca="false">'Raw Atomic Data (Pro)'!A310</f>
        <v>Kristin</v>
      </c>
      <c r="K310" s="1" t="str">
        <f aca="false">'Raw Atomic Data (Pro)'!C310</f>
        <v>Evaluation and meet-and-greet</v>
      </c>
      <c r="L310" s="1" t="str">
        <f aca="false">'Raw Atomic Data (Pro)'!D310</f>
        <v>meet-and-greet-process</v>
      </c>
      <c r="M310" s="1" t="str">
        <f aca="false">'Raw Atomic Data (Pro)'!E310</f>
        <v>fact</v>
      </c>
      <c r="N310" s="1" t="n">
        <f aca="false">IF(OR(M310="friction",M310="need",M310="workaround"),1,0)</f>
        <v>0</v>
      </c>
      <c r="O310" s="1" t="n">
        <f aca="false">IF(COUNTIFS($K$2:K310,K310,$L$2:L310,L310,$M$2:M310,M310,$J$2:J310,J310)=1,1,0)</f>
        <v>0</v>
      </c>
      <c r="P310" s="1" t="n">
        <f aca="false">IF(AND(N310=1,S310=1,COUNTIFS($L$2:L310,L310,$J$2:J310,J310,$N$2:N310,1,$S$2:S310,1)=1),1,0)</f>
        <v>0</v>
      </c>
      <c r="Q310" s="1" t="n">
        <f aca="false">IF(AND(N310=1,S310=1,COUNTIFS($L$2:L310,L310,$K$2:K310,K310,$N$2:N310,1,$S$2:S310,1)=1),1,0)</f>
        <v>0</v>
      </c>
      <c r="R310" s="1" t="n">
        <f aca="false">IF(AND(N310=1,COUNTIFS($K$2:K310,K310,$L$2:L310,L310,$J$2:J310,J310,$N$2:N310,1)=1),1,0)</f>
        <v>0</v>
      </c>
      <c r="S310" s="1" t="n">
        <f aca="false">IF(AND(K310&lt;&gt;"Context and provider model",K310&lt;&gt;"Motivation"),1,0)</f>
        <v>1</v>
      </c>
    </row>
    <row r="311" customFormat="false" ht="15" hidden="false" customHeight="true" outlineLevel="0" collapsed="false">
      <c r="J311" s="1" t="str">
        <f aca="false">'Raw Atomic Data (Pro)'!A311</f>
        <v>Kristin</v>
      </c>
      <c r="K311" s="1" t="str">
        <f aca="false">'Raw Atomic Data (Pro)'!C311</f>
        <v>Evaluation and meet-and-greet</v>
      </c>
      <c r="L311" s="1" t="str">
        <f aca="false">'Raw Atomic Data (Pro)'!D311</f>
        <v>care-instructions-handoff</v>
      </c>
      <c r="M311" s="1" t="str">
        <f aca="false">'Raw Atomic Data (Pro)'!E311</f>
        <v>fact</v>
      </c>
      <c r="N311" s="1" t="n">
        <f aca="false">IF(OR(M311="friction",M311="need",M311="workaround"),1,0)</f>
        <v>0</v>
      </c>
      <c r="O311" s="1" t="n">
        <f aca="false">IF(COUNTIFS($K$2:K311,K311,$L$2:L311,L311,$M$2:M311,M311,$J$2:J311,J311)=1,1,0)</f>
        <v>1</v>
      </c>
      <c r="P311" s="1" t="n">
        <f aca="false">IF(AND(N311=1,S311=1,COUNTIFS($L$2:L311,L311,$J$2:J311,J311,$N$2:N311,1,$S$2:S311,1)=1),1,0)</f>
        <v>0</v>
      </c>
      <c r="Q311" s="1" t="n">
        <f aca="false">IF(AND(N311=1,S311=1,COUNTIFS($L$2:L311,L311,$K$2:K311,K311,$N$2:N311,1,$S$2:S311,1)=1),1,0)</f>
        <v>0</v>
      </c>
      <c r="R311" s="1" t="n">
        <f aca="false">IF(AND(N311=1,COUNTIFS($K$2:K311,K311,$L$2:L311,L311,$J$2:J311,J311,$N$2:N311,1)=1),1,0)</f>
        <v>0</v>
      </c>
      <c r="S311" s="1" t="n">
        <f aca="false">IF(AND(K311&lt;&gt;"Context and provider model",K311&lt;&gt;"Motivation"),1,0)</f>
        <v>1</v>
      </c>
    </row>
    <row r="312" customFormat="false" ht="15" hidden="false" customHeight="true" outlineLevel="0" collapsed="false">
      <c r="J312" s="1" t="str">
        <f aca="false">'Raw Atomic Data (Pro)'!A312</f>
        <v>Kristin</v>
      </c>
      <c r="K312" s="1" t="str">
        <f aca="false">'Raw Atomic Data (Pro)'!C312</f>
        <v>Evaluation and meet-and-greet</v>
      </c>
      <c r="L312" s="1" t="str">
        <f aca="false">'Raw Atomic Data (Pro)'!D312</f>
        <v>care-instructions-handoff</v>
      </c>
      <c r="M312" s="1" t="str">
        <f aca="false">'Raw Atomic Data (Pro)'!E312</f>
        <v>friction</v>
      </c>
      <c r="N312" s="1" t="n">
        <f aca="false">IF(OR(M312="friction",M312="need",M312="workaround"),1,0)</f>
        <v>1</v>
      </c>
      <c r="O312" s="1" t="n">
        <f aca="false">IF(COUNTIFS($K$2:K312,K312,$L$2:L312,L312,$M$2:M312,M312,$J$2:J312,J312)=1,1,0)</f>
        <v>1</v>
      </c>
      <c r="P312" s="1" t="n">
        <f aca="false">IF(AND(N312=1,S312=1,COUNTIFS($L$2:L312,L312,$J$2:J312,J312,$N$2:N312,1,$S$2:S312,1)=1),1,0)</f>
        <v>1</v>
      </c>
      <c r="Q312" s="1" t="n">
        <f aca="false">IF(AND(N312=1,S312=1,COUNTIFS($L$2:L312,L312,$K$2:K312,K312,$N$2:N312,1,$S$2:S312,1)=1),1,0)</f>
        <v>1</v>
      </c>
      <c r="R312" s="1" t="n">
        <f aca="false">IF(AND(N312=1,COUNTIFS($K$2:K312,K312,$L$2:L312,L312,$J$2:J312,J312,$N$2:N312,1)=1),1,0)</f>
        <v>1</v>
      </c>
      <c r="S312" s="1" t="n">
        <f aca="false">IF(AND(K312&lt;&gt;"Context and provider model",K312&lt;&gt;"Motivation"),1,0)</f>
        <v>1</v>
      </c>
    </row>
    <row r="313" customFormat="false" ht="15" hidden="false" customHeight="true" outlineLevel="0" collapsed="false">
      <c r="J313" s="1" t="str">
        <f aca="false">'Raw Atomic Data (Pro)'!A313</f>
        <v>Kristin</v>
      </c>
      <c r="K313" s="1" t="str">
        <f aca="false">'Raw Atomic Data (Pro)'!C313</f>
        <v>Evaluation and meet-and-greet</v>
      </c>
      <c r="L313" s="1" t="str">
        <f aca="false">'Raw Atomic Data (Pro)'!D313</f>
        <v>care-instructions-handoff</v>
      </c>
      <c r="M313" s="1" t="str">
        <f aca="false">'Raw Atomic Data (Pro)'!E313</f>
        <v>fact</v>
      </c>
      <c r="N313" s="1" t="n">
        <f aca="false">IF(OR(M313="friction",M313="need",M313="workaround"),1,0)</f>
        <v>0</v>
      </c>
      <c r="O313" s="1" t="n">
        <f aca="false">IF(COUNTIFS($K$2:K313,K313,$L$2:L313,L313,$M$2:M313,M313,$J$2:J313,J313)=1,1,0)</f>
        <v>0</v>
      </c>
      <c r="P313" s="1" t="n">
        <f aca="false">IF(AND(N313=1,S313=1,COUNTIFS($L$2:L313,L313,$J$2:J313,J313,$N$2:N313,1,$S$2:S313,1)=1),1,0)</f>
        <v>0</v>
      </c>
      <c r="Q313" s="1" t="n">
        <f aca="false">IF(AND(N313=1,S313=1,COUNTIFS($L$2:L313,L313,$K$2:K313,K313,$N$2:N313,1,$S$2:S313,1)=1),1,0)</f>
        <v>0</v>
      </c>
      <c r="R313" s="1" t="n">
        <f aca="false">IF(AND(N313=1,COUNTIFS($K$2:K313,K313,$L$2:L313,L313,$J$2:J313,J313,$N$2:N313,1)=1),1,0)</f>
        <v>0</v>
      </c>
      <c r="S313" s="1" t="n">
        <f aca="false">IF(AND(K313&lt;&gt;"Context and provider model",K313&lt;&gt;"Motivation"),1,0)</f>
        <v>1</v>
      </c>
    </row>
    <row r="314" customFormat="false" ht="15" hidden="false" customHeight="true" outlineLevel="0" collapsed="false">
      <c r="J314" s="1" t="str">
        <f aca="false">'Raw Atomic Data (Pro)'!A314</f>
        <v>Kristin</v>
      </c>
      <c r="K314" s="1" t="str">
        <f aca="false">'Raw Atomic Data (Pro)'!C314</f>
        <v>Evaluation and meet-and-greet</v>
      </c>
      <c r="L314" s="1" t="str">
        <f aca="false">'Raw Atomic Data (Pro)'!D314</f>
        <v>care-instructions-handoff</v>
      </c>
      <c r="M314" s="1" t="str">
        <f aca="false">'Raw Atomic Data (Pro)'!E314</f>
        <v>fact</v>
      </c>
      <c r="N314" s="1" t="n">
        <f aca="false">IF(OR(M314="friction",M314="need",M314="workaround"),1,0)</f>
        <v>0</v>
      </c>
      <c r="O314" s="1" t="n">
        <f aca="false">IF(COUNTIFS($K$2:K314,K314,$L$2:L314,L314,$M$2:M314,M314,$J$2:J314,J314)=1,1,0)</f>
        <v>0</v>
      </c>
      <c r="P314" s="1" t="n">
        <f aca="false">IF(AND(N314=1,S314=1,COUNTIFS($L$2:L314,L314,$J$2:J314,J314,$N$2:N314,1,$S$2:S314,1)=1),1,0)</f>
        <v>0</v>
      </c>
      <c r="Q314" s="1" t="n">
        <f aca="false">IF(AND(N314=1,S314=1,COUNTIFS($L$2:L314,L314,$K$2:K314,K314,$N$2:N314,1,$S$2:S314,1)=1),1,0)</f>
        <v>0</v>
      </c>
      <c r="R314" s="1" t="n">
        <f aca="false">IF(AND(N314=1,COUNTIFS($K$2:K314,K314,$L$2:L314,L314,$J$2:J314,J314,$N$2:N314,1)=1),1,0)</f>
        <v>0</v>
      </c>
      <c r="S314" s="1" t="n">
        <f aca="false">IF(AND(K314&lt;&gt;"Context and provider model",K314&lt;&gt;"Motivation"),1,0)</f>
        <v>1</v>
      </c>
    </row>
    <row r="315" customFormat="false" ht="15" hidden="false" customHeight="true" outlineLevel="0" collapsed="false">
      <c r="J315" s="1" t="str">
        <f aca="false">'Raw Atomic Data (Pro)'!A315</f>
        <v>Kristin</v>
      </c>
      <c r="K315" s="1" t="str">
        <f aca="false">'Raw Atomic Data (Pro)'!C315</f>
        <v>Evaluation and meet-and-greet</v>
      </c>
      <c r="L315" s="1" t="str">
        <f aca="false">'Raw Atomic Data (Pro)'!D315</f>
        <v>client-dog-screening-criteria</v>
      </c>
      <c r="M315" s="1" t="str">
        <f aca="false">'Raw Atomic Data (Pro)'!E315</f>
        <v>friction</v>
      </c>
      <c r="N315" s="1" t="n">
        <f aca="false">IF(OR(M315="friction",M315="need",M315="workaround"),1,0)</f>
        <v>1</v>
      </c>
      <c r="O315" s="1" t="n">
        <f aca="false">IF(COUNTIFS($K$2:K315,K315,$L$2:L315,L315,$M$2:M315,M315,$J$2:J315,J315)=1,1,0)</f>
        <v>1</v>
      </c>
      <c r="P315" s="1" t="n">
        <f aca="false">IF(AND(N315=1,S315=1,COUNTIFS($L$2:L315,L315,$J$2:J315,J315,$N$2:N315,1,$S$2:S315,1)=1),1,0)</f>
        <v>1</v>
      </c>
      <c r="Q315" s="1" t="n">
        <f aca="false">IF(AND(N315=1,S315=1,COUNTIFS($L$2:L315,L315,$K$2:K315,K315,$N$2:N315,1,$S$2:S315,1)=1),1,0)</f>
        <v>1</v>
      </c>
      <c r="R315" s="1" t="n">
        <f aca="false">IF(AND(N315=1,COUNTIFS($K$2:K315,K315,$L$2:L315,L315,$J$2:J315,J315,$N$2:N315,1)=1),1,0)</f>
        <v>1</v>
      </c>
      <c r="S315" s="1" t="n">
        <f aca="false">IF(AND(K315&lt;&gt;"Context and provider model",K315&lt;&gt;"Motivation"),1,0)</f>
        <v>1</v>
      </c>
    </row>
    <row r="316" customFormat="false" ht="15" hidden="false" customHeight="true" outlineLevel="0" collapsed="false">
      <c r="J316" s="1" t="str">
        <f aca="false">'Raw Atomic Data (Pro)'!A316</f>
        <v>Kristin</v>
      </c>
      <c r="K316" s="1" t="str">
        <f aca="false">'Raw Atomic Data (Pro)'!C316</f>
        <v>Evaluation and meet-and-greet</v>
      </c>
      <c r="L316" s="1" t="str">
        <f aca="false">'Raw Atomic Data (Pro)'!D316</f>
        <v>client-dog-screening-criteria</v>
      </c>
      <c r="M316" s="1" t="str">
        <f aca="false">'Raw Atomic Data (Pro)'!E316</f>
        <v>need</v>
      </c>
      <c r="N316" s="1" t="n">
        <f aca="false">IF(OR(M316="friction",M316="need",M316="workaround"),1,0)</f>
        <v>1</v>
      </c>
      <c r="O316" s="1" t="n">
        <f aca="false">IF(COUNTIFS($K$2:K316,K316,$L$2:L316,L316,$M$2:M316,M316,$J$2:J316,J316)=1,1,0)</f>
        <v>1</v>
      </c>
      <c r="P316" s="1" t="n">
        <f aca="false">IF(AND(N316=1,S316=1,COUNTIFS($L$2:L316,L316,$J$2:J316,J316,$N$2:N316,1,$S$2:S316,1)=1),1,0)</f>
        <v>0</v>
      </c>
      <c r="Q316" s="1" t="n">
        <f aca="false">IF(AND(N316=1,S316=1,COUNTIFS($L$2:L316,L316,$K$2:K316,K316,$N$2:N316,1,$S$2:S316,1)=1),1,0)</f>
        <v>0</v>
      </c>
      <c r="R316" s="1" t="n">
        <f aca="false">IF(AND(N316=1,COUNTIFS($K$2:K316,K316,$L$2:L316,L316,$J$2:J316,J316,$N$2:N316,1)=1),1,0)</f>
        <v>0</v>
      </c>
      <c r="S316" s="1" t="n">
        <f aca="false">IF(AND(K316&lt;&gt;"Context and provider model",K316&lt;&gt;"Motivation"),1,0)</f>
        <v>1</v>
      </c>
    </row>
    <row r="317" customFormat="false" ht="15" hidden="false" customHeight="true" outlineLevel="0" collapsed="false">
      <c r="J317" s="1" t="str">
        <f aca="false">'Raw Atomic Data (Pro)'!A317</f>
        <v>Kristin</v>
      </c>
      <c r="K317" s="1" t="str">
        <f aca="false">'Raw Atomic Data (Pro)'!C317</f>
        <v>Evaluation and meet-and-greet</v>
      </c>
      <c r="L317" s="1" t="str">
        <f aca="false">'Raw Atomic Data (Pro)'!D317</f>
        <v>client-dog-screening-criteria</v>
      </c>
      <c r="M317" s="1" t="str">
        <f aca="false">'Raw Atomic Data (Pro)'!E317</f>
        <v>need</v>
      </c>
      <c r="N317" s="1" t="n">
        <f aca="false">IF(OR(M317="friction",M317="need",M317="workaround"),1,0)</f>
        <v>1</v>
      </c>
      <c r="O317" s="1" t="n">
        <f aca="false">IF(COUNTIFS($K$2:K317,K317,$L$2:L317,L317,$M$2:M317,M317,$J$2:J317,J317)=1,1,0)</f>
        <v>0</v>
      </c>
      <c r="P317" s="1" t="n">
        <f aca="false">IF(AND(N317=1,S317=1,COUNTIFS($L$2:L317,L317,$J$2:J317,J317,$N$2:N317,1,$S$2:S317,1)=1),1,0)</f>
        <v>0</v>
      </c>
      <c r="Q317" s="1" t="n">
        <f aca="false">IF(AND(N317=1,S317=1,COUNTIFS($L$2:L317,L317,$K$2:K317,K317,$N$2:N317,1,$S$2:S317,1)=1),1,0)</f>
        <v>0</v>
      </c>
      <c r="R317" s="1" t="n">
        <f aca="false">IF(AND(N317=1,COUNTIFS($K$2:K317,K317,$L$2:L317,L317,$J$2:J317,J317,$N$2:N317,1)=1),1,0)</f>
        <v>0</v>
      </c>
      <c r="S317" s="1" t="n">
        <f aca="false">IF(AND(K317&lt;&gt;"Context and provider model",K317&lt;&gt;"Motivation"),1,0)</f>
        <v>1</v>
      </c>
    </row>
    <row r="318" customFormat="false" ht="15" hidden="false" customHeight="true" outlineLevel="0" collapsed="false">
      <c r="J318" s="1" t="str">
        <f aca="false">'Raw Atomic Data (Pro)'!A318</f>
        <v>Naomi</v>
      </c>
      <c r="K318" s="1" t="str">
        <f aca="false">'Raw Atomic Data (Pro)'!C318</f>
        <v>Evaluation and meet-and-greet</v>
      </c>
      <c r="L318" s="1" t="str">
        <f aca="false">'Raw Atomic Data (Pro)'!D318</f>
        <v>profile-information-completeness</v>
      </c>
      <c r="M318" s="1" t="str">
        <f aca="false">'Raw Atomic Data (Pro)'!E318</f>
        <v>need</v>
      </c>
      <c r="N318" s="1" t="n">
        <f aca="false">IF(OR(M318="friction",M318="need",M318="workaround"),1,0)</f>
        <v>1</v>
      </c>
      <c r="O318" s="1" t="n">
        <f aca="false">IF(COUNTIFS($K$2:K318,K318,$L$2:L318,L318,$M$2:M318,M318,$J$2:J318,J318)=1,1,0)</f>
        <v>1</v>
      </c>
      <c r="P318" s="1" t="n">
        <f aca="false">IF(AND(N318=1,S318=1,COUNTIFS($L$2:L318,L318,$J$2:J318,J318,$N$2:N318,1,$S$2:S318,1)=1),1,0)</f>
        <v>1</v>
      </c>
      <c r="Q318" s="1" t="n">
        <f aca="false">IF(AND(N318=1,S318=1,COUNTIFS($L$2:L318,L318,$K$2:K318,K318,$N$2:N318,1,$S$2:S318,1)=1),1,0)</f>
        <v>1</v>
      </c>
      <c r="R318" s="1" t="n">
        <f aca="false">IF(AND(N318=1,COUNTIFS($K$2:K318,K318,$L$2:L318,L318,$J$2:J318,J318,$N$2:N318,1)=1),1,0)</f>
        <v>1</v>
      </c>
      <c r="S318" s="1" t="n">
        <f aca="false">IF(AND(K318&lt;&gt;"Context and provider model",K318&lt;&gt;"Motivation"),1,0)</f>
        <v>1</v>
      </c>
    </row>
    <row r="319" customFormat="false" ht="15" hidden="false" customHeight="true" outlineLevel="0" collapsed="false">
      <c r="J319" s="1" t="str">
        <f aca="false">'Raw Atomic Data (Pro)'!A319</f>
        <v>Naomi</v>
      </c>
      <c r="K319" s="1" t="str">
        <f aca="false">'Raw Atomic Data (Pro)'!C319</f>
        <v>Evaluation and meet-and-greet</v>
      </c>
      <c r="L319" s="1" t="str">
        <f aca="false">'Raw Atomic Data (Pro)'!D319</f>
        <v>client-dog-screening-criteria</v>
      </c>
      <c r="M319" s="1" t="str">
        <f aca="false">'Raw Atomic Data (Pro)'!E319</f>
        <v>fact</v>
      </c>
      <c r="N319" s="1" t="n">
        <f aca="false">IF(OR(M319="friction",M319="need",M319="workaround"),1,0)</f>
        <v>0</v>
      </c>
      <c r="O319" s="1" t="n">
        <f aca="false">IF(COUNTIFS($K$2:K319,K319,$L$2:L319,L319,$M$2:M319,M319,$J$2:J319,J319)=1,1,0)</f>
        <v>1</v>
      </c>
      <c r="P319" s="1" t="n">
        <f aca="false">IF(AND(N319=1,S319=1,COUNTIFS($L$2:L319,L319,$J$2:J319,J319,$N$2:N319,1,$S$2:S319,1)=1),1,0)</f>
        <v>0</v>
      </c>
      <c r="Q319" s="1" t="n">
        <f aca="false">IF(AND(N319=1,S319=1,COUNTIFS($L$2:L319,L319,$K$2:K319,K319,$N$2:N319,1,$S$2:S319,1)=1),1,0)</f>
        <v>0</v>
      </c>
      <c r="R319" s="1" t="n">
        <f aca="false">IF(AND(N319=1,COUNTIFS($K$2:K319,K319,$L$2:L319,L319,$J$2:J319,J319,$N$2:N319,1)=1),1,0)</f>
        <v>0</v>
      </c>
      <c r="S319" s="1" t="n">
        <f aca="false">IF(AND(K319&lt;&gt;"Context and provider model",K319&lt;&gt;"Motivation"),1,0)</f>
        <v>1</v>
      </c>
    </row>
    <row r="320" customFormat="false" ht="15" hidden="false" customHeight="true" outlineLevel="0" collapsed="false">
      <c r="J320" s="1" t="str">
        <f aca="false">'Raw Atomic Data (Pro)'!A320</f>
        <v>Naomi</v>
      </c>
      <c r="K320" s="1" t="str">
        <f aca="false">'Raw Atomic Data (Pro)'!C320</f>
        <v>Evaluation and meet-and-greet</v>
      </c>
      <c r="L320" s="1" t="str">
        <f aca="false">'Raw Atomic Data (Pro)'!D320</f>
        <v>client-dog-screening-criteria</v>
      </c>
      <c r="M320" s="1" t="str">
        <f aca="false">'Raw Atomic Data (Pro)'!E320</f>
        <v>fact</v>
      </c>
      <c r="N320" s="1" t="n">
        <f aca="false">IF(OR(M320="friction",M320="need",M320="workaround"),1,0)</f>
        <v>0</v>
      </c>
      <c r="O320" s="1" t="n">
        <f aca="false">IF(COUNTIFS($K$2:K320,K320,$L$2:L320,L320,$M$2:M320,M320,$J$2:J320,J320)=1,1,0)</f>
        <v>0</v>
      </c>
      <c r="P320" s="1" t="n">
        <f aca="false">IF(AND(N320=1,S320=1,COUNTIFS($L$2:L320,L320,$J$2:J320,J320,$N$2:N320,1,$S$2:S320,1)=1),1,0)</f>
        <v>0</v>
      </c>
      <c r="Q320" s="1" t="n">
        <f aca="false">IF(AND(N320=1,S320=1,COUNTIFS($L$2:L320,L320,$K$2:K320,K320,$N$2:N320,1,$S$2:S320,1)=1),1,0)</f>
        <v>0</v>
      </c>
      <c r="R320" s="1" t="n">
        <f aca="false">IF(AND(N320=1,COUNTIFS($K$2:K320,K320,$L$2:L320,L320,$J$2:J320,J320,$N$2:N320,1)=1),1,0)</f>
        <v>0</v>
      </c>
      <c r="S320" s="1" t="n">
        <f aca="false">IF(AND(K320&lt;&gt;"Context and provider model",K320&lt;&gt;"Motivation"),1,0)</f>
        <v>1</v>
      </c>
    </row>
    <row r="321" customFormat="false" ht="15" hidden="false" customHeight="true" outlineLevel="0" collapsed="false">
      <c r="J321" s="1" t="str">
        <f aca="false">'Raw Atomic Data (Pro)'!A321</f>
        <v>Naomi</v>
      </c>
      <c r="K321" s="1" t="str">
        <f aca="false">'Raw Atomic Data (Pro)'!C321</f>
        <v>Evaluation and meet-and-greet</v>
      </c>
      <c r="L321" s="1" t="str">
        <f aca="false">'Raw Atomic Data (Pro)'!D321</f>
        <v>client-dog-screening-criteria</v>
      </c>
      <c r="M321" s="1" t="str">
        <f aca="false">'Raw Atomic Data (Pro)'!E321</f>
        <v>fact</v>
      </c>
      <c r="N321" s="1" t="n">
        <f aca="false">IF(OR(M321="friction",M321="need",M321="workaround"),1,0)</f>
        <v>0</v>
      </c>
      <c r="O321" s="1" t="n">
        <f aca="false">IF(COUNTIFS($K$2:K321,K321,$L$2:L321,L321,$M$2:M321,M321,$J$2:J321,J321)=1,1,0)</f>
        <v>0</v>
      </c>
      <c r="P321" s="1" t="n">
        <f aca="false">IF(AND(N321=1,S321=1,COUNTIFS($L$2:L321,L321,$J$2:J321,J321,$N$2:N321,1,$S$2:S321,1)=1),1,0)</f>
        <v>0</v>
      </c>
      <c r="Q321" s="1" t="n">
        <f aca="false">IF(AND(N321=1,S321=1,COUNTIFS($L$2:L321,L321,$K$2:K321,K321,$N$2:N321,1,$S$2:S321,1)=1),1,0)</f>
        <v>0</v>
      </c>
      <c r="R321" s="1" t="n">
        <f aca="false">IF(AND(N321=1,COUNTIFS($K$2:K321,K321,$L$2:L321,L321,$J$2:J321,J321,$N$2:N321,1)=1),1,0)</f>
        <v>0</v>
      </c>
      <c r="S321" s="1" t="n">
        <f aca="false">IF(AND(K321&lt;&gt;"Context and provider model",K321&lt;&gt;"Motivation"),1,0)</f>
        <v>1</v>
      </c>
    </row>
    <row r="322" customFormat="false" ht="15" hidden="false" customHeight="true" outlineLevel="0" collapsed="false">
      <c r="J322" s="1" t="str">
        <f aca="false">'Raw Atomic Data (Pro)'!A322</f>
        <v>Naomi</v>
      </c>
      <c r="K322" s="1" t="str">
        <f aca="false">'Raw Atomic Data (Pro)'!C322</f>
        <v>Evaluation and meet-and-greet</v>
      </c>
      <c r="L322" s="1" t="str">
        <f aca="false">'Raw Atomic Data (Pro)'!D322</f>
        <v>safety-risk-incidents</v>
      </c>
      <c r="M322" s="1" t="str">
        <f aca="false">'Raw Atomic Data (Pro)'!E322</f>
        <v>friction</v>
      </c>
      <c r="N322" s="1" t="n">
        <f aca="false">IF(OR(M322="friction",M322="need",M322="workaround"),1,0)</f>
        <v>1</v>
      </c>
      <c r="O322" s="1" t="n">
        <f aca="false">IF(COUNTIFS($K$2:K322,K322,$L$2:L322,L322,$M$2:M322,M322,$J$2:J322,J322)=1,1,0)</f>
        <v>1</v>
      </c>
      <c r="P322" s="1" t="n">
        <f aca="false">IF(AND(N322=1,S322=1,COUNTIFS($L$2:L322,L322,$J$2:J322,J322,$N$2:N322,1,$S$2:S322,1)=1),1,0)</f>
        <v>1</v>
      </c>
      <c r="Q322" s="1" t="n">
        <f aca="false">IF(AND(N322=1,S322=1,COUNTIFS($L$2:L322,L322,$K$2:K322,K322,$N$2:N322,1,$S$2:S322,1)=1),1,0)</f>
        <v>0</v>
      </c>
      <c r="R322" s="1" t="n">
        <f aca="false">IF(AND(N322=1,COUNTIFS($K$2:K322,K322,$L$2:L322,L322,$J$2:J322,J322,$N$2:N322,1)=1),1,0)</f>
        <v>1</v>
      </c>
      <c r="S322" s="1" t="n">
        <f aca="false">IF(AND(K322&lt;&gt;"Context and provider model",K322&lt;&gt;"Motivation"),1,0)</f>
        <v>1</v>
      </c>
    </row>
    <row r="323" customFormat="false" ht="15" hidden="false" customHeight="true" outlineLevel="0" collapsed="false">
      <c r="J323" s="1" t="str">
        <f aca="false">'Raw Atomic Data (Pro)'!A323</f>
        <v>Naomi</v>
      </c>
      <c r="K323" s="1" t="str">
        <f aca="false">'Raw Atomic Data (Pro)'!C323</f>
        <v>Evaluation and meet-and-greet</v>
      </c>
      <c r="L323" s="1" t="str">
        <f aca="false">'Raw Atomic Data (Pro)'!D323</f>
        <v>meet-and-greet-process</v>
      </c>
      <c r="M323" s="1" t="str">
        <f aca="false">'Raw Atomic Data (Pro)'!E323</f>
        <v>fact</v>
      </c>
      <c r="N323" s="1" t="n">
        <f aca="false">IF(OR(M323="friction",M323="need",M323="workaround"),1,0)</f>
        <v>0</v>
      </c>
      <c r="O323" s="1" t="n">
        <f aca="false">IF(COUNTIFS($K$2:K323,K323,$L$2:L323,L323,$M$2:M323,M323,$J$2:J323,J323)=1,1,0)</f>
        <v>1</v>
      </c>
      <c r="P323" s="1" t="n">
        <f aca="false">IF(AND(N323=1,S323=1,COUNTIFS($L$2:L323,L323,$J$2:J323,J323,$N$2:N323,1,$S$2:S323,1)=1),1,0)</f>
        <v>0</v>
      </c>
      <c r="Q323" s="1" t="n">
        <f aca="false">IF(AND(N323=1,S323=1,COUNTIFS($L$2:L323,L323,$K$2:K323,K323,$N$2:N323,1,$S$2:S323,1)=1),1,0)</f>
        <v>0</v>
      </c>
      <c r="R323" s="1" t="n">
        <f aca="false">IF(AND(N323=1,COUNTIFS($K$2:K323,K323,$L$2:L323,L323,$J$2:J323,J323,$N$2:N323,1)=1),1,0)</f>
        <v>0</v>
      </c>
      <c r="S323" s="1" t="n">
        <f aca="false">IF(AND(K323&lt;&gt;"Context and provider model",K323&lt;&gt;"Motivation"),1,0)</f>
        <v>1</v>
      </c>
    </row>
    <row r="324" customFormat="false" ht="15" hidden="false" customHeight="true" outlineLevel="0" collapsed="false">
      <c r="J324" s="1" t="str">
        <f aca="false">'Raw Atomic Data (Pro)'!A324</f>
        <v>Naomi</v>
      </c>
      <c r="K324" s="1" t="str">
        <f aca="false">'Raw Atomic Data (Pro)'!C324</f>
        <v>Evaluation and meet-and-greet</v>
      </c>
      <c r="L324" s="1" t="str">
        <f aca="false">'Raw Atomic Data (Pro)'!D324</f>
        <v>meet-and-greet-process</v>
      </c>
      <c r="M324" s="1" t="str">
        <f aca="false">'Raw Atomic Data (Pro)'!E324</f>
        <v>fact</v>
      </c>
      <c r="N324" s="1" t="n">
        <f aca="false">IF(OR(M324="friction",M324="need",M324="workaround"),1,0)</f>
        <v>0</v>
      </c>
      <c r="O324" s="1" t="n">
        <f aca="false">IF(COUNTIFS($K$2:K324,K324,$L$2:L324,L324,$M$2:M324,M324,$J$2:J324,J324)=1,1,0)</f>
        <v>0</v>
      </c>
      <c r="P324" s="1" t="n">
        <f aca="false">IF(AND(N324=1,S324=1,COUNTIFS($L$2:L324,L324,$J$2:J324,J324,$N$2:N324,1,$S$2:S324,1)=1),1,0)</f>
        <v>0</v>
      </c>
      <c r="Q324" s="1" t="n">
        <f aca="false">IF(AND(N324=1,S324=1,COUNTIFS($L$2:L324,L324,$K$2:K324,K324,$N$2:N324,1,$S$2:S324,1)=1),1,0)</f>
        <v>0</v>
      </c>
      <c r="R324" s="1" t="n">
        <f aca="false">IF(AND(N324=1,COUNTIFS($K$2:K324,K324,$L$2:L324,L324,$J$2:J324,J324,$N$2:N324,1)=1),1,0)</f>
        <v>0</v>
      </c>
      <c r="S324" s="1" t="n">
        <f aca="false">IF(AND(K324&lt;&gt;"Context and provider model",K324&lt;&gt;"Motivation"),1,0)</f>
        <v>1</v>
      </c>
    </row>
    <row r="325" customFormat="false" ht="15" hidden="false" customHeight="true" outlineLevel="0" collapsed="false">
      <c r="J325" s="1" t="str">
        <f aca="false">'Raw Atomic Data (Pro)'!A325</f>
        <v>Naomi</v>
      </c>
      <c r="K325" s="1" t="str">
        <f aca="false">'Raw Atomic Data (Pro)'!C325</f>
        <v>Evaluation and meet-and-greet</v>
      </c>
      <c r="L325" s="1" t="str">
        <f aca="false">'Raw Atomic Data (Pro)'!D325</f>
        <v>client-dog-screening-criteria</v>
      </c>
      <c r="M325" s="1" t="str">
        <f aca="false">'Raw Atomic Data (Pro)'!E325</f>
        <v>fact</v>
      </c>
      <c r="N325" s="1" t="n">
        <f aca="false">IF(OR(M325="friction",M325="need",M325="workaround"),1,0)</f>
        <v>0</v>
      </c>
      <c r="O325" s="1" t="n">
        <f aca="false">IF(COUNTIFS($K$2:K325,K325,$L$2:L325,L325,$M$2:M325,M325,$J$2:J325,J325)=1,1,0)</f>
        <v>0</v>
      </c>
      <c r="P325" s="1" t="n">
        <f aca="false">IF(AND(N325=1,S325=1,COUNTIFS($L$2:L325,L325,$J$2:J325,J325,$N$2:N325,1,$S$2:S325,1)=1),1,0)</f>
        <v>0</v>
      </c>
      <c r="Q325" s="1" t="n">
        <f aca="false">IF(AND(N325=1,S325=1,COUNTIFS($L$2:L325,L325,$K$2:K325,K325,$N$2:N325,1,$S$2:S325,1)=1),1,0)</f>
        <v>0</v>
      </c>
      <c r="R325" s="1" t="n">
        <f aca="false">IF(AND(N325=1,COUNTIFS($K$2:K325,K325,$L$2:L325,L325,$J$2:J325,J325,$N$2:N325,1)=1),1,0)</f>
        <v>0</v>
      </c>
      <c r="S325" s="1" t="n">
        <f aca="false">IF(AND(K325&lt;&gt;"Context and provider model",K325&lt;&gt;"Motivation"),1,0)</f>
        <v>1</v>
      </c>
    </row>
    <row r="326" customFormat="false" ht="15" hidden="false" customHeight="true" outlineLevel="0" collapsed="false">
      <c r="J326" s="1" t="str">
        <f aca="false">'Raw Atomic Data (Pro)'!A326</f>
        <v>Naomi</v>
      </c>
      <c r="K326" s="1" t="str">
        <f aca="false">'Raw Atomic Data (Pro)'!C326</f>
        <v>Evaluation and meet-and-greet</v>
      </c>
      <c r="L326" s="1" t="str">
        <f aca="false">'Raw Atomic Data (Pro)'!D326</f>
        <v>client-dog-screening-criteria</v>
      </c>
      <c r="M326" s="1" t="str">
        <f aca="false">'Raw Atomic Data (Pro)'!E326</f>
        <v>fact</v>
      </c>
      <c r="N326" s="1" t="n">
        <f aca="false">IF(OR(M326="friction",M326="need",M326="workaround"),1,0)</f>
        <v>0</v>
      </c>
      <c r="O326" s="1" t="n">
        <f aca="false">IF(COUNTIFS($K$2:K326,K326,$L$2:L326,L326,$M$2:M326,M326,$J$2:J326,J326)=1,1,0)</f>
        <v>0</v>
      </c>
      <c r="P326" s="1" t="n">
        <f aca="false">IF(AND(N326=1,S326=1,COUNTIFS($L$2:L326,L326,$J$2:J326,J326,$N$2:N326,1,$S$2:S326,1)=1),1,0)</f>
        <v>0</v>
      </c>
      <c r="Q326" s="1" t="n">
        <f aca="false">IF(AND(N326=1,S326=1,COUNTIFS($L$2:L326,L326,$K$2:K326,K326,$N$2:N326,1,$S$2:S326,1)=1),1,0)</f>
        <v>0</v>
      </c>
      <c r="R326" s="1" t="n">
        <f aca="false">IF(AND(N326=1,COUNTIFS($K$2:K326,K326,$L$2:L326,L326,$J$2:J326,J326,$N$2:N326,1)=1),1,0)</f>
        <v>0</v>
      </c>
      <c r="S326" s="1" t="n">
        <f aca="false">IF(AND(K326&lt;&gt;"Context and provider model",K326&lt;&gt;"Motivation"),1,0)</f>
        <v>1</v>
      </c>
    </row>
    <row r="327" customFormat="false" ht="15" hidden="false" customHeight="true" outlineLevel="0" collapsed="false">
      <c r="J327" s="1" t="str">
        <f aca="false">'Raw Atomic Data (Pro)'!A327</f>
        <v>Naomi</v>
      </c>
      <c r="K327" s="1" t="str">
        <f aca="false">'Raw Atomic Data (Pro)'!C327</f>
        <v>Evaluation and meet-and-greet</v>
      </c>
      <c r="L327" s="1" t="str">
        <f aca="false">'Raw Atomic Data (Pro)'!D327</f>
        <v>safety-risk-incidents</v>
      </c>
      <c r="M327" s="1" t="str">
        <f aca="false">'Raw Atomic Data (Pro)'!E327</f>
        <v>fact</v>
      </c>
      <c r="N327" s="1" t="n">
        <f aca="false">IF(OR(M327="friction",M327="need",M327="workaround"),1,0)</f>
        <v>0</v>
      </c>
      <c r="O327" s="1" t="n">
        <f aca="false">IF(COUNTIFS($K$2:K327,K327,$L$2:L327,L327,$M$2:M327,M327,$J$2:J327,J327)=1,1,0)</f>
        <v>1</v>
      </c>
      <c r="P327" s="1" t="n">
        <f aca="false">IF(AND(N327=1,S327=1,COUNTIFS($L$2:L327,L327,$J$2:J327,J327,$N$2:N327,1,$S$2:S327,1)=1),1,0)</f>
        <v>0</v>
      </c>
      <c r="Q327" s="1" t="n">
        <f aca="false">IF(AND(N327=1,S327=1,COUNTIFS($L$2:L327,L327,$K$2:K327,K327,$N$2:N327,1,$S$2:S327,1)=1),1,0)</f>
        <v>0</v>
      </c>
      <c r="R327" s="1" t="n">
        <f aca="false">IF(AND(N327=1,COUNTIFS($K$2:K327,K327,$L$2:L327,L327,$J$2:J327,J327,$N$2:N327,1)=1),1,0)</f>
        <v>0</v>
      </c>
      <c r="S327" s="1" t="n">
        <f aca="false">IF(AND(K327&lt;&gt;"Context and provider model",K327&lt;&gt;"Motivation"),1,0)</f>
        <v>1</v>
      </c>
    </row>
    <row r="328" customFormat="false" ht="15" hidden="false" customHeight="true" outlineLevel="0" collapsed="false">
      <c r="J328" s="1" t="str">
        <f aca="false">'Raw Atomic Data (Pro)'!A328</f>
        <v>Shania</v>
      </c>
      <c r="K328" s="1" t="str">
        <f aca="false">'Raw Atomic Data (Pro)'!C328</f>
        <v>Evaluation and meet-and-greet</v>
      </c>
      <c r="L328" s="1" t="str">
        <f aca="false">'Raw Atomic Data (Pro)'!D328</f>
        <v>meet-and-greet-process</v>
      </c>
      <c r="M328" s="1" t="str">
        <f aca="false">'Raw Atomic Data (Pro)'!E328</f>
        <v>value-statement</v>
      </c>
      <c r="N328" s="1" t="n">
        <f aca="false">IF(OR(M328="friction",M328="need",M328="workaround"),1,0)</f>
        <v>0</v>
      </c>
      <c r="O328" s="1" t="n">
        <f aca="false">IF(COUNTIFS($K$2:K328,K328,$L$2:L328,L328,$M$2:M328,M328,$J$2:J328,J328)=1,1,0)</f>
        <v>1</v>
      </c>
      <c r="P328" s="1" t="n">
        <f aca="false">IF(AND(N328=1,S328=1,COUNTIFS($L$2:L328,L328,$J$2:J328,J328,$N$2:N328,1,$S$2:S328,1)=1),1,0)</f>
        <v>0</v>
      </c>
      <c r="Q328" s="1" t="n">
        <f aca="false">IF(AND(N328=1,S328=1,COUNTIFS($L$2:L328,L328,$K$2:K328,K328,$N$2:N328,1,$S$2:S328,1)=1),1,0)</f>
        <v>0</v>
      </c>
      <c r="R328" s="1" t="n">
        <f aca="false">IF(AND(N328=1,COUNTIFS($K$2:K328,K328,$L$2:L328,L328,$J$2:J328,J328,$N$2:N328,1)=1),1,0)</f>
        <v>0</v>
      </c>
      <c r="S328" s="1" t="n">
        <f aca="false">IF(AND(K328&lt;&gt;"Context and provider model",K328&lt;&gt;"Motivation"),1,0)</f>
        <v>1</v>
      </c>
    </row>
    <row r="329" customFormat="false" ht="15" hidden="false" customHeight="true" outlineLevel="0" collapsed="false">
      <c r="J329" s="1" t="str">
        <f aca="false">'Raw Atomic Data (Pro)'!A329</f>
        <v>Shania</v>
      </c>
      <c r="K329" s="1" t="str">
        <f aca="false">'Raw Atomic Data (Pro)'!C329</f>
        <v>Evaluation and meet-and-greet</v>
      </c>
      <c r="L329" s="1" t="str">
        <f aca="false">'Raw Atomic Data (Pro)'!D329</f>
        <v>meet-and-greet-process</v>
      </c>
      <c r="M329" s="1" t="str">
        <f aca="false">'Raw Atomic Data (Pro)'!E329</f>
        <v>fact</v>
      </c>
      <c r="N329" s="1" t="n">
        <f aca="false">IF(OR(M329="friction",M329="need",M329="workaround"),1,0)</f>
        <v>0</v>
      </c>
      <c r="O329" s="1" t="n">
        <f aca="false">IF(COUNTIFS($K$2:K329,K329,$L$2:L329,L329,$M$2:M329,M329,$J$2:J329,J329)=1,1,0)</f>
        <v>1</v>
      </c>
      <c r="P329" s="1" t="n">
        <f aca="false">IF(AND(N329=1,S329=1,COUNTIFS($L$2:L329,L329,$J$2:J329,J329,$N$2:N329,1,$S$2:S329,1)=1),1,0)</f>
        <v>0</v>
      </c>
      <c r="Q329" s="1" t="n">
        <f aca="false">IF(AND(N329=1,S329=1,COUNTIFS($L$2:L329,L329,$K$2:K329,K329,$N$2:N329,1,$S$2:S329,1)=1),1,0)</f>
        <v>0</v>
      </c>
      <c r="R329" s="1" t="n">
        <f aca="false">IF(AND(N329=1,COUNTIFS($K$2:K329,K329,$L$2:L329,L329,$J$2:J329,J329,$N$2:N329,1)=1),1,0)</f>
        <v>0</v>
      </c>
      <c r="S329" s="1" t="n">
        <f aca="false">IF(AND(K329&lt;&gt;"Context and provider model",K329&lt;&gt;"Motivation"),1,0)</f>
        <v>1</v>
      </c>
    </row>
    <row r="330" customFormat="false" ht="15" hidden="false" customHeight="true" outlineLevel="0" collapsed="false">
      <c r="J330" s="1" t="str">
        <f aca="false">'Raw Atomic Data (Pro)'!A330</f>
        <v>Shania</v>
      </c>
      <c r="K330" s="1" t="str">
        <f aca="false">'Raw Atomic Data (Pro)'!C330</f>
        <v>Evaluation and meet-and-greet</v>
      </c>
      <c r="L330" s="1" t="str">
        <f aca="false">'Raw Atomic Data (Pro)'!D330</f>
        <v>meet-and-greet-process</v>
      </c>
      <c r="M330" s="1" t="str">
        <f aca="false">'Raw Atomic Data (Pro)'!E330</f>
        <v>fact</v>
      </c>
      <c r="N330" s="1" t="n">
        <f aca="false">IF(OR(M330="friction",M330="need",M330="workaround"),1,0)</f>
        <v>0</v>
      </c>
      <c r="O330" s="1" t="n">
        <f aca="false">IF(COUNTIFS($K$2:K330,K330,$L$2:L330,L330,$M$2:M330,M330,$J$2:J330,J330)=1,1,0)</f>
        <v>0</v>
      </c>
      <c r="P330" s="1" t="n">
        <f aca="false">IF(AND(N330=1,S330=1,COUNTIFS($L$2:L330,L330,$J$2:J330,J330,$N$2:N330,1,$S$2:S330,1)=1),1,0)</f>
        <v>0</v>
      </c>
      <c r="Q330" s="1" t="n">
        <f aca="false">IF(AND(N330=1,S330=1,COUNTIFS($L$2:L330,L330,$K$2:K330,K330,$N$2:N330,1,$S$2:S330,1)=1),1,0)</f>
        <v>0</v>
      </c>
      <c r="R330" s="1" t="n">
        <f aca="false">IF(AND(N330=1,COUNTIFS($K$2:K330,K330,$L$2:L330,L330,$J$2:J330,J330,$N$2:N330,1)=1),1,0)</f>
        <v>0</v>
      </c>
      <c r="S330" s="1" t="n">
        <f aca="false">IF(AND(K330&lt;&gt;"Context and provider model",K330&lt;&gt;"Motivation"),1,0)</f>
        <v>1</v>
      </c>
    </row>
    <row r="331" customFormat="false" ht="15" hidden="false" customHeight="true" outlineLevel="0" collapsed="false">
      <c r="J331" s="1" t="str">
        <f aca="false">'Raw Atomic Data (Pro)'!A331</f>
        <v>Shania</v>
      </c>
      <c r="K331" s="1" t="str">
        <f aca="false">'Raw Atomic Data (Pro)'!C331</f>
        <v>Evaluation and meet-and-greet</v>
      </c>
      <c r="L331" s="1" t="str">
        <f aca="false">'Raw Atomic Data (Pro)'!D331</f>
        <v>meet-and-greet-process</v>
      </c>
      <c r="M331" s="1" t="str">
        <f aca="false">'Raw Atomic Data (Pro)'!E331</f>
        <v>fact</v>
      </c>
      <c r="N331" s="1" t="n">
        <f aca="false">IF(OR(M331="friction",M331="need",M331="workaround"),1,0)</f>
        <v>0</v>
      </c>
      <c r="O331" s="1" t="n">
        <f aca="false">IF(COUNTIFS($K$2:K331,K331,$L$2:L331,L331,$M$2:M331,M331,$J$2:J331,J331)=1,1,0)</f>
        <v>0</v>
      </c>
      <c r="P331" s="1" t="n">
        <f aca="false">IF(AND(N331=1,S331=1,COUNTIFS($L$2:L331,L331,$J$2:J331,J331,$N$2:N331,1,$S$2:S331,1)=1),1,0)</f>
        <v>0</v>
      </c>
      <c r="Q331" s="1" t="n">
        <f aca="false">IF(AND(N331=1,S331=1,COUNTIFS($L$2:L331,L331,$K$2:K331,K331,$N$2:N331,1,$S$2:S331,1)=1),1,0)</f>
        <v>0</v>
      </c>
      <c r="R331" s="1" t="n">
        <f aca="false">IF(AND(N331=1,COUNTIFS($K$2:K331,K331,$L$2:L331,L331,$J$2:J331,J331,$N$2:N331,1)=1),1,0)</f>
        <v>0</v>
      </c>
      <c r="S331" s="1" t="n">
        <f aca="false">IF(AND(K331&lt;&gt;"Context and provider model",K331&lt;&gt;"Motivation"),1,0)</f>
        <v>1</v>
      </c>
    </row>
    <row r="332" customFormat="false" ht="15" hidden="false" customHeight="true" outlineLevel="0" collapsed="false">
      <c r="J332" s="1" t="str">
        <f aca="false">'Raw Atomic Data (Pro)'!A332</f>
        <v>Shania</v>
      </c>
      <c r="K332" s="1" t="str">
        <f aca="false">'Raw Atomic Data (Pro)'!C332</f>
        <v>Evaluation and meet-and-greet</v>
      </c>
      <c r="L332" s="1" t="str">
        <f aca="false">'Raw Atomic Data (Pro)'!D332</f>
        <v>care-instructions-handoff</v>
      </c>
      <c r="M332" s="1" t="str">
        <f aca="false">'Raw Atomic Data (Pro)'!E332</f>
        <v>fact</v>
      </c>
      <c r="N332" s="1" t="n">
        <f aca="false">IF(OR(M332="friction",M332="need",M332="workaround"),1,0)</f>
        <v>0</v>
      </c>
      <c r="O332" s="1" t="n">
        <f aca="false">IF(COUNTIFS($K$2:K332,K332,$L$2:L332,L332,$M$2:M332,M332,$J$2:J332,J332)=1,1,0)</f>
        <v>1</v>
      </c>
      <c r="P332" s="1" t="n">
        <f aca="false">IF(AND(N332=1,S332=1,COUNTIFS($L$2:L332,L332,$J$2:J332,J332,$N$2:N332,1,$S$2:S332,1)=1),1,0)</f>
        <v>0</v>
      </c>
      <c r="Q332" s="1" t="n">
        <f aca="false">IF(AND(N332=1,S332=1,COUNTIFS($L$2:L332,L332,$K$2:K332,K332,$N$2:N332,1,$S$2:S332,1)=1),1,0)</f>
        <v>0</v>
      </c>
      <c r="R332" s="1" t="n">
        <f aca="false">IF(AND(N332=1,COUNTIFS($K$2:K332,K332,$L$2:L332,L332,$J$2:J332,J332,$N$2:N332,1)=1),1,0)</f>
        <v>0</v>
      </c>
      <c r="S332" s="1" t="n">
        <f aca="false">IF(AND(K332&lt;&gt;"Context and provider model",K332&lt;&gt;"Motivation"),1,0)</f>
        <v>1</v>
      </c>
    </row>
    <row r="333" customFormat="false" ht="15" hidden="false" customHeight="true" outlineLevel="0" collapsed="false">
      <c r="J333" s="1" t="str">
        <f aca="false">'Raw Atomic Data (Pro)'!A333</f>
        <v>Shania</v>
      </c>
      <c r="K333" s="1" t="str">
        <f aca="false">'Raw Atomic Data (Pro)'!C333</f>
        <v>Evaluation and meet-and-greet</v>
      </c>
      <c r="L333" s="1" t="str">
        <f aca="false">'Raw Atomic Data (Pro)'!D333</f>
        <v>meet-and-greet-process</v>
      </c>
      <c r="M333" s="1" t="str">
        <f aca="false">'Raw Atomic Data (Pro)'!E333</f>
        <v>value-statement</v>
      </c>
      <c r="N333" s="1" t="n">
        <f aca="false">IF(OR(M333="friction",M333="need",M333="workaround"),1,0)</f>
        <v>0</v>
      </c>
      <c r="O333" s="1" t="n">
        <f aca="false">IF(COUNTIFS($K$2:K333,K333,$L$2:L333,L333,$M$2:M333,M333,$J$2:J333,J333)=1,1,0)</f>
        <v>0</v>
      </c>
      <c r="P333" s="1" t="n">
        <f aca="false">IF(AND(N333=1,S333=1,COUNTIFS($L$2:L333,L333,$J$2:J333,J333,$N$2:N333,1,$S$2:S333,1)=1),1,0)</f>
        <v>0</v>
      </c>
      <c r="Q333" s="1" t="n">
        <f aca="false">IF(AND(N333=1,S333=1,COUNTIFS($L$2:L333,L333,$K$2:K333,K333,$N$2:N333,1,$S$2:S333,1)=1),1,0)</f>
        <v>0</v>
      </c>
      <c r="R333" s="1" t="n">
        <f aca="false">IF(AND(N333=1,COUNTIFS($K$2:K333,K333,$L$2:L333,L333,$J$2:J333,J333,$N$2:N333,1)=1),1,0)</f>
        <v>0</v>
      </c>
      <c r="S333" s="1" t="n">
        <f aca="false">IF(AND(K333&lt;&gt;"Context and provider model",K333&lt;&gt;"Motivation"),1,0)</f>
        <v>1</v>
      </c>
    </row>
    <row r="334" customFormat="false" ht="15" hidden="false" customHeight="true" outlineLevel="0" collapsed="false">
      <c r="J334" s="1" t="str">
        <f aca="false">'Raw Atomic Data (Pro)'!A334</f>
        <v>Shania</v>
      </c>
      <c r="K334" s="1" t="str">
        <f aca="false">'Raw Atomic Data (Pro)'!C334</f>
        <v>Evaluation and meet-and-greet</v>
      </c>
      <c r="L334" s="1" t="str">
        <f aca="false">'Raw Atomic Data (Pro)'!D334</f>
        <v>meet-and-greet-process</v>
      </c>
      <c r="M334" s="1" t="str">
        <f aca="false">'Raw Atomic Data (Pro)'!E334</f>
        <v>fact</v>
      </c>
      <c r="N334" s="1" t="n">
        <f aca="false">IF(OR(M334="friction",M334="need",M334="workaround"),1,0)</f>
        <v>0</v>
      </c>
      <c r="O334" s="1" t="n">
        <f aca="false">IF(COUNTIFS($K$2:K334,K334,$L$2:L334,L334,$M$2:M334,M334,$J$2:J334,J334)=1,1,0)</f>
        <v>0</v>
      </c>
      <c r="P334" s="1" t="n">
        <f aca="false">IF(AND(N334=1,S334=1,COUNTIFS($L$2:L334,L334,$J$2:J334,J334,$N$2:N334,1,$S$2:S334,1)=1),1,0)</f>
        <v>0</v>
      </c>
      <c r="Q334" s="1" t="n">
        <f aca="false">IF(AND(N334=1,S334=1,COUNTIFS($L$2:L334,L334,$K$2:K334,K334,$N$2:N334,1,$S$2:S334,1)=1),1,0)</f>
        <v>0</v>
      </c>
      <c r="R334" s="1" t="n">
        <f aca="false">IF(AND(N334=1,COUNTIFS($K$2:K334,K334,$L$2:L334,L334,$J$2:J334,J334,$N$2:N334,1)=1),1,0)</f>
        <v>0</v>
      </c>
      <c r="S334" s="1" t="n">
        <f aca="false">IF(AND(K334&lt;&gt;"Context and provider model",K334&lt;&gt;"Motivation"),1,0)</f>
        <v>1</v>
      </c>
    </row>
    <row r="335" customFormat="false" ht="15" hidden="false" customHeight="true" outlineLevel="0" collapsed="false">
      <c r="J335" s="1" t="str">
        <f aca="false">'Raw Atomic Data (Pro)'!A335</f>
        <v>Tianrui</v>
      </c>
      <c r="K335" s="1" t="str">
        <f aca="false">'Raw Atomic Data (Pro)'!C335</f>
        <v>Evaluation and meet-and-greet</v>
      </c>
      <c r="L335" s="1" t="str">
        <f aca="false">'Raw Atomic Data (Pro)'!D335</f>
        <v>client-dog-screening-criteria</v>
      </c>
      <c r="M335" s="1" t="str">
        <f aca="false">'Raw Atomic Data (Pro)'!E335</f>
        <v>fact</v>
      </c>
      <c r="N335" s="1" t="n">
        <f aca="false">IF(OR(M335="friction",M335="need",M335="workaround"),1,0)</f>
        <v>0</v>
      </c>
      <c r="O335" s="1" t="n">
        <f aca="false">IF(COUNTIFS($K$2:K335,K335,$L$2:L335,L335,$M$2:M335,M335,$J$2:J335,J335)=1,1,0)</f>
        <v>1</v>
      </c>
      <c r="P335" s="1" t="n">
        <f aca="false">IF(AND(N335=1,S335=1,COUNTIFS($L$2:L335,L335,$J$2:J335,J335,$N$2:N335,1,$S$2:S335,1)=1),1,0)</f>
        <v>0</v>
      </c>
      <c r="Q335" s="1" t="n">
        <f aca="false">IF(AND(N335=1,S335=1,COUNTIFS($L$2:L335,L335,$K$2:K335,K335,$N$2:N335,1,$S$2:S335,1)=1),1,0)</f>
        <v>0</v>
      </c>
      <c r="R335" s="1" t="n">
        <f aca="false">IF(AND(N335=1,COUNTIFS($K$2:K335,K335,$L$2:L335,L335,$J$2:J335,J335,$N$2:N335,1)=1),1,0)</f>
        <v>0</v>
      </c>
      <c r="S335" s="1" t="n">
        <f aca="false">IF(AND(K335&lt;&gt;"Context and provider model",K335&lt;&gt;"Motivation"),1,0)</f>
        <v>1</v>
      </c>
    </row>
    <row r="336" customFormat="false" ht="15" hidden="false" customHeight="true" outlineLevel="0" collapsed="false">
      <c r="J336" s="1" t="str">
        <f aca="false">'Raw Atomic Data (Pro)'!A336</f>
        <v>Tianrui</v>
      </c>
      <c r="K336" s="1" t="str">
        <f aca="false">'Raw Atomic Data (Pro)'!C336</f>
        <v>Evaluation and meet-and-greet</v>
      </c>
      <c r="L336" s="1" t="str">
        <f aca="false">'Raw Atomic Data (Pro)'!D336</f>
        <v>client-dog-screening-criteria</v>
      </c>
      <c r="M336" s="1" t="str">
        <f aca="false">'Raw Atomic Data (Pro)'!E336</f>
        <v>fact</v>
      </c>
      <c r="N336" s="1" t="n">
        <f aca="false">IF(OR(M336="friction",M336="need",M336="workaround"),1,0)</f>
        <v>0</v>
      </c>
      <c r="O336" s="1" t="n">
        <f aca="false">IF(COUNTIFS($K$2:K336,K336,$L$2:L336,L336,$M$2:M336,M336,$J$2:J336,J336)=1,1,0)</f>
        <v>0</v>
      </c>
      <c r="P336" s="1" t="n">
        <f aca="false">IF(AND(N336=1,S336=1,COUNTIFS($L$2:L336,L336,$J$2:J336,J336,$N$2:N336,1,$S$2:S336,1)=1),1,0)</f>
        <v>0</v>
      </c>
      <c r="Q336" s="1" t="n">
        <f aca="false">IF(AND(N336=1,S336=1,COUNTIFS($L$2:L336,L336,$K$2:K336,K336,$N$2:N336,1,$S$2:S336,1)=1),1,0)</f>
        <v>0</v>
      </c>
      <c r="R336" s="1" t="n">
        <f aca="false">IF(AND(N336=1,COUNTIFS($K$2:K336,K336,$L$2:L336,L336,$J$2:J336,J336,$N$2:N336,1)=1),1,0)</f>
        <v>0</v>
      </c>
      <c r="S336" s="1" t="n">
        <f aca="false">IF(AND(K336&lt;&gt;"Context and provider model",K336&lt;&gt;"Motivation"),1,0)</f>
        <v>1</v>
      </c>
    </row>
    <row r="337" customFormat="false" ht="15" hidden="false" customHeight="true" outlineLevel="0" collapsed="false">
      <c r="J337" s="1" t="str">
        <f aca="false">'Raw Atomic Data (Pro)'!A337</f>
        <v>Tianrui</v>
      </c>
      <c r="K337" s="1" t="str">
        <f aca="false">'Raw Atomic Data (Pro)'!C337</f>
        <v>Evaluation and meet-and-greet</v>
      </c>
      <c r="L337" s="1" t="str">
        <f aca="false">'Raw Atomic Data (Pro)'!D337</f>
        <v>client-dog-screening-criteria</v>
      </c>
      <c r="M337" s="1" t="str">
        <f aca="false">'Raw Atomic Data (Pro)'!E337</f>
        <v>fact</v>
      </c>
      <c r="N337" s="1" t="n">
        <f aca="false">IF(OR(M337="friction",M337="need",M337="workaround"),1,0)</f>
        <v>0</v>
      </c>
      <c r="O337" s="1" t="n">
        <f aca="false">IF(COUNTIFS($K$2:K337,K337,$L$2:L337,L337,$M$2:M337,M337,$J$2:J337,J337)=1,1,0)</f>
        <v>0</v>
      </c>
      <c r="P337" s="1" t="n">
        <f aca="false">IF(AND(N337=1,S337=1,COUNTIFS($L$2:L337,L337,$J$2:J337,J337,$N$2:N337,1,$S$2:S337,1)=1),1,0)</f>
        <v>0</v>
      </c>
      <c r="Q337" s="1" t="n">
        <f aca="false">IF(AND(N337=1,S337=1,COUNTIFS($L$2:L337,L337,$K$2:K337,K337,$N$2:N337,1,$S$2:S337,1)=1),1,0)</f>
        <v>0</v>
      </c>
      <c r="R337" s="1" t="n">
        <f aca="false">IF(AND(N337=1,COUNTIFS($K$2:K337,K337,$L$2:L337,L337,$J$2:J337,J337,$N$2:N337,1)=1),1,0)</f>
        <v>0</v>
      </c>
      <c r="S337" s="1" t="n">
        <f aca="false">IF(AND(K337&lt;&gt;"Context and provider model",K337&lt;&gt;"Motivation"),1,0)</f>
        <v>1</v>
      </c>
    </row>
    <row r="338" customFormat="false" ht="15" hidden="false" customHeight="true" outlineLevel="0" collapsed="false">
      <c r="J338" s="1" t="str">
        <f aca="false">'Raw Atomic Data (Pro)'!A338</f>
        <v>Tianrui</v>
      </c>
      <c r="K338" s="1" t="str">
        <f aca="false">'Raw Atomic Data (Pro)'!C338</f>
        <v>Evaluation and meet-and-greet</v>
      </c>
      <c r="L338" s="1" t="str">
        <f aca="false">'Raw Atomic Data (Pro)'!D338</f>
        <v>meet-and-greet-process</v>
      </c>
      <c r="M338" s="1" t="str">
        <f aca="false">'Raw Atomic Data (Pro)'!E338</f>
        <v>fact</v>
      </c>
      <c r="N338" s="1" t="n">
        <f aca="false">IF(OR(M338="friction",M338="need",M338="workaround"),1,0)</f>
        <v>0</v>
      </c>
      <c r="O338" s="1" t="n">
        <f aca="false">IF(COUNTIFS($K$2:K338,K338,$L$2:L338,L338,$M$2:M338,M338,$J$2:J338,J338)=1,1,0)</f>
        <v>1</v>
      </c>
      <c r="P338" s="1" t="n">
        <f aca="false">IF(AND(N338=1,S338=1,COUNTIFS($L$2:L338,L338,$J$2:J338,J338,$N$2:N338,1,$S$2:S338,1)=1),1,0)</f>
        <v>0</v>
      </c>
      <c r="Q338" s="1" t="n">
        <f aca="false">IF(AND(N338=1,S338=1,COUNTIFS($L$2:L338,L338,$K$2:K338,K338,$N$2:N338,1,$S$2:S338,1)=1),1,0)</f>
        <v>0</v>
      </c>
      <c r="R338" s="1" t="n">
        <f aca="false">IF(AND(N338=1,COUNTIFS($K$2:K338,K338,$L$2:L338,L338,$J$2:J338,J338,$N$2:N338,1)=1),1,0)</f>
        <v>0</v>
      </c>
      <c r="S338" s="1" t="n">
        <f aca="false">IF(AND(K338&lt;&gt;"Context and provider model",K338&lt;&gt;"Motivation"),1,0)</f>
        <v>1</v>
      </c>
    </row>
    <row r="339" customFormat="false" ht="15" hidden="false" customHeight="true" outlineLevel="0" collapsed="false">
      <c r="J339" s="1" t="str">
        <f aca="false">'Raw Atomic Data (Pro)'!A339</f>
        <v>Tianrui</v>
      </c>
      <c r="K339" s="1" t="str">
        <f aca="false">'Raw Atomic Data (Pro)'!C339</f>
        <v>Evaluation and meet-and-greet</v>
      </c>
      <c r="L339" s="1" t="str">
        <f aca="false">'Raw Atomic Data (Pro)'!D339</f>
        <v>meet-and-greet-process</v>
      </c>
      <c r="M339" s="1" t="str">
        <f aca="false">'Raw Atomic Data (Pro)'!E339</f>
        <v>value-statement</v>
      </c>
      <c r="N339" s="1" t="n">
        <f aca="false">IF(OR(M339="friction",M339="need",M339="workaround"),1,0)</f>
        <v>0</v>
      </c>
      <c r="O339" s="1" t="n">
        <f aca="false">IF(COUNTIFS($K$2:K339,K339,$L$2:L339,L339,$M$2:M339,M339,$J$2:J339,J339)=1,1,0)</f>
        <v>1</v>
      </c>
      <c r="P339" s="1" t="n">
        <f aca="false">IF(AND(N339=1,S339=1,COUNTIFS($L$2:L339,L339,$J$2:J339,J339,$N$2:N339,1,$S$2:S339,1)=1),1,0)</f>
        <v>0</v>
      </c>
      <c r="Q339" s="1" t="n">
        <f aca="false">IF(AND(N339=1,S339=1,COUNTIFS($L$2:L339,L339,$K$2:K339,K339,$N$2:N339,1,$S$2:S339,1)=1),1,0)</f>
        <v>0</v>
      </c>
      <c r="R339" s="1" t="n">
        <f aca="false">IF(AND(N339=1,COUNTIFS($K$2:K339,K339,$L$2:L339,L339,$J$2:J339,J339,$N$2:N339,1)=1),1,0)</f>
        <v>0</v>
      </c>
      <c r="S339" s="1" t="n">
        <f aca="false">IF(AND(K339&lt;&gt;"Context and provider model",K339&lt;&gt;"Motivation"),1,0)</f>
        <v>1</v>
      </c>
    </row>
    <row r="340" customFormat="false" ht="15" hidden="false" customHeight="true" outlineLevel="0" collapsed="false">
      <c r="J340" s="1" t="str">
        <f aca="false">'Raw Atomic Data (Pro)'!A340</f>
        <v>Tianrui</v>
      </c>
      <c r="K340" s="1" t="str">
        <f aca="false">'Raw Atomic Data (Pro)'!C340</f>
        <v>Evaluation and meet-and-greet</v>
      </c>
      <c r="L340" s="1" t="str">
        <f aca="false">'Raw Atomic Data (Pro)'!D340</f>
        <v>meet-and-greet-process</v>
      </c>
      <c r="M340" s="1" t="str">
        <f aca="false">'Raw Atomic Data (Pro)'!E340</f>
        <v>fact</v>
      </c>
      <c r="N340" s="1" t="n">
        <f aca="false">IF(OR(M340="friction",M340="need",M340="workaround"),1,0)</f>
        <v>0</v>
      </c>
      <c r="O340" s="1" t="n">
        <f aca="false">IF(COUNTIFS($K$2:K340,K340,$L$2:L340,L340,$M$2:M340,M340,$J$2:J340,J340)=1,1,0)</f>
        <v>0</v>
      </c>
      <c r="P340" s="1" t="n">
        <f aca="false">IF(AND(N340=1,S340=1,COUNTIFS($L$2:L340,L340,$J$2:J340,J340,$N$2:N340,1,$S$2:S340,1)=1),1,0)</f>
        <v>0</v>
      </c>
      <c r="Q340" s="1" t="n">
        <f aca="false">IF(AND(N340=1,S340=1,COUNTIFS($L$2:L340,L340,$K$2:K340,K340,$N$2:N340,1,$S$2:S340,1)=1),1,0)</f>
        <v>0</v>
      </c>
      <c r="R340" s="1" t="n">
        <f aca="false">IF(AND(N340=1,COUNTIFS($K$2:K340,K340,$L$2:L340,L340,$J$2:J340,J340,$N$2:N340,1)=1),1,0)</f>
        <v>0</v>
      </c>
      <c r="S340" s="1" t="n">
        <f aca="false">IF(AND(K340&lt;&gt;"Context and provider model",K340&lt;&gt;"Motivation"),1,0)</f>
        <v>1</v>
      </c>
    </row>
    <row r="341" customFormat="false" ht="15" hidden="false" customHeight="true" outlineLevel="0" collapsed="false">
      <c r="J341" s="1" t="str">
        <f aca="false">'Raw Atomic Data (Pro)'!A341</f>
        <v>Tianrui</v>
      </c>
      <c r="K341" s="1" t="str">
        <f aca="false">'Raw Atomic Data (Pro)'!C341</f>
        <v>Evaluation and meet-and-greet</v>
      </c>
      <c r="L341" s="1" t="str">
        <f aca="false">'Raw Atomic Data (Pro)'!D341</f>
        <v>meet-and-greet-process</v>
      </c>
      <c r="M341" s="1" t="str">
        <f aca="false">'Raw Atomic Data (Pro)'!E341</f>
        <v>fact</v>
      </c>
      <c r="N341" s="1" t="n">
        <f aca="false">IF(OR(M341="friction",M341="need",M341="workaround"),1,0)</f>
        <v>0</v>
      </c>
      <c r="O341" s="1" t="n">
        <f aca="false">IF(COUNTIFS($K$2:K341,K341,$L$2:L341,L341,$M$2:M341,M341,$J$2:J341,J341)=1,1,0)</f>
        <v>0</v>
      </c>
      <c r="P341" s="1" t="n">
        <f aca="false">IF(AND(N341=1,S341=1,COUNTIFS($L$2:L341,L341,$J$2:J341,J341,$N$2:N341,1,$S$2:S341,1)=1),1,0)</f>
        <v>0</v>
      </c>
      <c r="Q341" s="1" t="n">
        <f aca="false">IF(AND(N341=1,S341=1,COUNTIFS($L$2:L341,L341,$K$2:K341,K341,$N$2:N341,1,$S$2:S341,1)=1),1,0)</f>
        <v>0</v>
      </c>
      <c r="R341" s="1" t="n">
        <f aca="false">IF(AND(N341=1,COUNTIFS($K$2:K341,K341,$L$2:L341,L341,$J$2:J341,J341,$N$2:N341,1)=1),1,0)</f>
        <v>0</v>
      </c>
      <c r="S341" s="1" t="n">
        <f aca="false">IF(AND(K341&lt;&gt;"Context and provider model",K341&lt;&gt;"Motivation"),1,0)</f>
        <v>1</v>
      </c>
    </row>
    <row r="342" customFormat="false" ht="15" hidden="false" customHeight="true" outlineLevel="0" collapsed="false">
      <c r="J342" s="1" t="str">
        <f aca="false">'Raw Atomic Data (Pro)'!A342</f>
        <v>Tianrui</v>
      </c>
      <c r="K342" s="1" t="str">
        <f aca="false">'Raw Atomic Data (Pro)'!C342</f>
        <v>Evaluation and meet-and-greet</v>
      </c>
      <c r="L342" s="1" t="str">
        <f aca="false">'Raw Atomic Data (Pro)'!D342</f>
        <v>meet-and-greet-process</v>
      </c>
      <c r="M342" s="1" t="str">
        <f aca="false">'Raw Atomic Data (Pro)'!E342</f>
        <v>fact</v>
      </c>
      <c r="N342" s="1" t="n">
        <f aca="false">IF(OR(M342="friction",M342="need",M342="workaround"),1,0)</f>
        <v>0</v>
      </c>
      <c r="O342" s="1" t="n">
        <f aca="false">IF(COUNTIFS($K$2:K342,K342,$L$2:L342,L342,$M$2:M342,M342,$J$2:J342,J342)=1,1,0)</f>
        <v>0</v>
      </c>
      <c r="P342" s="1" t="n">
        <f aca="false">IF(AND(N342=1,S342=1,COUNTIFS($L$2:L342,L342,$J$2:J342,J342,$N$2:N342,1,$S$2:S342,1)=1),1,0)</f>
        <v>0</v>
      </c>
      <c r="Q342" s="1" t="n">
        <f aca="false">IF(AND(N342=1,S342=1,COUNTIFS($L$2:L342,L342,$K$2:K342,K342,$N$2:N342,1,$S$2:S342,1)=1),1,0)</f>
        <v>0</v>
      </c>
      <c r="R342" s="1" t="n">
        <f aca="false">IF(AND(N342=1,COUNTIFS($K$2:K342,K342,$L$2:L342,L342,$J$2:J342,J342,$N$2:N342,1)=1),1,0)</f>
        <v>0</v>
      </c>
      <c r="S342" s="1" t="n">
        <f aca="false">IF(AND(K342&lt;&gt;"Context and provider model",K342&lt;&gt;"Motivation"),1,0)</f>
        <v>1</v>
      </c>
    </row>
    <row r="343" customFormat="false" ht="15" hidden="false" customHeight="true" outlineLevel="0" collapsed="false">
      <c r="J343" s="1" t="str">
        <f aca="false">'Raw Atomic Data (Pro)'!A343</f>
        <v>Tianrui</v>
      </c>
      <c r="K343" s="1" t="str">
        <f aca="false">'Raw Atomic Data (Pro)'!C343</f>
        <v>Evaluation and meet-and-greet</v>
      </c>
      <c r="L343" s="1" t="str">
        <f aca="false">'Raw Atomic Data (Pro)'!D343</f>
        <v>booking-confirmation-mechanics</v>
      </c>
      <c r="M343" s="1" t="str">
        <f aca="false">'Raw Atomic Data (Pro)'!E343</f>
        <v>fact</v>
      </c>
      <c r="N343" s="1" t="n">
        <f aca="false">IF(OR(M343="friction",M343="need",M343="workaround"),1,0)</f>
        <v>0</v>
      </c>
      <c r="O343" s="1" t="n">
        <f aca="false">IF(COUNTIFS($K$2:K343,K343,$L$2:L343,L343,$M$2:M343,M343,$J$2:J343,J343)=1,1,0)</f>
        <v>1</v>
      </c>
      <c r="P343" s="1" t="n">
        <f aca="false">IF(AND(N343=1,S343=1,COUNTIFS($L$2:L343,L343,$J$2:J343,J343,$N$2:N343,1,$S$2:S343,1)=1),1,0)</f>
        <v>0</v>
      </c>
      <c r="Q343" s="1" t="n">
        <f aca="false">IF(AND(N343=1,S343=1,COUNTIFS($L$2:L343,L343,$K$2:K343,K343,$N$2:N343,1,$S$2:S343,1)=1),1,0)</f>
        <v>0</v>
      </c>
      <c r="R343" s="1" t="n">
        <f aca="false">IF(AND(N343=1,COUNTIFS($K$2:K343,K343,$L$2:L343,L343,$J$2:J343,J343,$N$2:N343,1)=1),1,0)</f>
        <v>0</v>
      </c>
      <c r="S343" s="1" t="n">
        <f aca="false">IF(AND(K343&lt;&gt;"Context and provider model",K343&lt;&gt;"Motivation"),1,0)</f>
        <v>1</v>
      </c>
    </row>
    <row r="344" customFormat="false" ht="15" hidden="false" customHeight="true" outlineLevel="0" collapsed="false">
      <c r="J344" s="1" t="str">
        <f aca="false">'Raw Atomic Data (Pro)'!A344</f>
        <v>Tifany</v>
      </c>
      <c r="K344" s="1" t="str">
        <f aca="false">'Raw Atomic Data (Pro)'!C344</f>
        <v>Evaluation and meet-and-greet</v>
      </c>
      <c r="L344" s="1" t="str">
        <f aca="false">'Raw Atomic Data (Pro)'!D344</f>
        <v>client-dog-screening-criteria</v>
      </c>
      <c r="M344" s="1" t="str">
        <f aca="false">'Raw Atomic Data (Pro)'!E344</f>
        <v>fact</v>
      </c>
      <c r="N344" s="1" t="n">
        <f aca="false">IF(OR(M344="friction",M344="need",M344="workaround"),1,0)</f>
        <v>0</v>
      </c>
      <c r="O344" s="1" t="n">
        <f aca="false">IF(COUNTIFS($K$2:K344,K344,$L$2:L344,L344,$M$2:M344,M344,$J$2:J344,J344)=1,1,0)</f>
        <v>1</v>
      </c>
      <c r="P344" s="1" t="n">
        <f aca="false">IF(AND(N344=1,S344=1,COUNTIFS($L$2:L344,L344,$J$2:J344,J344,$N$2:N344,1,$S$2:S344,1)=1),1,0)</f>
        <v>0</v>
      </c>
      <c r="Q344" s="1" t="n">
        <f aca="false">IF(AND(N344=1,S344=1,COUNTIFS($L$2:L344,L344,$K$2:K344,K344,$N$2:N344,1,$S$2:S344,1)=1),1,0)</f>
        <v>0</v>
      </c>
      <c r="R344" s="1" t="n">
        <f aca="false">IF(AND(N344=1,COUNTIFS($K$2:K344,K344,$L$2:L344,L344,$J$2:J344,J344,$N$2:N344,1)=1),1,0)</f>
        <v>0</v>
      </c>
      <c r="S344" s="1" t="n">
        <f aca="false">IF(AND(K344&lt;&gt;"Context and provider model",K344&lt;&gt;"Motivation"),1,0)</f>
        <v>1</v>
      </c>
    </row>
    <row r="345" customFormat="false" ht="15" hidden="false" customHeight="true" outlineLevel="0" collapsed="false">
      <c r="J345" s="1" t="str">
        <f aca="false">'Raw Atomic Data (Pro)'!A345</f>
        <v>Tifany</v>
      </c>
      <c r="K345" s="1" t="str">
        <f aca="false">'Raw Atomic Data (Pro)'!C345</f>
        <v>Evaluation and meet-and-greet</v>
      </c>
      <c r="L345" s="1" t="str">
        <f aca="false">'Raw Atomic Data (Pro)'!D345</f>
        <v>client-dog-screening-criteria</v>
      </c>
      <c r="M345" s="1" t="str">
        <f aca="false">'Raw Atomic Data (Pro)'!E345</f>
        <v>fact</v>
      </c>
      <c r="N345" s="1" t="n">
        <f aca="false">IF(OR(M345="friction",M345="need",M345="workaround"),1,0)</f>
        <v>0</v>
      </c>
      <c r="O345" s="1" t="n">
        <f aca="false">IF(COUNTIFS($K$2:K345,K345,$L$2:L345,L345,$M$2:M345,M345,$J$2:J345,J345)=1,1,0)</f>
        <v>0</v>
      </c>
      <c r="P345" s="1" t="n">
        <f aca="false">IF(AND(N345=1,S345=1,COUNTIFS($L$2:L345,L345,$J$2:J345,J345,$N$2:N345,1,$S$2:S345,1)=1),1,0)</f>
        <v>0</v>
      </c>
      <c r="Q345" s="1" t="n">
        <f aca="false">IF(AND(N345=1,S345=1,COUNTIFS($L$2:L345,L345,$K$2:K345,K345,$N$2:N345,1,$S$2:S345,1)=1),1,0)</f>
        <v>0</v>
      </c>
      <c r="R345" s="1" t="n">
        <f aca="false">IF(AND(N345=1,COUNTIFS($K$2:K345,K345,$L$2:L345,L345,$J$2:J345,J345,$N$2:N345,1)=1),1,0)</f>
        <v>0</v>
      </c>
      <c r="S345" s="1" t="n">
        <f aca="false">IF(AND(K345&lt;&gt;"Context and provider model",K345&lt;&gt;"Motivation"),1,0)</f>
        <v>1</v>
      </c>
    </row>
    <row r="346" customFormat="false" ht="15" hidden="false" customHeight="true" outlineLevel="0" collapsed="false">
      <c r="J346" s="1" t="str">
        <f aca="false">'Raw Atomic Data (Pro)'!A346</f>
        <v>Tifany</v>
      </c>
      <c r="K346" s="1" t="str">
        <f aca="false">'Raw Atomic Data (Pro)'!C346</f>
        <v>Evaluation and meet-and-greet</v>
      </c>
      <c r="L346" s="1" t="str">
        <f aca="false">'Raw Atomic Data (Pro)'!D346</f>
        <v>client-dog-screening-criteria</v>
      </c>
      <c r="M346" s="1" t="str">
        <f aca="false">'Raw Atomic Data (Pro)'!E346</f>
        <v>fact</v>
      </c>
      <c r="N346" s="1" t="n">
        <f aca="false">IF(OR(M346="friction",M346="need",M346="workaround"),1,0)</f>
        <v>0</v>
      </c>
      <c r="O346" s="1" t="n">
        <f aca="false">IF(COUNTIFS($K$2:K346,K346,$L$2:L346,L346,$M$2:M346,M346,$J$2:J346,J346)=1,1,0)</f>
        <v>0</v>
      </c>
      <c r="P346" s="1" t="n">
        <f aca="false">IF(AND(N346=1,S346=1,COUNTIFS($L$2:L346,L346,$J$2:J346,J346,$N$2:N346,1,$S$2:S346,1)=1),1,0)</f>
        <v>0</v>
      </c>
      <c r="Q346" s="1" t="n">
        <f aca="false">IF(AND(N346=1,S346=1,COUNTIFS($L$2:L346,L346,$K$2:K346,K346,$N$2:N346,1,$S$2:S346,1)=1),1,0)</f>
        <v>0</v>
      </c>
      <c r="R346" s="1" t="n">
        <f aca="false">IF(AND(N346=1,COUNTIFS($K$2:K346,K346,$L$2:L346,L346,$J$2:J346,J346,$N$2:N346,1)=1),1,0)</f>
        <v>0</v>
      </c>
      <c r="S346" s="1" t="n">
        <f aca="false">IF(AND(K346&lt;&gt;"Context and provider model",K346&lt;&gt;"Motivation"),1,0)</f>
        <v>1</v>
      </c>
    </row>
    <row r="347" customFormat="false" ht="15" hidden="false" customHeight="true" outlineLevel="0" collapsed="false">
      <c r="J347" s="1" t="str">
        <f aca="false">'Raw Atomic Data (Pro)'!A347</f>
        <v>Tifany</v>
      </c>
      <c r="K347" s="1" t="str">
        <f aca="false">'Raw Atomic Data (Pro)'!C347</f>
        <v>Evaluation and meet-and-greet</v>
      </c>
      <c r="L347" s="1" t="str">
        <f aca="false">'Raw Atomic Data (Pro)'!D347</f>
        <v>client-dog-screening-criteria</v>
      </c>
      <c r="M347" s="1" t="str">
        <f aca="false">'Raw Atomic Data (Pro)'!E347</f>
        <v>fact</v>
      </c>
      <c r="N347" s="1" t="n">
        <f aca="false">IF(OR(M347="friction",M347="need",M347="workaround"),1,0)</f>
        <v>0</v>
      </c>
      <c r="O347" s="1" t="n">
        <f aca="false">IF(COUNTIFS($K$2:K347,K347,$L$2:L347,L347,$M$2:M347,M347,$J$2:J347,J347)=1,1,0)</f>
        <v>0</v>
      </c>
      <c r="P347" s="1" t="n">
        <f aca="false">IF(AND(N347=1,S347=1,COUNTIFS($L$2:L347,L347,$J$2:J347,J347,$N$2:N347,1,$S$2:S347,1)=1),1,0)</f>
        <v>0</v>
      </c>
      <c r="Q347" s="1" t="n">
        <f aca="false">IF(AND(N347=1,S347=1,COUNTIFS($L$2:L347,L347,$K$2:K347,K347,$N$2:N347,1,$S$2:S347,1)=1),1,0)</f>
        <v>0</v>
      </c>
      <c r="R347" s="1" t="n">
        <f aca="false">IF(AND(N347=1,COUNTIFS($K$2:K347,K347,$L$2:L347,L347,$J$2:J347,J347,$N$2:N347,1)=1),1,0)</f>
        <v>0</v>
      </c>
      <c r="S347" s="1" t="n">
        <f aca="false">IF(AND(K347&lt;&gt;"Context and provider model",K347&lt;&gt;"Motivation"),1,0)</f>
        <v>1</v>
      </c>
    </row>
    <row r="348" customFormat="false" ht="15" hidden="false" customHeight="true" outlineLevel="0" collapsed="false">
      <c r="J348" s="1" t="str">
        <f aca="false">'Raw Atomic Data (Pro)'!A348</f>
        <v>Tifany</v>
      </c>
      <c r="K348" s="1" t="str">
        <f aca="false">'Raw Atomic Data (Pro)'!C348</f>
        <v>Evaluation and meet-and-greet</v>
      </c>
      <c r="L348" s="1" t="str">
        <f aca="false">'Raw Atomic Data (Pro)'!D348</f>
        <v>client-dog-screening-criteria</v>
      </c>
      <c r="M348" s="1" t="str">
        <f aca="false">'Raw Atomic Data (Pro)'!E348</f>
        <v>fact</v>
      </c>
      <c r="N348" s="1" t="n">
        <f aca="false">IF(OR(M348="friction",M348="need",M348="workaround"),1,0)</f>
        <v>0</v>
      </c>
      <c r="O348" s="1" t="n">
        <f aca="false">IF(COUNTIFS($K$2:K348,K348,$L$2:L348,L348,$M$2:M348,M348,$J$2:J348,J348)=1,1,0)</f>
        <v>0</v>
      </c>
      <c r="P348" s="1" t="n">
        <f aca="false">IF(AND(N348=1,S348=1,COUNTIFS($L$2:L348,L348,$J$2:J348,J348,$N$2:N348,1,$S$2:S348,1)=1),1,0)</f>
        <v>0</v>
      </c>
      <c r="Q348" s="1" t="n">
        <f aca="false">IF(AND(N348=1,S348=1,COUNTIFS($L$2:L348,L348,$K$2:K348,K348,$N$2:N348,1,$S$2:S348,1)=1),1,0)</f>
        <v>0</v>
      </c>
      <c r="R348" s="1" t="n">
        <f aca="false">IF(AND(N348=1,COUNTIFS($K$2:K348,K348,$L$2:L348,L348,$J$2:J348,J348,$N$2:N348,1)=1),1,0)</f>
        <v>0</v>
      </c>
      <c r="S348" s="1" t="n">
        <f aca="false">IF(AND(K348&lt;&gt;"Context and provider model",K348&lt;&gt;"Motivation"),1,0)</f>
        <v>1</v>
      </c>
    </row>
    <row r="349" customFormat="false" ht="15" hidden="false" customHeight="true" outlineLevel="0" collapsed="false">
      <c r="J349" s="1" t="str">
        <f aca="false">'Raw Atomic Data (Pro)'!A349</f>
        <v>Tifany</v>
      </c>
      <c r="K349" s="1" t="str">
        <f aca="false">'Raw Atomic Data (Pro)'!C349</f>
        <v>Evaluation and meet-and-greet</v>
      </c>
      <c r="L349" s="1" t="str">
        <f aca="false">'Raw Atomic Data (Pro)'!D349</f>
        <v>client-dog-screening-criteria</v>
      </c>
      <c r="M349" s="1" t="str">
        <f aca="false">'Raw Atomic Data (Pro)'!E349</f>
        <v>fact</v>
      </c>
      <c r="N349" s="1" t="n">
        <f aca="false">IF(OR(M349="friction",M349="need",M349="workaround"),1,0)</f>
        <v>0</v>
      </c>
      <c r="O349" s="1" t="n">
        <f aca="false">IF(COUNTIFS($K$2:K349,K349,$L$2:L349,L349,$M$2:M349,M349,$J$2:J349,J349)=1,1,0)</f>
        <v>0</v>
      </c>
      <c r="P349" s="1" t="n">
        <f aca="false">IF(AND(N349=1,S349=1,COUNTIFS($L$2:L349,L349,$J$2:J349,J349,$N$2:N349,1,$S$2:S349,1)=1),1,0)</f>
        <v>0</v>
      </c>
      <c r="Q349" s="1" t="n">
        <f aca="false">IF(AND(N349=1,S349=1,COUNTIFS($L$2:L349,L349,$K$2:K349,K349,$N$2:N349,1,$S$2:S349,1)=1),1,0)</f>
        <v>0</v>
      </c>
      <c r="R349" s="1" t="n">
        <f aca="false">IF(AND(N349=1,COUNTIFS($K$2:K349,K349,$L$2:L349,L349,$J$2:J349,J349,$N$2:N349,1)=1),1,0)</f>
        <v>0</v>
      </c>
      <c r="S349" s="1" t="n">
        <f aca="false">IF(AND(K349&lt;&gt;"Context and provider model",K349&lt;&gt;"Motivation"),1,0)</f>
        <v>1</v>
      </c>
    </row>
    <row r="350" customFormat="false" ht="15" hidden="false" customHeight="true" outlineLevel="0" collapsed="false">
      <c r="J350" s="1" t="str">
        <f aca="false">'Raw Atomic Data (Pro)'!A350</f>
        <v>Tifany</v>
      </c>
      <c r="K350" s="1" t="str">
        <f aca="false">'Raw Atomic Data (Pro)'!C350</f>
        <v>Evaluation and meet-and-greet</v>
      </c>
      <c r="L350" s="1" t="str">
        <f aca="false">'Raw Atomic Data (Pro)'!D350</f>
        <v>meet-and-greet-process</v>
      </c>
      <c r="M350" s="1" t="str">
        <f aca="false">'Raw Atomic Data (Pro)'!E350</f>
        <v>fact</v>
      </c>
      <c r="N350" s="1" t="n">
        <f aca="false">IF(OR(M350="friction",M350="need",M350="workaround"),1,0)</f>
        <v>0</v>
      </c>
      <c r="O350" s="1" t="n">
        <f aca="false">IF(COUNTIFS($K$2:K350,K350,$L$2:L350,L350,$M$2:M350,M350,$J$2:J350,J350)=1,1,0)</f>
        <v>1</v>
      </c>
      <c r="P350" s="1" t="n">
        <f aca="false">IF(AND(N350=1,S350=1,COUNTIFS($L$2:L350,L350,$J$2:J350,J350,$N$2:N350,1,$S$2:S350,1)=1),1,0)</f>
        <v>0</v>
      </c>
      <c r="Q350" s="1" t="n">
        <f aca="false">IF(AND(N350=1,S350=1,COUNTIFS($L$2:L350,L350,$K$2:K350,K350,$N$2:N350,1,$S$2:S350,1)=1),1,0)</f>
        <v>0</v>
      </c>
      <c r="R350" s="1" t="n">
        <f aca="false">IF(AND(N350=1,COUNTIFS($K$2:K350,K350,$L$2:L350,L350,$J$2:J350,J350,$N$2:N350,1)=1),1,0)</f>
        <v>0</v>
      </c>
      <c r="S350" s="1" t="n">
        <f aca="false">IF(AND(K350&lt;&gt;"Context and provider model",K350&lt;&gt;"Motivation"),1,0)</f>
        <v>1</v>
      </c>
    </row>
    <row r="351" customFormat="false" ht="15" hidden="false" customHeight="true" outlineLevel="0" collapsed="false">
      <c r="J351" s="1" t="str">
        <f aca="false">'Raw Atomic Data (Pro)'!A351</f>
        <v>Tifany</v>
      </c>
      <c r="K351" s="1" t="str">
        <f aca="false">'Raw Atomic Data (Pro)'!C351</f>
        <v>Evaluation and meet-and-greet</v>
      </c>
      <c r="L351" s="1" t="str">
        <f aca="false">'Raw Atomic Data (Pro)'!D351</f>
        <v>meet-and-greet-process</v>
      </c>
      <c r="M351" s="1" t="str">
        <f aca="false">'Raw Atomic Data (Pro)'!E351</f>
        <v>workaround</v>
      </c>
      <c r="N351" s="1" t="n">
        <f aca="false">IF(OR(M351="friction",M351="need",M351="workaround"),1,0)</f>
        <v>1</v>
      </c>
      <c r="O351" s="1" t="n">
        <f aca="false">IF(COUNTIFS($K$2:K351,K351,$L$2:L351,L351,$M$2:M351,M351,$J$2:J351,J351)=1,1,0)</f>
        <v>1</v>
      </c>
      <c r="P351" s="1" t="n">
        <f aca="false">IF(AND(N351=1,S351=1,COUNTIFS($L$2:L351,L351,$J$2:J351,J351,$N$2:N351,1,$S$2:S351,1)=1),1,0)</f>
        <v>1</v>
      </c>
      <c r="Q351" s="1" t="n">
        <f aca="false">IF(AND(N351=1,S351=1,COUNTIFS($L$2:L351,L351,$K$2:K351,K351,$N$2:N351,1,$S$2:S351,1)=1),1,0)</f>
        <v>1</v>
      </c>
      <c r="R351" s="1" t="n">
        <f aca="false">IF(AND(N351=1,COUNTIFS($K$2:K351,K351,$L$2:L351,L351,$J$2:J351,J351,$N$2:N351,1)=1),1,0)</f>
        <v>1</v>
      </c>
      <c r="S351" s="1" t="n">
        <f aca="false">IF(AND(K351&lt;&gt;"Context and provider model",K351&lt;&gt;"Motivation"),1,0)</f>
        <v>1</v>
      </c>
    </row>
    <row r="352" customFormat="false" ht="15" hidden="false" customHeight="true" outlineLevel="0" collapsed="false">
      <c r="J352" s="1" t="str">
        <f aca="false">'Raw Atomic Data (Pro)'!A352</f>
        <v>Tifany</v>
      </c>
      <c r="K352" s="1" t="str">
        <f aca="false">'Raw Atomic Data (Pro)'!C352</f>
        <v>Evaluation and meet-and-greet</v>
      </c>
      <c r="L352" s="1" t="str">
        <f aca="false">'Raw Atomic Data (Pro)'!D352</f>
        <v>safety-risk-incidents</v>
      </c>
      <c r="M352" s="1" t="str">
        <f aca="false">'Raw Atomic Data (Pro)'!E352</f>
        <v>workaround</v>
      </c>
      <c r="N352" s="1" t="n">
        <f aca="false">IF(OR(M352="friction",M352="need",M352="workaround"),1,0)</f>
        <v>1</v>
      </c>
      <c r="O352" s="1" t="n">
        <f aca="false">IF(COUNTIFS($K$2:K352,K352,$L$2:L352,L352,$M$2:M352,M352,$J$2:J352,J352)=1,1,0)</f>
        <v>1</v>
      </c>
      <c r="P352" s="1" t="n">
        <f aca="false">IF(AND(N352=1,S352=1,COUNTIFS($L$2:L352,L352,$J$2:J352,J352,$N$2:N352,1,$S$2:S352,1)=1),1,0)</f>
        <v>1</v>
      </c>
      <c r="Q352" s="1" t="n">
        <f aca="false">IF(AND(N352=1,S352=1,COUNTIFS($L$2:L352,L352,$K$2:K352,K352,$N$2:N352,1,$S$2:S352,1)=1),1,0)</f>
        <v>0</v>
      </c>
      <c r="R352" s="1" t="n">
        <f aca="false">IF(AND(N352=1,COUNTIFS($K$2:K352,K352,$L$2:L352,L352,$J$2:J352,J352,$N$2:N352,1)=1),1,0)</f>
        <v>1</v>
      </c>
      <c r="S352" s="1" t="n">
        <f aca="false">IF(AND(K352&lt;&gt;"Context and provider model",K352&lt;&gt;"Motivation"),1,0)</f>
        <v>1</v>
      </c>
    </row>
    <row r="353" customFormat="false" ht="15" hidden="false" customHeight="true" outlineLevel="0" collapsed="false">
      <c r="J353" s="1" t="str">
        <f aca="false">'Raw Atomic Data (Pro)'!A353</f>
        <v>Tifany</v>
      </c>
      <c r="K353" s="1" t="str">
        <f aca="false">'Raw Atomic Data (Pro)'!C353</f>
        <v>Evaluation and meet-and-greet</v>
      </c>
      <c r="L353" s="1" t="str">
        <f aca="false">'Raw Atomic Data (Pro)'!D353</f>
        <v>client-dog-screening-criteria</v>
      </c>
      <c r="M353" s="1" t="str">
        <f aca="false">'Raw Atomic Data (Pro)'!E353</f>
        <v>fact</v>
      </c>
      <c r="N353" s="1" t="n">
        <f aca="false">IF(OR(M353="friction",M353="need",M353="workaround"),1,0)</f>
        <v>0</v>
      </c>
      <c r="O353" s="1" t="n">
        <f aca="false">IF(COUNTIFS($K$2:K353,K353,$L$2:L353,L353,$M$2:M353,M353,$J$2:J353,J353)=1,1,0)</f>
        <v>0</v>
      </c>
      <c r="P353" s="1" t="n">
        <f aca="false">IF(AND(N353=1,S353=1,COUNTIFS($L$2:L353,L353,$J$2:J353,J353,$N$2:N353,1,$S$2:S353,1)=1),1,0)</f>
        <v>0</v>
      </c>
      <c r="Q353" s="1" t="n">
        <f aca="false">IF(AND(N353=1,S353=1,COUNTIFS($L$2:L353,L353,$K$2:K353,K353,$N$2:N353,1,$S$2:S353,1)=1),1,0)</f>
        <v>0</v>
      </c>
      <c r="R353" s="1" t="n">
        <f aca="false">IF(AND(N353=1,COUNTIFS($K$2:K353,K353,$L$2:L353,L353,$J$2:J353,J353,$N$2:N353,1)=1),1,0)</f>
        <v>0</v>
      </c>
      <c r="S353" s="1" t="n">
        <f aca="false">IF(AND(K353&lt;&gt;"Context and provider model",K353&lt;&gt;"Motivation"),1,0)</f>
        <v>1</v>
      </c>
    </row>
    <row r="354" customFormat="false" ht="15" hidden="false" customHeight="true" outlineLevel="0" collapsed="false">
      <c r="J354" s="1" t="str">
        <f aca="false">'Raw Atomic Data (Pro)'!A354</f>
        <v>Tifany</v>
      </c>
      <c r="K354" s="1" t="str">
        <f aca="false">'Raw Atomic Data (Pro)'!C354</f>
        <v>Evaluation and meet-and-greet</v>
      </c>
      <c r="L354" s="1" t="str">
        <f aca="false">'Raw Atomic Data (Pro)'!D354</f>
        <v>sitter-community-network</v>
      </c>
      <c r="M354" s="1" t="str">
        <f aca="false">'Raw Atomic Data (Pro)'!E354</f>
        <v>value-statement</v>
      </c>
      <c r="N354" s="1" t="n">
        <f aca="false">IF(OR(M354="friction",M354="need",M354="workaround"),1,0)</f>
        <v>0</v>
      </c>
      <c r="O354" s="1" t="n">
        <f aca="false">IF(COUNTIFS($K$2:K354,K354,$L$2:L354,L354,$M$2:M354,M354,$J$2:J354,J354)=1,1,0)</f>
        <v>1</v>
      </c>
      <c r="P354" s="1" t="n">
        <f aca="false">IF(AND(N354=1,S354=1,COUNTIFS($L$2:L354,L354,$J$2:J354,J354,$N$2:N354,1,$S$2:S354,1)=1),1,0)</f>
        <v>0</v>
      </c>
      <c r="Q354" s="1" t="n">
        <f aca="false">IF(AND(N354=1,S354=1,COUNTIFS($L$2:L354,L354,$K$2:K354,K354,$N$2:N354,1,$S$2:S354,1)=1),1,0)</f>
        <v>0</v>
      </c>
      <c r="R354" s="1" t="n">
        <f aca="false">IF(AND(N354=1,COUNTIFS($K$2:K354,K354,$L$2:L354,L354,$J$2:J354,J354,$N$2:N354,1)=1),1,0)</f>
        <v>0</v>
      </c>
      <c r="S354" s="1" t="n">
        <f aca="false">IF(AND(K354&lt;&gt;"Context and provider model",K354&lt;&gt;"Motivation"),1,0)</f>
        <v>1</v>
      </c>
    </row>
    <row r="355" customFormat="false" ht="15" hidden="false" customHeight="true" outlineLevel="0" collapsed="false">
      <c r="J355" s="1" t="str">
        <f aca="false">'Raw Atomic Data (Pro)'!A355</f>
        <v>Ami</v>
      </c>
      <c r="K355" s="1" t="str">
        <f aca="false">'Raw Atomic Data (Pro)'!C355</f>
        <v>Booking and availability</v>
      </c>
      <c r="L355" s="1" t="str">
        <f aca="false">'Raw Atomic Data (Pro)'!D355</f>
        <v>calendar-scheduling-tools</v>
      </c>
      <c r="M355" s="1" t="str">
        <f aca="false">'Raw Atomic Data (Pro)'!E355</f>
        <v>fact</v>
      </c>
      <c r="N355" s="1" t="n">
        <f aca="false">IF(OR(M355="friction",M355="need",M355="workaround"),1,0)</f>
        <v>0</v>
      </c>
      <c r="O355" s="1" t="n">
        <f aca="false">IF(COUNTIFS($K$2:K355,K355,$L$2:L355,L355,$M$2:M355,M355,$J$2:J355,J355)=1,1,0)</f>
        <v>1</v>
      </c>
      <c r="P355" s="1" t="n">
        <f aca="false">IF(AND(N355=1,S355=1,COUNTIFS($L$2:L355,L355,$J$2:J355,J355,$N$2:N355,1,$S$2:S355,1)=1),1,0)</f>
        <v>0</v>
      </c>
      <c r="Q355" s="1" t="n">
        <f aca="false">IF(AND(N355=1,S355=1,COUNTIFS($L$2:L355,L355,$K$2:K355,K355,$N$2:N355,1,$S$2:S355,1)=1),1,0)</f>
        <v>0</v>
      </c>
      <c r="R355" s="1" t="n">
        <f aca="false">IF(AND(N355=1,COUNTIFS($K$2:K355,K355,$L$2:L355,L355,$J$2:J355,J355,$N$2:N355,1)=1),1,0)</f>
        <v>0</v>
      </c>
      <c r="S355" s="1" t="n">
        <f aca="false">IF(AND(K355&lt;&gt;"Context and provider model",K355&lt;&gt;"Motivation"),1,0)</f>
        <v>1</v>
      </c>
    </row>
    <row r="356" customFormat="false" ht="15" hidden="false" customHeight="true" outlineLevel="0" collapsed="false">
      <c r="J356" s="1" t="str">
        <f aca="false">'Raw Atomic Data (Pro)'!A356</f>
        <v>Ami</v>
      </c>
      <c r="K356" s="1" t="str">
        <f aca="false">'Raw Atomic Data (Pro)'!C356</f>
        <v>Booking and availability</v>
      </c>
      <c r="L356" s="1" t="str">
        <f aca="false">'Raw Atomic Data (Pro)'!D356</f>
        <v>calendar-scheduling-tools</v>
      </c>
      <c r="M356" s="1" t="str">
        <f aca="false">'Raw Atomic Data (Pro)'!E356</f>
        <v>fact</v>
      </c>
      <c r="N356" s="1" t="n">
        <f aca="false">IF(OR(M356="friction",M356="need",M356="workaround"),1,0)</f>
        <v>0</v>
      </c>
      <c r="O356" s="1" t="n">
        <f aca="false">IF(COUNTIFS($K$2:K356,K356,$L$2:L356,L356,$M$2:M356,M356,$J$2:J356,J356)=1,1,0)</f>
        <v>0</v>
      </c>
      <c r="P356" s="1" t="n">
        <f aca="false">IF(AND(N356=1,S356=1,COUNTIFS($L$2:L356,L356,$J$2:J356,J356,$N$2:N356,1,$S$2:S356,1)=1),1,0)</f>
        <v>0</v>
      </c>
      <c r="Q356" s="1" t="n">
        <f aca="false">IF(AND(N356=1,S356=1,COUNTIFS($L$2:L356,L356,$K$2:K356,K356,$N$2:N356,1,$S$2:S356,1)=1),1,0)</f>
        <v>0</v>
      </c>
      <c r="R356" s="1" t="n">
        <f aca="false">IF(AND(N356=1,COUNTIFS($K$2:K356,K356,$L$2:L356,L356,$J$2:J356,J356,$N$2:N356,1)=1),1,0)</f>
        <v>0</v>
      </c>
      <c r="S356" s="1" t="n">
        <f aca="false">IF(AND(K356&lt;&gt;"Context and provider model",K356&lt;&gt;"Motivation"),1,0)</f>
        <v>1</v>
      </c>
    </row>
    <row r="357" customFormat="false" ht="15" hidden="false" customHeight="true" outlineLevel="0" collapsed="false">
      <c r="J357" s="1" t="str">
        <f aca="false">'Raw Atomic Data (Pro)'!A357</f>
        <v>Ami</v>
      </c>
      <c r="K357" s="1" t="str">
        <f aca="false">'Raw Atomic Data (Pro)'!C357</f>
        <v>Booking and availability</v>
      </c>
      <c r="L357" s="1" t="str">
        <f aca="false">'Raw Atomic Data (Pro)'!D357</f>
        <v>calendar-scheduling-tools</v>
      </c>
      <c r="M357" s="1" t="str">
        <f aca="false">'Raw Atomic Data (Pro)'!E357</f>
        <v>need</v>
      </c>
      <c r="N357" s="1" t="n">
        <f aca="false">IF(OR(M357="friction",M357="need",M357="workaround"),1,0)</f>
        <v>1</v>
      </c>
      <c r="O357" s="1" t="n">
        <f aca="false">IF(COUNTIFS($K$2:K357,K357,$L$2:L357,L357,$M$2:M357,M357,$J$2:J357,J357)=1,1,0)</f>
        <v>1</v>
      </c>
      <c r="P357" s="1" t="n">
        <f aca="false">IF(AND(N357=1,S357=1,COUNTIFS($L$2:L357,L357,$J$2:J357,J357,$N$2:N357,1,$S$2:S357,1)=1),1,0)</f>
        <v>1</v>
      </c>
      <c r="Q357" s="1" t="n">
        <f aca="false">IF(AND(N357=1,S357=1,COUNTIFS($L$2:L357,L357,$K$2:K357,K357,$N$2:N357,1,$S$2:S357,1)=1),1,0)</f>
        <v>1</v>
      </c>
      <c r="R357" s="1" t="n">
        <f aca="false">IF(AND(N357=1,COUNTIFS($K$2:K357,K357,$L$2:L357,L357,$J$2:J357,J357,$N$2:N357,1)=1),1,0)</f>
        <v>1</v>
      </c>
      <c r="S357" s="1" t="n">
        <f aca="false">IF(AND(K357&lt;&gt;"Context and provider model",K357&lt;&gt;"Motivation"),1,0)</f>
        <v>1</v>
      </c>
    </row>
    <row r="358" customFormat="false" ht="15" hidden="false" customHeight="true" outlineLevel="0" collapsed="false">
      <c r="J358" s="1" t="str">
        <f aca="false">'Raw Atomic Data (Pro)'!A358</f>
        <v>Ami</v>
      </c>
      <c r="K358" s="1" t="str">
        <f aca="false">'Raw Atomic Data (Pro)'!C358</f>
        <v>Booking and availability</v>
      </c>
      <c r="L358" s="1" t="str">
        <f aca="false">'Raw Atomic Data (Pro)'!D358</f>
        <v>booking-confirmation-mechanics</v>
      </c>
      <c r="M358" s="1" t="str">
        <f aca="false">'Raw Atomic Data (Pro)'!E358</f>
        <v>fact</v>
      </c>
      <c r="N358" s="1" t="n">
        <f aca="false">IF(OR(M358="friction",M358="need",M358="workaround"),1,0)</f>
        <v>0</v>
      </c>
      <c r="O358" s="1" t="n">
        <f aca="false">IF(COUNTIFS($K$2:K358,K358,$L$2:L358,L358,$M$2:M358,M358,$J$2:J358,J358)=1,1,0)</f>
        <v>1</v>
      </c>
      <c r="P358" s="1" t="n">
        <f aca="false">IF(AND(N358=1,S358=1,COUNTIFS($L$2:L358,L358,$J$2:J358,J358,$N$2:N358,1,$S$2:S358,1)=1),1,0)</f>
        <v>0</v>
      </c>
      <c r="Q358" s="1" t="n">
        <f aca="false">IF(AND(N358=1,S358=1,COUNTIFS($L$2:L358,L358,$K$2:K358,K358,$N$2:N358,1,$S$2:S358,1)=1),1,0)</f>
        <v>0</v>
      </c>
      <c r="R358" s="1" t="n">
        <f aca="false">IF(AND(N358=1,COUNTIFS($K$2:K358,K358,$L$2:L358,L358,$J$2:J358,J358,$N$2:N358,1)=1),1,0)</f>
        <v>0</v>
      </c>
      <c r="S358" s="1" t="n">
        <f aca="false">IF(AND(K358&lt;&gt;"Context and provider model",K358&lt;&gt;"Motivation"),1,0)</f>
        <v>1</v>
      </c>
    </row>
    <row r="359" customFormat="false" ht="15" hidden="false" customHeight="true" outlineLevel="0" collapsed="false">
      <c r="J359" s="1" t="str">
        <f aca="false">'Raw Atomic Data (Pro)'!A359</f>
        <v>Andrew</v>
      </c>
      <c r="K359" s="1" t="str">
        <f aca="false">'Raw Atomic Data (Pro)'!C359</f>
        <v>Booking and availability</v>
      </c>
      <c r="L359" s="1" t="str">
        <f aca="false">'Raw Atomic Data (Pro)'!D359</f>
        <v>booking-confirmation-mechanics</v>
      </c>
      <c r="M359" s="1" t="str">
        <f aca="false">'Raw Atomic Data (Pro)'!E359</f>
        <v>friction</v>
      </c>
      <c r="N359" s="1" t="n">
        <f aca="false">IF(OR(M359="friction",M359="need",M359="workaround"),1,0)</f>
        <v>1</v>
      </c>
      <c r="O359" s="1" t="n">
        <f aca="false">IF(COUNTIFS($K$2:K359,K359,$L$2:L359,L359,$M$2:M359,M359,$J$2:J359,J359)=1,1,0)</f>
        <v>1</v>
      </c>
      <c r="P359" s="1" t="n">
        <f aca="false">IF(AND(N359=1,S359=1,COUNTIFS($L$2:L359,L359,$J$2:J359,J359,$N$2:N359,1,$S$2:S359,1)=1),1,0)</f>
        <v>1</v>
      </c>
      <c r="Q359" s="1" t="n">
        <f aca="false">IF(AND(N359=1,S359=1,COUNTIFS($L$2:L359,L359,$K$2:K359,K359,$N$2:N359,1,$S$2:S359,1)=1),1,0)</f>
        <v>1</v>
      </c>
      <c r="R359" s="1" t="n">
        <f aca="false">IF(AND(N359=1,COUNTIFS($K$2:K359,K359,$L$2:L359,L359,$J$2:J359,J359,$N$2:N359,1)=1),1,0)</f>
        <v>1</v>
      </c>
      <c r="S359" s="1" t="n">
        <f aca="false">IF(AND(K359&lt;&gt;"Context and provider model",K359&lt;&gt;"Motivation"),1,0)</f>
        <v>1</v>
      </c>
    </row>
    <row r="360" customFormat="false" ht="15" hidden="false" customHeight="true" outlineLevel="0" collapsed="false">
      <c r="J360" s="1" t="str">
        <f aca="false">'Raw Atomic Data (Pro)'!A360</f>
        <v>Andrew</v>
      </c>
      <c r="K360" s="1" t="str">
        <f aca="false">'Raw Atomic Data (Pro)'!C360</f>
        <v>Booking and availability</v>
      </c>
      <c r="L360" s="1" t="str">
        <f aca="false">'Raw Atomic Data (Pro)'!D360</f>
        <v>booking-confirmation-mechanics</v>
      </c>
      <c r="M360" s="1" t="str">
        <f aca="false">'Raw Atomic Data (Pro)'!E360</f>
        <v>need</v>
      </c>
      <c r="N360" s="1" t="n">
        <f aca="false">IF(OR(M360="friction",M360="need",M360="workaround"),1,0)</f>
        <v>1</v>
      </c>
      <c r="O360" s="1" t="n">
        <f aca="false">IF(COUNTIFS($K$2:K360,K360,$L$2:L360,L360,$M$2:M360,M360,$J$2:J360,J360)=1,1,0)</f>
        <v>1</v>
      </c>
      <c r="P360" s="1" t="n">
        <f aca="false">IF(AND(N360=1,S360=1,COUNTIFS($L$2:L360,L360,$J$2:J360,J360,$N$2:N360,1,$S$2:S360,1)=1),1,0)</f>
        <v>0</v>
      </c>
      <c r="Q360" s="1" t="n">
        <f aca="false">IF(AND(N360=1,S360=1,COUNTIFS($L$2:L360,L360,$K$2:K360,K360,$N$2:N360,1,$S$2:S360,1)=1),1,0)</f>
        <v>0</v>
      </c>
      <c r="R360" s="1" t="n">
        <f aca="false">IF(AND(N360=1,COUNTIFS($K$2:K360,K360,$L$2:L360,L360,$J$2:J360,J360,$N$2:N360,1)=1),1,0)</f>
        <v>0</v>
      </c>
      <c r="S360" s="1" t="n">
        <f aca="false">IF(AND(K360&lt;&gt;"Context and provider model",K360&lt;&gt;"Motivation"),1,0)</f>
        <v>1</v>
      </c>
    </row>
    <row r="361" customFormat="false" ht="15" hidden="false" customHeight="true" outlineLevel="0" collapsed="false">
      <c r="J361" s="1" t="str">
        <f aca="false">'Raw Atomic Data (Pro)'!A361</f>
        <v>Andrew</v>
      </c>
      <c r="K361" s="1" t="str">
        <f aca="false">'Raw Atomic Data (Pro)'!C361</f>
        <v>Booking and availability</v>
      </c>
      <c r="L361" s="1" t="str">
        <f aca="false">'Raw Atomic Data (Pro)'!D361</f>
        <v>booking-confirmation-mechanics</v>
      </c>
      <c r="M361" s="1" t="str">
        <f aca="false">'Raw Atomic Data (Pro)'!E361</f>
        <v>friction</v>
      </c>
      <c r="N361" s="1" t="n">
        <f aca="false">IF(OR(M361="friction",M361="need",M361="workaround"),1,0)</f>
        <v>1</v>
      </c>
      <c r="O361" s="1" t="n">
        <f aca="false">IF(COUNTIFS($K$2:K361,K361,$L$2:L361,L361,$M$2:M361,M361,$J$2:J361,J361)=1,1,0)</f>
        <v>0</v>
      </c>
      <c r="P361" s="1" t="n">
        <f aca="false">IF(AND(N361=1,S361=1,COUNTIFS($L$2:L361,L361,$J$2:J361,J361,$N$2:N361,1,$S$2:S361,1)=1),1,0)</f>
        <v>0</v>
      </c>
      <c r="Q361" s="1" t="n">
        <f aca="false">IF(AND(N361=1,S361=1,COUNTIFS($L$2:L361,L361,$K$2:K361,K361,$N$2:N361,1,$S$2:S361,1)=1),1,0)</f>
        <v>0</v>
      </c>
      <c r="R361" s="1" t="n">
        <f aca="false">IF(AND(N361=1,COUNTIFS($K$2:K361,K361,$L$2:L361,L361,$J$2:J361,J361,$N$2:N361,1)=1),1,0)</f>
        <v>0</v>
      </c>
      <c r="S361" s="1" t="n">
        <f aca="false">IF(AND(K361&lt;&gt;"Context and provider model",K361&lt;&gt;"Motivation"),1,0)</f>
        <v>1</v>
      </c>
    </row>
    <row r="362" customFormat="false" ht="15" hidden="false" customHeight="true" outlineLevel="0" collapsed="false">
      <c r="J362" s="1" t="str">
        <f aca="false">'Raw Atomic Data (Pro)'!A362</f>
        <v>Andrew</v>
      </c>
      <c r="K362" s="1" t="str">
        <f aca="false">'Raw Atomic Data (Pro)'!C362</f>
        <v>Booking and availability</v>
      </c>
      <c r="L362" s="1" t="str">
        <f aca="false">'Raw Atomic Data (Pro)'!D362</f>
        <v>booking-confirmation-mechanics</v>
      </c>
      <c r="M362" s="1" t="str">
        <f aca="false">'Raw Atomic Data (Pro)'!E362</f>
        <v>fact</v>
      </c>
      <c r="N362" s="1" t="n">
        <f aca="false">IF(OR(M362="friction",M362="need",M362="workaround"),1,0)</f>
        <v>0</v>
      </c>
      <c r="O362" s="1" t="n">
        <f aca="false">IF(COUNTIFS($K$2:K362,K362,$L$2:L362,L362,$M$2:M362,M362,$J$2:J362,J362)=1,1,0)</f>
        <v>1</v>
      </c>
      <c r="P362" s="1" t="n">
        <f aca="false">IF(AND(N362=1,S362=1,COUNTIFS($L$2:L362,L362,$J$2:J362,J362,$N$2:N362,1,$S$2:S362,1)=1),1,0)</f>
        <v>0</v>
      </c>
      <c r="Q362" s="1" t="n">
        <f aca="false">IF(AND(N362=1,S362=1,COUNTIFS($L$2:L362,L362,$K$2:K362,K362,$N$2:N362,1,$S$2:S362,1)=1),1,0)</f>
        <v>0</v>
      </c>
      <c r="R362" s="1" t="n">
        <f aca="false">IF(AND(N362=1,COUNTIFS($K$2:K362,K362,$L$2:L362,L362,$J$2:J362,J362,$N$2:N362,1)=1),1,0)</f>
        <v>0</v>
      </c>
      <c r="S362" s="1" t="n">
        <f aca="false">IF(AND(K362&lt;&gt;"Context and provider model",K362&lt;&gt;"Motivation"),1,0)</f>
        <v>1</v>
      </c>
    </row>
    <row r="363" customFormat="false" ht="15" hidden="false" customHeight="true" outlineLevel="0" collapsed="false">
      <c r="J363" s="1" t="str">
        <f aca="false">'Raw Atomic Data (Pro)'!A363</f>
        <v>Andrew</v>
      </c>
      <c r="K363" s="1" t="str">
        <f aca="false">'Raw Atomic Data (Pro)'!C363</f>
        <v>Booking and availability</v>
      </c>
      <c r="L363" s="1" t="str">
        <f aca="false">'Raw Atomic Data (Pro)'!D363</f>
        <v>calendar-scheduling-tools</v>
      </c>
      <c r="M363" s="1" t="str">
        <f aca="false">'Raw Atomic Data (Pro)'!E363</f>
        <v>fact</v>
      </c>
      <c r="N363" s="1" t="n">
        <f aca="false">IF(OR(M363="friction",M363="need",M363="workaround"),1,0)</f>
        <v>0</v>
      </c>
      <c r="O363" s="1" t="n">
        <f aca="false">IF(COUNTIFS($K$2:K363,K363,$L$2:L363,L363,$M$2:M363,M363,$J$2:J363,J363)=1,1,0)</f>
        <v>1</v>
      </c>
      <c r="P363" s="1" t="n">
        <f aca="false">IF(AND(N363=1,S363=1,COUNTIFS($L$2:L363,L363,$J$2:J363,J363,$N$2:N363,1,$S$2:S363,1)=1),1,0)</f>
        <v>0</v>
      </c>
      <c r="Q363" s="1" t="n">
        <f aca="false">IF(AND(N363=1,S363=1,COUNTIFS($L$2:L363,L363,$K$2:K363,K363,$N$2:N363,1,$S$2:S363,1)=1),1,0)</f>
        <v>0</v>
      </c>
      <c r="R363" s="1" t="n">
        <f aca="false">IF(AND(N363=1,COUNTIFS($K$2:K363,K363,$L$2:L363,L363,$J$2:J363,J363,$N$2:N363,1)=1),1,0)</f>
        <v>0</v>
      </c>
      <c r="S363" s="1" t="n">
        <f aca="false">IF(AND(K363&lt;&gt;"Context and provider model",K363&lt;&gt;"Motivation"),1,0)</f>
        <v>1</v>
      </c>
    </row>
    <row r="364" customFormat="false" ht="15" hidden="false" customHeight="true" outlineLevel="0" collapsed="false">
      <c r="J364" s="1" t="str">
        <f aca="false">'Raw Atomic Data (Pro)'!A364</f>
        <v>Andrew</v>
      </c>
      <c r="K364" s="1" t="str">
        <f aca="false">'Raw Atomic Data (Pro)'!C364</f>
        <v>Booking and availability</v>
      </c>
      <c r="L364" s="1" t="str">
        <f aca="false">'Raw Atomic Data (Pro)'!D364</f>
        <v>messaging-platform-mechanics</v>
      </c>
      <c r="M364" s="1" t="str">
        <f aca="false">'Raw Atomic Data (Pro)'!E364</f>
        <v>fact</v>
      </c>
      <c r="N364" s="1" t="n">
        <f aca="false">IF(OR(M364="friction",M364="need",M364="workaround"),1,0)</f>
        <v>0</v>
      </c>
      <c r="O364" s="1" t="n">
        <f aca="false">IF(COUNTIFS($K$2:K364,K364,$L$2:L364,L364,$M$2:M364,M364,$J$2:J364,J364)=1,1,0)</f>
        <v>1</v>
      </c>
      <c r="P364" s="1" t="n">
        <f aca="false">IF(AND(N364=1,S364=1,COUNTIFS($L$2:L364,L364,$J$2:J364,J364,$N$2:N364,1,$S$2:S364,1)=1),1,0)</f>
        <v>0</v>
      </c>
      <c r="Q364" s="1" t="n">
        <f aca="false">IF(AND(N364=1,S364=1,COUNTIFS($L$2:L364,L364,$K$2:K364,K364,$N$2:N364,1,$S$2:S364,1)=1),1,0)</f>
        <v>0</v>
      </c>
      <c r="R364" s="1" t="n">
        <f aca="false">IF(AND(N364=1,COUNTIFS($K$2:K364,K364,$L$2:L364,L364,$J$2:J364,J364,$N$2:N364,1)=1),1,0)</f>
        <v>0</v>
      </c>
      <c r="S364" s="1" t="n">
        <f aca="false">IF(AND(K364&lt;&gt;"Context and provider model",K364&lt;&gt;"Motivation"),1,0)</f>
        <v>1</v>
      </c>
    </row>
    <row r="365" customFormat="false" ht="15" hidden="false" customHeight="true" outlineLevel="0" collapsed="false">
      <c r="J365" s="1" t="str">
        <f aca="false">'Raw Atomic Data (Pro)'!A365</f>
        <v>Anita</v>
      </c>
      <c r="K365" s="1" t="str">
        <f aca="false">'Raw Atomic Data (Pro)'!C365</f>
        <v>Booking and availability</v>
      </c>
      <c r="L365" s="1" t="str">
        <f aca="false">'Raw Atomic Data (Pro)'!D365</f>
        <v>booking-confirmation-mechanics</v>
      </c>
      <c r="M365" s="1" t="str">
        <f aca="false">'Raw Atomic Data (Pro)'!E365</f>
        <v>fact</v>
      </c>
      <c r="N365" s="1" t="n">
        <f aca="false">IF(OR(M365="friction",M365="need",M365="workaround"),1,0)</f>
        <v>0</v>
      </c>
      <c r="O365" s="1" t="n">
        <f aca="false">IF(COUNTIFS($K$2:K365,K365,$L$2:L365,L365,$M$2:M365,M365,$J$2:J365,J365)=1,1,0)</f>
        <v>1</v>
      </c>
      <c r="P365" s="1" t="n">
        <f aca="false">IF(AND(N365=1,S365=1,COUNTIFS($L$2:L365,L365,$J$2:J365,J365,$N$2:N365,1,$S$2:S365,1)=1),1,0)</f>
        <v>0</v>
      </c>
      <c r="Q365" s="1" t="n">
        <f aca="false">IF(AND(N365=1,S365=1,COUNTIFS($L$2:L365,L365,$K$2:K365,K365,$N$2:N365,1,$S$2:S365,1)=1),1,0)</f>
        <v>0</v>
      </c>
      <c r="R365" s="1" t="n">
        <f aca="false">IF(AND(N365=1,COUNTIFS($K$2:K365,K365,$L$2:L365,L365,$J$2:J365,J365,$N$2:N365,1)=1),1,0)</f>
        <v>0</v>
      </c>
      <c r="S365" s="1" t="n">
        <f aca="false">IF(AND(K365&lt;&gt;"Context and provider model",K365&lt;&gt;"Motivation"),1,0)</f>
        <v>1</v>
      </c>
    </row>
    <row r="366" customFormat="false" ht="15" hidden="false" customHeight="true" outlineLevel="0" collapsed="false">
      <c r="J366" s="1" t="str">
        <f aca="false">'Raw Atomic Data (Pro)'!A366</f>
        <v>Anita</v>
      </c>
      <c r="K366" s="1" t="str">
        <f aca="false">'Raw Atomic Data (Pro)'!C366</f>
        <v>Booking and availability</v>
      </c>
      <c r="L366" s="1" t="str">
        <f aca="false">'Raw Atomic Data (Pro)'!D366</f>
        <v>booking-confirmation-mechanics</v>
      </c>
      <c r="M366" s="1" t="str">
        <f aca="false">'Raw Atomic Data (Pro)'!E366</f>
        <v>fact</v>
      </c>
      <c r="N366" s="1" t="n">
        <f aca="false">IF(OR(M366="friction",M366="need",M366="workaround"),1,0)</f>
        <v>0</v>
      </c>
      <c r="O366" s="1" t="n">
        <f aca="false">IF(COUNTIFS($K$2:K366,K366,$L$2:L366,L366,$M$2:M366,M366,$J$2:J366,J366)=1,1,0)</f>
        <v>0</v>
      </c>
      <c r="P366" s="1" t="n">
        <f aca="false">IF(AND(N366=1,S366=1,COUNTIFS($L$2:L366,L366,$J$2:J366,J366,$N$2:N366,1,$S$2:S366,1)=1),1,0)</f>
        <v>0</v>
      </c>
      <c r="Q366" s="1" t="n">
        <f aca="false">IF(AND(N366=1,S366=1,COUNTIFS($L$2:L366,L366,$K$2:K366,K366,$N$2:N366,1,$S$2:S366,1)=1),1,0)</f>
        <v>0</v>
      </c>
      <c r="R366" s="1" t="n">
        <f aca="false">IF(AND(N366=1,COUNTIFS($K$2:K366,K366,$L$2:L366,L366,$J$2:J366,J366,$N$2:N366,1)=1),1,0)</f>
        <v>0</v>
      </c>
      <c r="S366" s="1" t="n">
        <f aca="false">IF(AND(K366&lt;&gt;"Context and provider model",K366&lt;&gt;"Motivation"),1,0)</f>
        <v>1</v>
      </c>
    </row>
    <row r="367" customFormat="false" ht="15" hidden="false" customHeight="true" outlineLevel="0" collapsed="false">
      <c r="J367" s="1" t="str">
        <f aca="false">'Raw Atomic Data (Pro)'!A367</f>
        <v>Anita</v>
      </c>
      <c r="K367" s="1" t="str">
        <f aca="false">'Raw Atomic Data (Pro)'!C367</f>
        <v>Booking and availability</v>
      </c>
      <c r="L367" s="1" t="str">
        <f aca="false">'Raw Atomic Data (Pro)'!D367</f>
        <v>calendar-scheduling-tools</v>
      </c>
      <c r="M367" s="1" t="str">
        <f aca="false">'Raw Atomic Data (Pro)'!E367</f>
        <v>fact</v>
      </c>
      <c r="N367" s="1" t="n">
        <f aca="false">IF(OR(M367="friction",M367="need",M367="workaround"),1,0)</f>
        <v>0</v>
      </c>
      <c r="O367" s="1" t="n">
        <f aca="false">IF(COUNTIFS($K$2:K367,K367,$L$2:L367,L367,$M$2:M367,M367,$J$2:J367,J367)=1,1,0)</f>
        <v>1</v>
      </c>
      <c r="P367" s="1" t="n">
        <f aca="false">IF(AND(N367=1,S367=1,COUNTIFS($L$2:L367,L367,$J$2:J367,J367,$N$2:N367,1,$S$2:S367,1)=1),1,0)</f>
        <v>0</v>
      </c>
      <c r="Q367" s="1" t="n">
        <f aca="false">IF(AND(N367=1,S367=1,COUNTIFS($L$2:L367,L367,$K$2:K367,K367,$N$2:N367,1,$S$2:S367,1)=1),1,0)</f>
        <v>0</v>
      </c>
      <c r="R367" s="1" t="n">
        <f aca="false">IF(AND(N367=1,COUNTIFS($K$2:K367,K367,$L$2:L367,L367,$J$2:J367,J367,$N$2:N367,1)=1),1,0)</f>
        <v>0</v>
      </c>
      <c r="S367" s="1" t="n">
        <f aca="false">IF(AND(K367&lt;&gt;"Context and provider model",K367&lt;&gt;"Motivation"),1,0)</f>
        <v>1</v>
      </c>
    </row>
    <row r="368" customFormat="false" ht="15" hidden="false" customHeight="true" outlineLevel="0" collapsed="false">
      <c r="J368" s="1" t="str">
        <f aca="false">'Raw Atomic Data (Pro)'!A368</f>
        <v>Anita</v>
      </c>
      <c r="K368" s="1" t="str">
        <f aca="false">'Raw Atomic Data (Pro)'!C368</f>
        <v>Booking and availability</v>
      </c>
      <c r="L368" s="1" t="str">
        <f aca="false">'Raw Atomic Data (Pro)'!D368</f>
        <v>calendar-scheduling-tools</v>
      </c>
      <c r="M368" s="1" t="str">
        <f aca="false">'Raw Atomic Data (Pro)'!E368</f>
        <v>workaround</v>
      </c>
      <c r="N368" s="1" t="n">
        <f aca="false">IF(OR(M368="friction",M368="need",M368="workaround"),1,0)</f>
        <v>1</v>
      </c>
      <c r="O368" s="1" t="n">
        <f aca="false">IF(COUNTIFS($K$2:K368,K368,$L$2:L368,L368,$M$2:M368,M368,$J$2:J368,J368)=1,1,0)</f>
        <v>1</v>
      </c>
      <c r="P368" s="1" t="n">
        <f aca="false">IF(AND(N368=1,S368=1,COUNTIFS($L$2:L368,L368,$J$2:J368,J368,$N$2:N368,1,$S$2:S368,1)=1),1,0)</f>
        <v>1</v>
      </c>
      <c r="Q368" s="1" t="n">
        <f aca="false">IF(AND(N368=1,S368=1,COUNTIFS($L$2:L368,L368,$K$2:K368,K368,$N$2:N368,1,$S$2:S368,1)=1),1,0)</f>
        <v>0</v>
      </c>
      <c r="R368" s="1" t="n">
        <f aca="false">IF(AND(N368=1,COUNTIFS($K$2:K368,K368,$L$2:L368,L368,$J$2:J368,J368,$N$2:N368,1)=1),1,0)</f>
        <v>1</v>
      </c>
      <c r="S368" s="1" t="n">
        <f aca="false">IF(AND(K368&lt;&gt;"Context and provider model",K368&lt;&gt;"Motivation"),1,0)</f>
        <v>1</v>
      </c>
    </row>
    <row r="369" customFormat="false" ht="15" hidden="false" customHeight="true" outlineLevel="0" collapsed="false">
      <c r="J369" s="1" t="str">
        <f aca="false">'Raw Atomic Data (Pro)'!A369</f>
        <v>Anita</v>
      </c>
      <c r="K369" s="1" t="str">
        <f aca="false">'Raw Atomic Data (Pro)'!C369</f>
        <v>Booking and availability</v>
      </c>
      <c r="L369" s="1" t="str">
        <f aca="false">'Raw Atomic Data (Pro)'!D369</f>
        <v>calendar-scheduling-tools</v>
      </c>
      <c r="M369" s="1" t="str">
        <f aca="false">'Raw Atomic Data (Pro)'!E369</f>
        <v>fact</v>
      </c>
      <c r="N369" s="1" t="n">
        <f aca="false">IF(OR(M369="friction",M369="need",M369="workaround"),1,0)</f>
        <v>0</v>
      </c>
      <c r="O369" s="1" t="n">
        <f aca="false">IF(COUNTIFS($K$2:K369,K369,$L$2:L369,L369,$M$2:M369,M369,$J$2:J369,J369)=1,1,0)</f>
        <v>0</v>
      </c>
      <c r="P369" s="1" t="n">
        <f aca="false">IF(AND(N369=1,S369=1,COUNTIFS($L$2:L369,L369,$J$2:J369,J369,$N$2:N369,1,$S$2:S369,1)=1),1,0)</f>
        <v>0</v>
      </c>
      <c r="Q369" s="1" t="n">
        <f aca="false">IF(AND(N369=1,S369=1,COUNTIFS($L$2:L369,L369,$K$2:K369,K369,$N$2:N369,1,$S$2:S369,1)=1),1,0)</f>
        <v>0</v>
      </c>
      <c r="R369" s="1" t="n">
        <f aca="false">IF(AND(N369=1,COUNTIFS($K$2:K369,K369,$L$2:L369,L369,$J$2:J369,J369,$N$2:N369,1)=1),1,0)</f>
        <v>0</v>
      </c>
      <c r="S369" s="1" t="n">
        <f aca="false">IF(AND(K369&lt;&gt;"Context and provider model",K369&lt;&gt;"Motivation"),1,0)</f>
        <v>1</v>
      </c>
    </row>
    <row r="370" customFormat="false" ht="15" hidden="false" customHeight="true" outlineLevel="0" collapsed="false">
      <c r="J370" s="1" t="str">
        <f aca="false">'Raw Atomic Data (Pro)'!A370</f>
        <v>Anita</v>
      </c>
      <c r="K370" s="1" t="str">
        <f aca="false">'Raw Atomic Data (Pro)'!C370</f>
        <v>Booking and availability</v>
      </c>
      <c r="L370" s="1" t="str">
        <f aca="false">'Raw Atomic Data (Pro)'!D370</f>
        <v>calendar-scheduling-tools</v>
      </c>
      <c r="M370" s="1" t="str">
        <f aca="false">'Raw Atomic Data (Pro)'!E370</f>
        <v>need</v>
      </c>
      <c r="N370" s="1" t="n">
        <f aca="false">IF(OR(M370="friction",M370="need",M370="workaround"),1,0)</f>
        <v>1</v>
      </c>
      <c r="O370" s="1" t="n">
        <f aca="false">IF(COUNTIFS($K$2:K370,K370,$L$2:L370,L370,$M$2:M370,M370,$J$2:J370,J370)=1,1,0)</f>
        <v>1</v>
      </c>
      <c r="P370" s="1" t="n">
        <f aca="false">IF(AND(N370=1,S370=1,COUNTIFS($L$2:L370,L370,$J$2:J370,J370,$N$2:N370,1,$S$2:S370,1)=1),1,0)</f>
        <v>0</v>
      </c>
      <c r="Q370" s="1" t="n">
        <f aca="false">IF(AND(N370=1,S370=1,COUNTIFS($L$2:L370,L370,$K$2:K370,K370,$N$2:N370,1,$S$2:S370,1)=1),1,0)</f>
        <v>0</v>
      </c>
      <c r="R370" s="1" t="n">
        <f aca="false">IF(AND(N370=1,COUNTIFS($K$2:K370,K370,$L$2:L370,L370,$J$2:J370,J370,$N$2:N370,1)=1),1,0)</f>
        <v>0</v>
      </c>
      <c r="S370" s="1" t="n">
        <f aca="false">IF(AND(K370&lt;&gt;"Context and provider model",K370&lt;&gt;"Motivation"),1,0)</f>
        <v>1</v>
      </c>
    </row>
    <row r="371" customFormat="false" ht="15" hidden="false" customHeight="true" outlineLevel="0" collapsed="false">
      <c r="J371" s="1" t="str">
        <f aca="false">'Raw Atomic Data (Pro)'!A371</f>
        <v>Anita</v>
      </c>
      <c r="K371" s="1" t="str">
        <f aca="false">'Raw Atomic Data (Pro)'!C371</f>
        <v>Booking and availability</v>
      </c>
      <c r="L371" s="1" t="str">
        <f aca="false">'Raw Atomic Data (Pro)'!D371</f>
        <v>calendar-scheduling-tools</v>
      </c>
      <c r="M371" s="1" t="str">
        <f aca="false">'Raw Atomic Data (Pro)'!E371</f>
        <v>fact</v>
      </c>
      <c r="N371" s="1" t="n">
        <f aca="false">IF(OR(M371="friction",M371="need",M371="workaround"),1,0)</f>
        <v>0</v>
      </c>
      <c r="O371" s="1" t="n">
        <f aca="false">IF(COUNTIFS($K$2:K371,K371,$L$2:L371,L371,$M$2:M371,M371,$J$2:J371,J371)=1,1,0)</f>
        <v>0</v>
      </c>
      <c r="P371" s="1" t="n">
        <f aca="false">IF(AND(N371=1,S371=1,COUNTIFS($L$2:L371,L371,$J$2:J371,J371,$N$2:N371,1,$S$2:S371,1)=1),1,0)</f>
        <v>0</v>
      </c>
      <c r="Q371" s="1" t="n">
        <f aca="false">IF(AND(N371=1,S371=1,COUNTIFS($L$2:L371,L371,$K$2:K371,K371,$N$2:N371,1,$S$2:S371,1)=1),1,0)</f>
        <v>0</v>
      </c>
      <c r="R371" s="1" t="n">
        <f aca="false">IF(AND(N371=1,COUNTIFS($K$2:K371,K371,$L$2:L371,L371,$J$2:J371,J371,$N$2:N371,1)=1),1,0)</f>
        <v>0</v>
      </c>
      <c r="S371" s="1" t="n">
        <f aca="false">IF(AND(K371&lt;&gt;"Context and provider model",K371&lt;&gt;"Motivation"),1,0)</f>
        <v>1</v>
      </c>
    </row>
    <row r="372" customFormat="false" ht="15" hidden="false" customHeight="true" outlineLevel="0" collapsed="false">
      <c r="J372" s="1" t="str">
        <f aca="false">'Raw Atomic Data (Pro)'!A372</f>
        <v>Anita</v>
      </c>
      <c r="K372" s="1" t="str">
        <f aca="false">'Raw Atomic Data (Pro)'!C372</f>
        <v>Booking and availability</v>
      </c>
      <c r="L372" s="1" t="str">
        <f aca="false">'Raw Atomic Data (Pro)'!D372</f>
        <v>calendar-scheduling-tools</v>
      </c>
      <c r="M372" s="1" t="str">
        <f aca="false">'Raw Atomic Data (Pro)'!E372</f>
        <v>fact</v>
      </c>
      <c r="N372" s="1" t="n">
        <f aca="false">IF(OR(M372="friction",M372="need",M372="workaround"),1,0)</f>
        <v>0</v>
      </c>
      <c r="O372" s="1" t="n">
        <f aca="false">IF(COUNTIFS($K$2:K372,K372,$L$2:L372,L372,$M$2:M372,M372,$J$2:J372,J372)=1,1,0)</f>
        <v>0</v>
      </c>
      <c r="P372" s="1" t="n">
        <f aca="false">IF(AND(N372=1,S372=1,COUNTIFS($L$2:L372,L372,$J$2:J372,J372,$N$2:N372,1,$S$2:S372,1)=1),1,0)</f>
        <v>0</v>
      </c>
      <c r="Q372" s="1" t="n">
        <f aca="false">IF(AND(N372=1,S372=1,COUNTIFS($L$2:L372,L372,$K$2:K372,K372,$N$2:N372,1,$S$2:S372,1)=1),1,0)</f>
        <v>0</v>
      </c>
      <c r="R372" s="1" t="n">
        <f aca="false">IF(AND(N372=1,COUNTIFS($K$2:K372,K372,$L$2:L372,L372,$J$2:J372,J372,$N$2:N372,1)=1),1,0)</f>
        <v>0</v>
      </c>
      <c r="S372" s="1" t="n">
        <f aca="false">IF(AND(K372&lt;&gt;"Context and provider model",K372&lt;&gt;"Motivation"),1,0)</f>
        <v>1</v>
      </c>
    </row>
    <row r="373" customFormat="false" ht="15" hidden="false" customHeight="true" outlineLevel="0" collapsed="false">
      <c r="J373" s="1" t="str">
        <f aca="false">'Raw Atomic Data (Pro)'!A373</f>
        <v>Becky</v>
      </c>
      <c r="K373" s="1" t="str">
        <f aca="false">'Raw Atomic Data (Pro)'!C373</f>
        <v>Booking and availability</v>
      </c>
      <c r="L373" s="1" t="str">
        <f aca="false">'Raw Atomic Data (Pro)'!D373</f>
        <v>booking-confirmation-mechanics</v>
      </c>
      <c r="M373" s="1" t="str">
        <f aca="false">'Raw Atomic Data (Pro)'!E373</f>
        <v>fact</v>
      </c>
      <c r="N373" s="1" t="n">
        <f aca="false">IF(OR(M373="friction",M373="need",M373="workaround"),1,0)</f>
        <v>0</v>
      </c>
      <c r="O373" s="1" t="n">
        <f aca="false">IF(COUNTIFS($K$2:K373,K373,$L$2:L373,L373,$M$2:M373,M373,$J$2:J373,J373)=1,1,0)</f>
        <v>1</v>
      </c>
      <c r="P373" s="1" t="n">
        <f aca="false">IF(AND(N373=1,S373=1,COUNTIFS($L$2:L373,L373,$J$2:J373,J373,$N$2:N373,1,$S$2:S373,1)=1),1,0)</f>
        <v>0</v>
      </c>
      <c r="Q373" s="1" t="n">
        <f aca="false">IF(AND(N373=1,S373=1,COUNTIFS($L$2:L373,L373,$K$2:K373,K373,$N$2:N373,1,$S$2:S373,1)=1),1,0)</f>
        <v>0</v>
      </c>
      <c r="R373" s="1" t="n">
        <f aca="false">IF(AND(N373=1,COUNTIFS($K$2:K373,K373,$L$2:L373,L373,$J$2:J373,J373,$N$2:N373,1)=1),1,0)</f>
        <v>0</v>
      </c>
      <c r="S373" s="1" t="n">
        <f aca="false">IF(AND(K373&lt;&gt;"Context and provider model",K373&lt;&gt;"Motivation"),1,0)</f>
        <v>1</v>
      </c>
    </row>
    <row r="374" customFormat="false" ht="15" hidden="false" customHeight="true" outlineLevel="0" collapsed="false">
      <c r="J374" s="1" t="str">
        <f aca="false">'Raw Atomic Data (Pro)'!A374</f>
        <v>Becky</v>
      </c>
      <c r="K374" s="1" t="str">
        <f aca="false">'Raw Atomic Data (Pro)'!C374</f>
        <v>Booking and availability</v>
      </c>
      <c r="L374" s="1" t="str">
        <f aca="false">'Raw Atomic Data (Pro)'!D374</f>
        <v>booking-confirmation-mechanics</v>
      </c>
      <c r="M374" s="1" t="str">
        <f aca="false">'Raw Atomic Data (Pro)'!E374</f>
        <v>fact</v>
      </c>
      <c r="N374" s="1" t="n">
        <f aca="false">IF(OR(M374="friction",M374="need",M374="workaround"),1,0)</f>
        <v>0</v>
      </c>
      <c r="O374" s="1" t="n">
        <f aca="false">IF(COUNTIFS($K$2:K374,K374,$L$2:L374,L374,$M$2:M374,M374,$J$2:J374,J374)=1,1,0)</f>
        <v>0</v>
      </c>
      <c r="P374" s="1" t="n">
        <f aca="false">IF(AND(N374=1,S374=1,COUNTIFS($L$2:L374,L374,$J$2:J374,J374,$N$2:N374,1,$S$2:S374,1)=1),1,0)</f>
        <v>0</v>
      </c>
      <c r="Q374" s="1" t="n">
        <f aca="false">IF(AND(N374=1,S374=1,COUNTIFS($L$2:L374,L374,$K$2:K374,K374,$N$2:N374,1,$S$2:S374,1)=1),1,0)</f>
        <v>0</v>
      </c>
      <c r="R374" s="1" t="n">
        <f aca="false">IF(AND(N374=1,COUNTIFS($K$2:K374,K374,$L$2:L374,L374,$J$2:J374,J374,$N$2:N374,1)=1),1,0)</f>
        <v>0</v>
      </c>
      <c r="S374" s="1" t="n">
        <f aca="false">IF(AND(K374&lt;&gt;"Context and provider model",K374&lt;&gt;"Motivation"),1,0)</f>
        <v>1</v>
      </c>
    </row>
    <row r="375" customFormat="false" ht="15" hidden="false" customHeight="true" outlineLevel="0" collapsed="false">
      <c r="J375" s="1" t="str">
        <f aca="false">'Raw Atomic Data (Pro)'!A375</f>
        <v>Becky</v>
      </c>
      <c r="K375" s="1" t="str">
        <f aca="false">'Raw Atomic Data (Pro)'!C375</f>
        <v>Booking and availability</v>
      </c>
      <c r="L375" s="1" t="str">
        <f aca="false">'Raw Atomic Data (Pro)'!D375</f>
        <v>booking-confirmation-mechanics</v>
      </c>
      <c r="M375" s="1" t="str">
        <f aca="false">'Raw Atomic Data (Pro)'!E375</f>
        <v>fact</v>
      </c>
      <c r="N375" s="1" t="n">
        <f aca="false">IF(OR(M375="friction",M375="need",M375="workaround"),1,0)</f>
        <v>0</v>
      </c>
      <c r="O375" s="1" t="n">
        <f aca="false">IF(COUNTIFS($K$2:K375,K375,$L$2:L375,L375,$M$2:M375,M375,$J$2:J375,J375)=1,1,0)</f>
        <v>0</v>
      </c>
      <c r="P375" s="1" t="n">
        <f aca="false">IF(AND(N375=1,S375=1,COUNTIFS($L$2:L375,L375,$J$2:J375,J375,$N$2:N375,1,$S$2:S375,1)=1),1,0)</f>
        <v>0</v>
      </c>
      <c r="Q375" s="1" t="n">
        <f aca="false">IF(AND(N375=1,S375=1,COUNTIFS($L$2:L375,L375,$K$2:K375,K375,$N$2:N375,1,$S$2:S375,1)=1),1,0)</f>
        <v>0</v>
      </c>
      <c r="R375" s="1" t="n">
        <f aca="false">IF(AND(N375=1,COUNTIFS($K$2:K375,K375,$L$2:L375,L375,$J$2:J375,J375,$N$2:N375,1)=1),1,0)</f>
        <v>0</v>
      </c>
      <c r="S375" s="1" t="n">
        <f aca="false">IF(AND(K375&lt;&gt;"Context and provider model",K375&lt;&gt;"Motivation"),1,0)</f>
        <v>1</v>
      </c>
    </row>
    <row r="376" customFormat="false" ht="15" hidden="false" customHeight="true" outlineLevel="0" collapsed="false">
      <c r="J376" s="1" t="str">
        <f aca="false">'Raw Atomic Data (Pro)'!A376</f>
        <v>Becky</v>
      </c>
      <c r="K376" s="1" t="str">
        <f aca="false">'Raw Atomic Data (Pro)'!C376</f>
        <v>Booking and availability</v>
      </c>
      <c r="L376" s="1" t="str">
        <f aca="false">'Raw Atomic Data (Pro)'!D376</f>
        <v>calendar-scheduling-tools</v>
      </c>
      <c r="M376" s="1" t="str">
        <f aca="false">'Raw Atomic Data (Pro)'!E376</f>
        <v>fact</v>
      </c>
      <c r="N376" s="1" t="n">
        <f aca="false">IF(OR(M376="friction",M376="need",M376="workaround"),1,0)</f>
        <v>0</v>
      </c>
      <c r="O376" s="1" t="n">
        <f aca="false">IF(COUNTIFS($K$2:K376,K376,$L$2:L376,L376,$M$2:M376,M376,$J$2:J376,J376)=1,1,0)</f>
        <v>1</v>
      </c>
      <c r="P376" s="1" t="n">
        <f aca="false">IF(AND(N376=1,S376=1,COUNTIFS($L$2:L376,L376,$J$2:J376,J376,$N$2:N376,1,$S$2:S376,1)=1),1,0)</f>
        <v>0</v>
      </c>
      <c r="Q376" s="1" t="n">
        <f aca="false">IF(AND(N376=1,S376=1,COUNTIFS($L$2:L376,L376,$K$2:K376,K376,$N$2:N376,1,$S$2:S376,1)=1),1,0)</f>
        <v>0</v>
      </c>
      <c r="R376" s="1" t="n">
        <f aca="false">IF(AND(N376=1,COUNTIFS($K$2:K376,K376,$L$2:L376,L376,$J$2:J376,J376,$N$2:N376,1)=1),1,0)</f>
        <v>0</v>
      </c>
      <c r="S376" s="1" t="n">
        <f aca="false">IF(AND(K376&lt;&gt;"Context and provider model",K376&lt;&gt;"Motivation"),1,0)</f>
        <v>1</v>
      </c>
    </row>
    <row r="377" customFormat="false" ht="15" hidden="false" customHeight="true" outlineLevel="0" collapsed="false">
      <c r="J377" s="1" t="str">
        <f aca="false">'Raw Atomic Data (Pro)'!A377</f>
        <v>Becky</v>
      </c>
      <c r="K377" s="1" t="str">
        <f aca="false">'Raw Atomic Data (Pro)'!C377</f>
        <v>Booking and availability</v>
      </c>
      <c r="L377" s="1" t="str">
        <f aca="false">'Raw Atomic Data (Pro)'!D377</f>
        <v>calendar-scheduling-tools</v>
      </c>
      <c r="M377" s="1" t="str">
        <f aca="false">'Raw Atomic Data (Pro)'!E377</f>
        <v>fact</v>
      </c>
      <c r="N377" s="1" t="n">
        <f aca="false">IF(OR(M377="friction",M377="need",M377="workaround"),1,0)</f>
        <v>0</v>
      </c>
      <c r="O377" s="1" t="n">
        <f aca="false">IF(COUNTIFS($K$2:K377,K377,$L$2:L377,L377,$M$2:M377,M377,$J$2:J377,J377)=1,1,0)</f>
        <v>0</v>
      </c>
      <c r="P377" s="1" t="n">
        <f aca="false">IF(AND(N377=1,S377=1,COUNTIFS($L$2:L377,L377,$J$2:J377,J377,$N$2:N377,1,$S$2:S377,1)=1),1,0)</f>
        <v>0</v>
      </c>
      <c r="Q377" s="1" t="n">
        <f aca="false">IF(AND(N377=1,S377=1,COUNTIFS($L$2:L377,L377,$K$2:K377,K377,$N$2:N377,1,$S$2:S377,1)=1),1,0)</f>
        <v>0</v>
      </c>
      <c r="R377" s="1" t="n">
        <f aca="false">IF(AND(N377=1,COUNTIFS($K$2:K377,K377,$L$2:L377,L377,$J$2:J377,J377,$N$2:N377,1)=1),1,0)</f>
        <v>0</v>
      </c>
      <c r="S377" s="1" t="n">
        <f aca="false">IF(AND(K377&lt;&gt;"Context and provider model",K377&lt;&gt;"Motivation"),1,0)</f>
        <v>1</v>
      </c>
    </row>
    <row r="378" customFormat="false" ht="15" hidden="false" customHeight="true" outlineLevel="0" collapsed="false">
      <c r="J378" s="1" t="str">
        <f aca="false">'Raw Atomic Data (Pro)'!A378</f>
        <v>Becky</v>
      </c>
      <c r="K378" s="1" t="str">
        <f aca="false">'Raw Atomic Data (Pro)'!C378</f>
        <v>Booking and availability</v>
      </c>
      <c r="L378" s="1" t="str">
        <f aca="false">'Raw Atomic Data (Pro)'!D378</f>
        <v>calendar-scheduling-tools</v>
      </c>
      <c r="M378" s="1" t="str">
        <f aca="false">'Raw Atomic Data (Pro)'!E378</f>
        <v>friction</v>
      </c>
      <c r="N378" s="1" t="n">
        <f aca="false">IF(OR(M378="friction",M378="need",M378="workaround"),1,0)</f>
        <v>1</v>
      </c>
      <c r="O378" s="1" t="n">
        <f aca="false">IF(COUNTIFS($K$2:K378,K378,$L$2:L378,L378,$M$2:M378,M378,$J$2:J378,J378)=1,1,0)</f>
        <v>1</v>
      </c>
      <c r="P378" s="1" t="n">
        <f aca="false">IF(AND(N378=1,S378=1,COUNTIFS($L$2:L378,L378,$J$2:J378,J378,$N$2:N378,1,$S$2:S378,1)=1),1,0)</f>
        <v>1</v>
      </c>
      <c r="Q378" s="1" t="n">
        <f aca="false">IF(AND(N378=1,S378=1,COUNTIFS($L$2:L378,L378,$K$2:K378,K378,$N$2:N378,1,$S$2:S378,1)=1),1,0)</f>
        <v>0</v>
      </c>
      <c r="R378" s="1" t="n">
        <f aca="false">IF(AND(N378=1,COUNTIFS($K$2:K378,K378,$L$2:L378,L378,$J$2:J378,J378,$N$2:N378,1)=1),1,0)</f>
        <v>1</v>
      </c>
      <c r="S378" s="1" t="n">
        <f aca="false">IF(AND(K378&lt;&gt;"Context and provider model",K378&lt;&gt;"Motivation"),1,0)</f>
        <v>1</v>
      </c>
    </row>
    <row r="379" customFormat="false" ht="15" hidden="false" customHeight="true" outlineLevel="0" collapsed="false">
      <c r="J379" s="1" t="str">
        <f aca="false">'Raw Atomic Data (Pro)'!A379</f>
        <v>Becky</v>
      </c>
      <c r="K379" s="1" t="str">
        <f aca="false">'Raw Atomic Data (Pro)'!C379</f>
        <v>Booking and availability</v>
      </c>
      <c r="L379" s="1" t="str">
        <f aca="false">'Raw Atomic Data (Pro)'!D379</f>
        <v>booking-confirmation-mechanics</v>
      </c>
      <c r="M379" s="1" t="str">
        <f aca="false">'Raw Atomic Data (Pro)'!E379</f>
        <v>friction</v>
      </c>
      <c r="N379" s="1" t="n">
        <f aca="false">IF(OR(M379="friction",M379="need",M379="workaround"),1,0)</f>
        <v>1</v>
      </c>
      <c r="O379" s="1" t="n">
        <f aca="false">IF(COUNTIFS($K$2:K379,K379,$L$2:L379,L379,$M$2:M379,M379,$J$2:J379,J379)=1,1,0)</f>
        <v>1</v>
      </c>
      <c r="P379" s="1" t="n">
        <f aca="false">IF(AND(N379=1,S379=1,COUNTIFS($L$2:L379,L379,$J$2:J379,J379,$N$2:N379,1,$S$2:S379,1)=1),1,0)</f>
        <v>1</v>
      </c>
      <c r="Q379" s="1" t="n">
        <f aca="false">IF(AND(N379=1,S379=1,COUNTIFS($L$2:L379,L379,$K$2:K379,K379,$N$2:N379,1,$S$2:S379,1)=1),1,0)</f>
        <v>0</v>
      </c>
      <c r="R379" s="1" t="n">
        <f aca="false">IF(AND(N379=1,COUNTIFS($K$2:K379,K379,$L$2:L379,L379,$J$2:J379,J379,$N$2:N379,1)=1),1,0)</f>
        <v>1</v>
      </c>
      <c r="S379" s="1" t="n">
        <f aca="false">IF(AND(K379&lt;&gt;"Context and provider model",K379&lt;&gt;"Motivation"),1,0)</f>
        <v>1</v>
      </c>
    </row>
    <row r="380" customFormat="false" ht="15" hidden="false" customHeight="true" outlineLevel="0" collapsed="false">
      <c r="J380" s="1" t="str">
        <f aca="false">'Raw Atomic Data (Pro)'!A380</f>
        <v>Becky</v>
      </c>
      <c r="K380" s="1" t="str">
        <f aca="false">'Raw Atomic Data (Pro)'!C380</f>
        <v>Booking and availability</v>
      </c>
      <c r="L380" s="1" t="str">
        <f aca="false">'Raw Atomic Data (Pro)'!D380</f>
        <v>calendar-scheduling-tools</v>
      </c>
      <c r="M380" s="1" t="str">
        <f aca="false">'Raw Atomic Data (Pro)'!E380</f>
        <v>friction</v>
      </c>
      <c r="N380" s="1" t="n">
        <f aca="false">IF(OR(M380="friction",M380="need",M380="workaround"),1,0)</f>
        <v>1</v>
      </c>
      <c r="O380" s="1" t="n">
        <f aca="false">IF(COUNTIFS($K$2:K380,K380,$L$2:L380,L380,$M$2:M380,M380,$J$2:J380,J380)=1,1,0)</f>
        <v>0</v>
      </c>
      <c r="P380" s="1" t="n">
        <f aca="false">IF(AND(N380=1,S380=1,COUNTIFS($L$2:L380,L380,$J$2:J380,J380,$N$2:N380,1,$S$2:S380,1)=1),1,0)</f>
        <v>0</v>
      </c>
      <c r="Q380" s="1" t="n">
        <f aca="false">IF(AND(N380=1,S380=1,COUNTIFS($L$2:L380,L380,$K$2:K380,K380,$N$2:N380,1,$S$2:S380,1)=1),1,0)</f>
        <v>0</v>
      </c>
      <c r="R380" s="1" t="n">
        <f aca="false">IF(AND(N380=1,COUNTIFS($K$2:K380,K380,$L$2:L380,L380,$J$2:J380,J380,$N$2:N380,1)=1),1,0)</f>
        <v>0</v>
      </c>
      <c r="S380" s="1" t="n">
        <f aca="false">IF(AND(K380&lt;&gt;"Context and provider model",K380&lt;&gt;"Motivation"),1,0)</f>
        <v>1</v>
      </c>
    </row>
    <row r="381" customFormat="false" ht="15" hidden="false" customHeight="true" outlineLevel="0" collapsed="false">
      <c r="J381" s="1" t="str">
        <f aca="false">'Raw Atomic Data (Pro)'!A381</f>
        <v>Becky</v>
      </c>
      <c r="K381" s="1" t="str">
        <f aca="false">'Raw Atomic Data (Pro)'!C381</f>
        <v>Booking and availability</v>
      </c>
      <c r="L381" s="1" t="str">
        <f aca="false">'Raw Atomic Data (Pro)'!D381</f>
        <v>calendar-scheduling-tools</v>
      </c>
      <c r="M381" s="1" t="str">
        <f aca="false">'Raw Atomic Data (Pro)'!E381</f>
        <v>friction</v>
      </c>
      <c r="N381" s="1" t="n">
        <f aca="false">IF(OR(M381="friction",M381="need",M381="workaround"),1,0)</f>
        <v>1</v>
      </c>
      <c r="O381" s="1" t="n">
        <f aca="false">IF(COUNTIFS($K$2:K381,K381,$L$2:L381,L381,$M$2:M381,M381,$J$2:J381,J381)=1,1,0)</f>
        <v>0</v>
      </c>
      <c r="P381" s="1" t="n">
        <f aca="false">IF(AND(N381=1,S381=1,COUNTIFS($L$2:L381,L381,$J$2:J381,J381,$N$2:N381,1,$S$2:S381,1)=1),1,0)</f>
        <v>0</v>
      </c>
      <c r="Q381" s="1" t="n">
        <f aca="false">IF(AND(N381=1,S381=1,COUNTIFS($L$2:L381,L381,$K$2:K381,K381,$N$2:N381,1,$S$2:S381,1)=1),1,0)</f>
        <v>0</v>
      </c>
      <c r="R381" s="1" t="n">
        <f aca="false">IF(AND(N381=1,COUNTIFS($K$2:K381,K381,$L$2:L381,L381,$J$2:J381,J381,$N$2:N381,1)=1),1,0)</f>
        <v>0</v>
      </c>
      <c r="S381" s="1" t="n">
        <f aca="false">IF(AND(K381&lt;&gt;"Context and provider model",K381&lt;&gt;"Motivation"),1,0)</f>
        <v>1</v>
      </c>
    </row>
    <row r="382" customFormat="false" ht="15" hidden="false" customHeight="true" outlineLevel="0" collapsed="false">
      <c r="J382" s="1" t="str">
        <f aca="false">'Raw Atomic Data (Pro)'!A382</f>
        <v>Becky</v>
      </c>
      <c r="K382" s="1" t="str">
        <f aca="false">'Raw Atomic Data (Pro)'!C382</f>
        <v>Booking and availability</v>
      </c>
      <c r="L382" s="1" t="str">
        <f aca="false">'Raw Atomic Data (Pro)'!D382</f>
        <v>calendar-scheduling-tools</v>
      </c>
      <c r="M382" s="1" t="str">
        <f aca="false">'Raw Atomic Data (Pro)'!E382</f>
        <v>friction</v>
      </c>
      <c r="N382" s="1" t="n">
        <f aca="false">IF(OR(M382="friction",M382="need",M382="workaround"),1,0)</f>
        <v>1</v>
      </c>
      <c r="O382" s="1" t="n">
        <f aca="false">IF(COUNTIFS($K$2:K382,K382,$L$2:L382,L382,$M$2:M382,M382,$J$2:J382,J382)=1,1,0)</f>
        <v>0</v>
      </c>
      <c r="P382" s="1" t="n">
        <f aca="false">IF(AND(N382=1,S382=1,COUNTIFS($L$2:L382,L382,$J$2:J382,J382,$N$2:N382,1,$S$2:S382,1)=1),1,0)</f>
        <v>0</v>
      </c>
      <c r="Q382" s="1" t="n">
        <f aca="false">IF(AND(N382=1,S382=1,COUNTIFS($L$2:L382,L382,$K$2:K382,K382,$N$2:N382,1,$S$2:S382,1)=1),1,0)</f>
        <v>0</v>
      </c>
      <c r="R382" s="1" t="n">
        <f aca="false">IF(AND(N382=1,COUNTIFS($K$2:K382,K382,$L$2:L382,L382,$J$2:J382,J382,$N$2:N382,1)=1),1,0)</f>
        <v>0</v>
      </c>
      <c r="S382" s="1" t="n">
        <f aca="false">IF(AND(K382&lt;&gt;"Context and provider model",K382&lt;&gt;"Motivation"),1,0)</f>
        <v>1</v>
      </c>
    </row>
    <row r="383" customFormat="false" ht="15" hidden="false" customHeight="true" outlineLevel="0" collapsed="false">
      <c r="J383" s="1" t="str">
        <f aca="false">'Raw Atomic Data (Pro)'!A383</f>
        <v>Becky</v>
      </c>
      <c r="K383" s="1" t="str">
        <f aca="false">'Raw Atomic Data (Pro)'!C383</f>
        <v>Booking and availability</v>
      </c>
      <c r="L383" s="1" t="str">
        <f aca="false">'Raw Atomic Data (Pro)'!D383</f>
        <v>calendar-scheduling-tools</v>
      </c>
      <c r="M383" s="1" t="str">
        <f aca="false">'Raw Atomic Data (Pro)'!E383</f>
        <v>need</v>
      </c>
      <c r="N383" s="1" t="n">
        <f aca="false">IF(OR(M383="friction",M383="need",M383="workaround"),1,0)</f>
        <v>1</v>
      </c>
      <c r="O383" s="1" t="n">
        <f aca="false">IF(COUNTIFS($K$2:K383,K383,$L$2:L383,L383,$M$2:M383,M383,$J$2:J383,J383)=1,1,0)</f>
        <v>1</v>
      </c>
      <c r="P383" s="1" t="n">
        <f aca="false">IF(AND(N383=1,S383=1,COUNTIFS($L$2:L383,L383,$J$2:J383,J383,$N$2:N383,1,$S$2:S383,1)=1),1,0)</f>
        <v>0</v>
      </c>
      <c r="Q383" s="1" t="n">
        <f aca="false">IF(AND(N383=1,S383=1,COUNTIFS($L$2:L383,L383,$K$2:K383,K383,$N$2:N383,1,$S$2:S383,1)=1),1,0)</f>
        <v>0</v>
      </c>
      <c r="R383" s="1" t="n">
        <f aca="false">IF(AND(N383=1,COUNTIFS($K$2:K383,K383,$L$2:L383,L383,$J$2:J383,J383,$N$2:N383,1)=1),1,0)</f>
        <v>0</v>
      </c>
      <c r="S383" s="1" t="n">
        <f aca="false">IF(AND(K383&lt;&gt;"Context and provider model",K383&lt;&gt;"Motivation"),1,0)</f>
        <v>1</v>
      </c>
    </row>
    <row r="384" customFormat="false" ht="15" hidden="false" customHeight="true" outlineLevel="0" collapsed="false">
      <c r="J384" s="1" t="str">
        <f aca="false">'Raw Atomic Data (Pro)'!A384</f>
        <v>Becky</v>
      </c>
      <c r="K384" s="1" t="str">
        <f aca="false">'Raw Atomic Data (Pro)'!C384</f>
        <v>Booking and availability</v>
      </c>
      <c r="L384" s="1" t="str">
        <f aca="false">'Raw Atomic Data (Pro)'!D384</f>
        <v>sitter-support-resources</v>
      </c>
      <c r="M384" s="1" t="str">
        <f aca="false">'Raw Atomic Data (Pro)'!E384</f>
        <v>friction</v>
      </c>
      <c r="N384" s="1" t="n">
        <f aca="false">IF(OR(M384="friction",M384="need",M384="workaround"),1,0)</f>
        <v>1</v>
      </c>
      <c r="O384" s="1" t="n">
        <f aca="false">IF(COUNTIFS($K$2:K384,K384,$L$2:L384,L384,$M$2:M384,M384,$J$2:J384,J384)=1,1,0)</f>
        <v>1</v>
      </c>
      <c r="P384" s="1" t="n">
        <f aca="false">IF(AND(N384=1,S384=1,COUNTIFS($L$2:L384,L384,$J$2:J384,J384,$N$2:N384,1,$S$2:S384,1)=1),1,0)</f>
        <v>1</v>
      </c>
      <c r="Q384" s="1" t="n">
        <f aca="false">IF(AND(N384=1,S384=1,COUNTIFS($L$2:L384,L384,$K$2:K384,K384,$N$2:N384,1,$S$2:S384,1)=1),1,0)</f>
        <v>1</v>
      </c>
      <c r="R384" s="1" t="n">
        <f aca="false">IF(AND(N384=1,COUNTIFS($K$2:K384,K384,$L$2:L384,L384,$J$2:J384,J384,$N$2:N384,1)=1),1,0)</f>
        <v>1</v>
      </c>
      <c r="S384" s="1" t="n">
        <f aca="false">IF(AND(K384&lt;&gt;"Context and provider model",K384&lt;&gt;"Motivation"),1,0)</f>
        <v>1</v>
      </c>
    </row>
    <row r="385" customFormat="false" ht="15" hidden="false" customHeight="true" outlineLevel="0" collapsed="false">
      <c r="J385" s="1" t="str">
        <f aca="false">'Raw Atomic Data (Pro)'!A385</f>
        <v>Bruna</v>
      </c>
      <c r="K385" s="1" t="str">
        <f aca="false">'Raw Atomic Data (Pro)'!C385</f>
        <v>Booking and availability</v>
      </c>
      <c r="L385" s="1" t="str">
        <f aca="false">'Raw Atomic Data (Pro)'!D385</f>
        <v>calendar-scheduling-tools</v>
      </c>
      <c r="M385" s="1" t="str">
        <f aca="false">'Raw Atomic Data (Pro)'!E385</f>
        <v>fact</v>
      </c>
      <c r="N385" s="1" t="n">
        <f aca="false">IF(OR(M385="friction",M385="need",M385="workaround"),1,0)</f>
        <v>0</v>
      </c>
      <c r="O385" s="1" t="n">
        <f aca="false">IF(COUNTIFS($K$2:K385,K385,$L$2:L385,L385,$M$2:M385,M385,$J$2:J385,J385)=1,1,0)</f>
        <v>1</v>
      </c>
      <c r="P385" s="1" t="n">
        <f aca="false">IF(AND(N385=1,S385=1,COUNTIFS($L$2:L385,L385,$J$2:J385,J385,$N$2:N385,1,$S$2:S385,1)=1),1,0)</f>
        <v>0</v>
      </c>
      <c r="Q385" s="1" t="n">
        <f aca="false">IF(AND(N385=1,S385=1,COUNTIFS($L$2:L385,L385,$K$2:K385,K385,$N$2:N385,1,$S$2:S385,1)=1),1,0)</f>
        <v>0</v>
      </c>
      <c r="R385" s="1" t="n">
        <f aca="false">IF(AND(N385=1,COUNTIFS($K$2:K385,K385,$L$2:L385,L385,$J$2:J385,J385,$N$2:N385,1)=1),1,0)</f>
        <v>0</v>
      </c>
      <c r="S385" s="1" t="n">
        <f aca="false">IF(AND(K385&lt;&gt;"Context and provider model",K385&lt;&gt;"Motivation"),1,0)</f>
        <v>1</v>
      </c>
    </row>
    <row r="386" customFormat="false" ht="15" hidden="false" customHeight="true" outlineLevel="0" collapsed="false">
      <c r="J386" s="1" t="str">
        <f aca="false">'Raw Atomic Data (Pro)'!A386</f>
        <v>Bruna</v>
      </c>
      <c r="K386" s="1" t="str">
        <f aca="false">'Raw Atomic Data (Pro)'!C386</f>
        <v>Booking and availability</v>
      </c>
      <c r="L386" s="1" t="str">
        <f aca="false">'Raw Atomic Data (Pro)'!D386</f>
        <v>booking-confirmation-mechanics</v>
      </c>
      <c r="M386" s="1" t="str">
        <f aca="false">'Raw Atomic Data (Pro)'!E386</f>
        <v>fact</v>
      </c>
      <c r="N386" s="1" t="n">
        <f aca="false">IF(OR(M386="friction",M386="need",M386="workaround"),1,0)</f>
        <v>0</v>
      </c>
      <c r="O386" s="1" t="n">
        <f aca="false">IF(COUNTIFS($K$2:K386,K386,$L$2:L386,L386,$M$2:M386,M386,$J$2:J386,J386)=1,1,0)</f>
        <v>1</v>
      </c>
      <c r="P386" s="1" t="n">
        <f aca="false">IF(AND(N386=1,S386=1,COUNTIFS($L$2:L386,L386,$J$2:J386,J386,$N$2:N386,1,$S$2:S386,1)=1),1,0)</f>
        <v>0</v>
      </c>
      <c r="Q386" s="1" t="n">
        <f aca="false">IF(AND(N386=1,S386=1,COUNTIFS($L$2:L386,L386,$K$2:K386,K386,$N$2:N386,1,$S$2:S386,1)=1),1,0)</f>
        <v>0</v>
      </c>
      <c r="R386" s="1" t="n">
        <f aca="false">IF(AND(N386=1,COUNTIFS($K$2:K386,K386,$L$2:L386,L386,$J$2:J386,J386,$N$2:N386,1)=1),1,0)</f>
        <v>0</v>
      </c>
      <c r="S386" s="1" t="n">
        <f aca="false">IF(AND(K386&lt;&gt;"Context and provider model",K386&lt;&gt;"Motivation"),1,0)</f>
        <v>1</v>
      </c>
    </row>
    <row r="387" customFormat="false" ht="15" hidden="false" customHeight="true" outlineLevel="0" collapsed="false">
      <c r="J387" s="1" t="str">
        <f aca="false">'Raw Atomic Data (Pro)'!A387</f>
        <v>Bruna</v>
      </c>
      <c r="K387" s="1" t="str">
        <f aca="false">'Raw Atomic Data (Pro)'!C387</f>
        <v>Booking and availability</v>
      </c>
      <c r="L387" s="1" t="str">
        <f aca="false">'Raw Atomic Data (Pro)'!D387</f>
        <v>booking-confirmation-mechanics</v>
      </c>
      <c r="M387" s="1" t="str">
        <f aca="false">'Raw Atomic Data (Pro)'!E387</f>
        <v>value-statement</v>
      </c>
      <c r="N387" s="1" t="n">
        <f aca="false">IF(OR(M387="friction",M387="need",M387="workaround"),1,0)</f>
        <v>0</v>
      </c>
      <c r="O387" s="1" t="n">
        <f aca="false">IF(COUNTIFS($K$2:K387,K387,$L$2:L387,L387,$M$2:M387,M387,$J$2:J387,J387)=1,1,0)</f>
        <v>1</v>
      </c>
      <c r="P387" s="1" t="n">
        <f aca="false">IF(AND(N387=1,S387=1,COUNTIFS($L$2:L387,L387,$J$2:J387,J387,$N$2:N387,1,$S$2:S387,1)=1),1,0)</f>
        <v>0</v>
      </c>
      <c r="Q387" s="1" t="n">
        <f aca="false">IF(AND(N387=1,S387=1,COUNTIFS($L$2:L387,L387,$K$2:K387,K387,$N$2:N387,1,$S$2:S387,1)=1),1,0)</f>
        <v>0</v>
      </c>
      <c r="R387" s="1" t="n">
        <f aca="false">IF(AND(N387=1,COUNTIFS($K$2:K387,K387,$L$2:L387,L387,$J$2:J387,J387,$N$2:N387,1)=1),1,0)</f>
        <v>0</v>
      </c>
      <c r="S387" s="1" t="n">
        <f aca="false">IF(AND(K387&lt;&gt;"Context and provider model",K387&lt;&gt;"Motivation"),1,0)</f>
        <v>1</v>
      </c>
    </row>
    <row r="388" customFormat="false" ht="15" hidden="false" customHeight="true" outlineLevel="0" collapsed="false">
      <c r="J388" s="1" t="str">
        <f aca="false">'Raw Atomic Data (Pro)'!A388</f>
        <v>Colin</v>
      </c>
      <c r="K388" s="1" t="str">
        <f aca="false">'Raw Atomic Data (Pro)'!C388</f>
        <v>Booking and availability</v>
      </c>
      <c r="L388" s="1" t="str">
        <f aca="false">'Raw Atomic Data (Pro)'!D388</f>
        <v>calendar-scheduling-tools</v>
      </c>
      <c r="M388" s="1" t="str">
        <f aca="false">'Raw Atomic Data (Pro)'!E388</f>
        <v>value-statement</v>
      </c>
      <c r="N388" s="1" t="n">
        <f aca="false">IF(OR(M388="friction",M388="need",M388="workaround"),1,0)</f>
        <v>0</v>
      </c>
      <c r="O388" s="1" t="n">
        <f aca="false">IF(COUNTIFS($K$2:K388,K388,$L$2:L388,L388,$M$2:M388,M388,$J$2:J388,J388)=1,1,0)</f>
        <v>1</v>
      </c>
      <c r="P388" s="1" t="n">
        <f aca="false">IF(AND(N388=1,S388=1,COUNTIFS($L$2:L388,L388,$J$2:J388,J388,$N$2:N388,1,$S$2:S388,1)=1),1,0)</f>
        <v>0</v>
      </c>
      <c r="Q388" s="1" t="n">
        <f aca="false">IF(AND(N388=1,S388=1,COUNTIFS($L$2:L388,L388,$K$2:K388,K388,$N$2:N388,1,$S$2:S388,1)=1),1,0)</f>
        <v>0</v>
      </c>
      <c r="R388" s="1" t="n">
        <f aca="false">IF(AND(N388=1,COUNTIFS($K$2:K388,K388,$L$2:L388,L388,$J$2:J388,J388,$N$2:N388,1)=1),1,0)</f>
        <v>0</v>
      </c>
      <c r="S388" s="1" t="n">
        <f aca="false">IF(AND(K388&lt;&gt;"Context and provider model",K388&lt;&gt;"Motivation"),1,0)</f>
        <v>1</v>
      </c>
    </row>
    <row r="389" customFormat="false" ht="15" hidden="false" customHeight="true" outlineLevel="0" collapsed="false">
      <c r="J389" s="1" t="str">
        <f aca="false">'Raw Atomic Data (Pro)'!A389</f>
        <v>Colin</v>
      </c>
      <c r="K389" s="1" t="str">
        <f aca="false">'Raw Atomic Data (Pro)'!C389</f>
        <v>Booking and availability</v>
      </c>
      <c r="L389" s="1" t="str">
        <f aca="false">'Raw Atomic Data (Pro)'!D389</f>
        <v>calendar-scheduling-tools</v>
      </c>
      <c r="M389" s="1" t="str">
        <f aca="false">'Raw Atomic Data (Pro)'!E389</f>
        <v>fact</v>
      </c>
      <c r="N389" s="1" t="n">
        <f aca="false">IF(OR(M389="friction",M389="need",M389="workaround"),1,0)</f>
        <v>0</v>
      </c>
      <c r="O389" s="1" t="n">
        <f aca="false">IF(COUNTIFS($K$2:K389,K389,$L$2:L389,L389,$M$2:M389,M389,$J$2:J389,J389)=1,1,0)</f>
        <v>1</v>
      </c>
      <c r="P389" s="1" t="n">
        <f aca="false">IF(AND(N389=1,S389=1,COUNTIFS($L$2:L389,L389,$J$2:J389,J389,$N$2:N389,1,$S$2:S389,1)=1),1,0)</f>
        <v>0</v>
      </c>
      <c r="Q389" s="1" t="n">
        <f aca="false">IF(AND(N389=1,S389=1,COUNTIFS($L$2:L389,L389,$K$2:K389,K389,$N$2:N389,1,$S$2:S389,1)=1),1,0)</f>
        <v>0</v>
      </c>
      <c r="R389" s="1" t="n">
        <f aca="false">IF(AND(N389=1,COUNTIFS($K$2:K389,K389,$L$2:L389,L389,$J$2:J389,J389,$N$2:N389,1)=1),1,0)</f>
        <v>0</v>
      </c>
      <c r="S389" s="1" t="n">
        <f aca="false">IF(AND(K389&lt;&gt;"Context and provider model",K389&lt;&gt;"Motivation"),1,0)</f>
        <v>1</v>
      </c>
    </row>
    <row r="390" customFormat="false" ht="15" hidden="false" customHeight="true" outlineLevel="0" collapsed="false">
      <c r="J390" s="1" t="str">
        <f aca="false">'Raw Atomic Data (Pro)'!A390</f>
        <v>Colin</v>
      </c>
      <c r="K390" s="1" t="str">
        <f aca="false">'Raw Atomic Data (Pro)'!C390</f>
        <v>Booking and availability</v>
      </c>
      <c r="L390" s="1" t="str">
        <f aca="false">'Raw Atomic Data (Pro)'!D390</f>
        <v>calendar-scheduling-tools</v>
      </c>
      <c r="M390" s="1" t="str">
        <f aca="false">'Raw Atomic Data (Pro)'!E390</f>
        <v>workaround</v>
      </c>
      <c r="N390" s="1" t="n">
        <f aca="false">IF(OR(M390="friction",M390="need",M390="workaround"),1,0)</f>
        <v>1</v>
      </c>
      <c r="O390" s="1" t="n">
        <f aca="false">IF(COUNTIFS($K$2:K390,K390,$L$2:L390,L390,$M$2:M390,M390,$J$2:J390,J390)=1,1,0)</f>
        <v>1</v>
      </c>
      <c r="P390" s="1" t="n">
        <f aca="false">IF(AND(N390=1,S390=1,COUNTIFS($L$2:L390,L390,$J$2:J390,J390,$N$2:N390,1,$S$2:S390,1)=1),1,0)</f>
        <v>1</v>
      </c>
      <c r="Q390" s="1" t="n">
        <f aca="false">IF(AND(N390=1,S390=1,COUNTIFS($L$2:L390,L390,$K$2:K390,K390,$N$2:N390,1,$S$2:S390,1)=1),1,0)</f>
        <v>0</v>
      </c>
      <c r="R390" s="1" t="n">
        <f aca="false">IF(AND(N390=1,COUNTIFS($K$2:K390,K390,$L$2:L390,L390,$J$2:J390,J390,$N$2:N390,1)=1),1,0)</f>
        <v>1</v>
      </c>
      <c r="S390" s="1" t="n">
        <f aca="false">IF(AND(K390&lt;&gt;"Context and provider model",K390&lt;&gt;"Motivation"),1,0)</f>
        <v>1</v>
      </c>
    </row>
    <row r="391" customFormat="false" ht="15" hidden="false" customHeight="true" outlineLevel="0" collapsed="false">
      <c r="J391" s="1" t="str">
        <f aca="false">'Raw Atomic Data (Pro)'!A391</f>
        <v>Colin</v>
      </c>
      <c r="K391" s="1" t="str">
        <f aca="false">'Raw Atomic Data (Pro)'!C391</f>
        <v>Booking and availability</v>
      </c>
      <c r="L391" s="1" t="str">
        <f aca="false">'Raw Atomic Data (Pro)'!D391</f>
        <v>booking-confirmation-mechanics</v>
      </c>
      <c r="M391" s="1" t="str">
        <f aca="false">'Raw Atomic Data (Pro)'!E391</f>
        <v>fact</v>
      </c>
      <c r="N391" s="1" t="n">
        <f aca="false">IF(OR(M391="friction",M391="need",M391="workaround"),1,0)</f>
        <v>0</v>
      </c>
      <c r="O391" s="1" t="n">
        <f aca="false">IF(COUNTIFS($K$2:K391,K391,$L$2:L391,L391,$M$2:M391,M391,$J$2:J391,J391)=1,1,0)</f>
        <v>1</v>
      </c>
      <c r="P391" s="1" t="n">
        <f aca="false">IF(AND(N391=1,S391=1,COUNTIFS($L$2:L391,L391,$J$2:J391,J391,$N$2:N391,1,$S$2:S391,1)=1),1,0)</f>
        <v>0</v>
      </c>
      <c r="Q391" s="1" t="n">
        <f aca="false">IF(AND(N391=1,S391=1,COUNTIFS($L$2:L391,L391,$K$2:K391,K391,$N$2:N391,1,$S$2:S391,1)=1),1,0)</f>
        <v>0</v>
      </c>
      <c r="R391" s="1" t="n">
        <f aca="false">IF(AND(N391=1,COUNTIFS($K$2:K391,K391,$L$2:L391,L391,$J$2:J391,J391,$N$2:N391,1)=1),1,0)</f>
        <v>0</v>
      </c>
      <c r="S391" s="1" t="n">
        <f aca="false">IF(AND(K391&lt;&gt;"Context and provider model",K391&lt;&gt;"Motivation"),1,0)</f>
        <v>1</v>
      </c>
    </row>
    <row r="392" customFormat="false" ht="15" hidden="false" customHeight="true" outlineLevel="0" collapsed="false">
      <c r="J392" s="1" t="str">
        <f aca="false">'Raw Atomic Data (Pro)'!A392</f>
        <v>Colin</v>
      </c>
      <c r="K392" s="1" t="str">
        <f aca="false">'Raw Atomic Data (Pro)'!C392</f>
        <v>Booking and availability</v>
      </c>
      <c r="L392" s="1" t="str">
        <f aca="false">'Raw Atomic Data (Pro)'!D392</f>
        <v>booking-confirmation-mechanics</v>
      </c>
      <c r="M392" s="1" t="str">
        <f aca="false">'Raw Atomic Data (Pro)'!E392</f>
        <v>fact</v>
      </c>
      <c r="N392" s="1" t="n">
        <f aca="false">IF(OR(M392="friction",M392="need",M392="workaround"),1,0)</f>
        <v>0</v>
      </c>
      <c r="O392" s="1" t="n">
        <f aca="false">IF(COUNTIFS($K$2:K392,K392,$L$2:L392,L392,$M$2:M392,M392,$J$2:J392,J392)=1,1,0)</f>
        <v>0</v>
      </c>
      <c r="P392" s="1" t="n">
        <f aca="false">IF(AND(N392=1,S392=1,COUNTIFS($L$2:L392,L392,$J$2:J392,J392,$N$2:N392,1,$S$2:S392,1)=1),1,0)</f>
        <v>0</v>
      </c>
      <c r="Q392" s="1" t="n">
        <f aca="false">IF(AND(N392=1,S392=1,COUNTIFS($L$2:L392,L392,$K$2:K392,K392,$N$2:N392,1,$S$2:S392,1)=1),1,0)</f>
        <v>0</v>
      </c>
      <c r="R392" s="1" t="n">
        <f aca="false">IF(AND(N392=1,COUNTIFS($K$2:K392,K392,$L$2:L392,L392,$J$2:J392,J392,$N$2:N392,1)=1),1,0)</f>
        <v>0</v>
      </c>
      <c r="S392" s="1" t="n">
        <f aca="false">IF(AND(K392&lt;&gt;"Context and provider model",K392&lt;&gt;"Motivation"),1,0)</f>
        <v>1</v>
      </c>
    </row>
    <row r="393" customFormat="false" ht="15" hidden="false" customHeight="true" outlineLevel="0" collapsed="false">
      <c r="J393" s="1" t="str">
        <f aca="false">'Raw Atomic Data (Pro)'!A393</f>
        <v>Colin</v>
      </c>
      <c r="K393" s="1" t="str">
        <f aca="false">'Raw Atomic Data (Pro)'!C393</f>
        <v>Booking and availability</v>
      </c>
      <c r="L393" s="1" t="str">
        <f aca="false">'Raw Atomic Data (Pro)'!D393</f>
        <v>booking-confirmation-mechanics</v>
      </c>
      <c r="M393" s="1" t="str">
        <f aca="false">'Raw Atomic Data (Pro)'!E393</f>
        <v>fact</v>
      </c>
      <c r="N393" s="1" t="n">
        <f aca="false">IF(OR(M393="friction",M393="need",M393="workaround"),1,0)</f>
        <v>0</v>
      </c>
      <c r="O393" s="1" t="n">
        <f aca="false">IF(COUNTIFS($K$2:K393,K393,$L$2:L393,L393,$M$2:M393,M393,$J$2:J393,J393)=1,1,0)</f>
        <v>0</v>
      </c>
      <c r="P393" s="1" t="n">
        <f aca="false">IF(AND(N393=1,S393=1,COUNTIFS($L$2:L393,L393,$J$2:J393,J393,$N$2:N393,1,$S$2:S393,1)=1),1,0)</f>
        <v>0</v>
      </c>
      <c r="Q393" s="1" t="n">
        <f aca="false">IF(AND(N393=1,S393=1,COUNTIFS($L$2:L393,L393,$K$2:K393,K393,$N$2:N393,1,$S$2:S393,1)=1),1,0)</f>
        <v>0</v>
      </c>
      <c r="R393" s="1" t="n">
        <f aca="false">IF(AND(N393=1,COUNTIFS($K$2:K393,K393,$L$2:L393,L393,$J$2:J393,J393,$N$2:N393,1)=1),1,0)</f>
        <v>0</v>
      </c>
      <c r="S393" s="1" t="n">
        <f aca="false">IF(AND(K393&lt;&gt;"Context and provider model",K393&lt;&gt;"Motivation"),1,0)</f>
        <v>1</v>
      </c>
    </row>
    <row r="394" customFormat="false" ht="15" hidden="false" customHeight="true" outlineLevel="0" collapsed="false">
      <c r="J394" s="1" t="str">
        <f aca="false">'Raw Atomic Data (Pro)'!A394</f>
        <v>Dawn</v>
      </c>
      <c r="K394" s="1" t="str">
        <f aca="false">'Raw Atomic Data (Pro)'!C394</f>
        <v>Booking and availability</v>
      </c>
      <c r="L394" s="1" t="str">
        <f aca="false">'Raw Atomic Data (Pro)'!D394</f>
        <v>booking-confirmation-mechanics</v>
      </c>
      <c r="M394" s="1" t="str">
        <f aca="false">'Raw Atomic Data (Pro)'!E394</f>
        <v>fact</v>
      </c>
      <c r="N394" s="1" t="n">
        <f aca="false">IF(OR(M394="friction",M394="need",M394="workaround"),1,0)</f>
        <v>0</v>
      </c>
      <c r="O394" s="1" t="n">
        <f aca="false">IF(COUNTIFS($K$2:K394,K394,$L$2:L394,L394,$M$2:M394,M394,$J$2:J394,J394)=1,1,0)</f>
        <v>1</v>
      </c>
      <c r="P394" s="1" t="n">
        <f aca="false">IF(AND(N394=1,S394=1,COUNTIFS($L$2:L394,L394,$J$2:J394,J394,$N$2:N394,1,$S$2:S394,1)=1),1,0)</f>
        <v>0</v>
      </c>
      <c r="Q394" s="1" t="n">
        <f aca="false">IF(AND(N394=1,S394=1,COUNTIFS($L$2:L394,L394,$K$2:K394,K394,$N$2:N394,1,$S$2:S394,1)=1),1,0)</f>
        <v>0</v>
      </c>
      <c r="R394" s="1" t="n">
        <f aca="false">IF(AND(N394=1,COUNTIFS($K$2:K394,K394,$L$2:L394,L394,$J$2:J394,J394,$N$2:N394,1)=1),1,0)</f>
        <v>0</v>
      </c>
      <c r="S394" s="1" t="n">
        <f aca="false">IF(AND(K394&lt;&gt;"Context and provider model",K394&lt;&gt;"Motivation"),1,0)</f>
        <v>1</v>
      </c>
    </row>
    <row r="395" customFormat="false" ht="15" hidden="false" customHeight="true" outlineLevel="0" collapsed="false">
      <c r="J395" s="1" t="str">
        <f aca="false">'Raw Atomic Data (Pro)'!A395</f>
        <v>Dawn</v>
      </c>
      <c r="K395" s="1" t="str">
        <f aca="false">'Raw Atomic Data (Pro)'!C395</f>
        <v>Booking and availability</v>
      </c>
      <c r="L395" s="1" t="str">
        <f aca="false">'Raw Atomic Data (Pro)'!D395</f>
        <v>calendar-scheduling-tools</v>
      </c>
      <c r="M395" s="1" t="str">
        <f aca="false">'Raw Atomic Data (Pro)'!E395</f>
        <v>need</v>
      </c>
      <c r="N395" s="1" t="n">
        <f aca="false">IF(OR(M395="friction",M395="need",M395="workaround"),1,0)</f>
        <v>1</v>
      </c>
      <c r="O395" s="1" t="n">
        <f aca="false">IF(COUNTIFS($K$2:K395,K395,$L$2:L395,L395,$M$2:M395,M395,$J$2:J395,J395)=1,1,0)</f>
        <v>1</v>
      </c>
      <c r="P395" s="1" t="n">
        <f aca="false">IF(AND(N395=1,S395=1,COUNTIFS($L$2:L395,L395,$J$2:J395,J395,$N$2:N395,1,$S$2:S395,1)=1),1,0)</f>
        <v>1</v>
      </c>
      <c r="Q395" s="1" t="n">
        <f aca="false">IF(AND(N395=1,S395=1,COUNTIFS($L$2:L395,L395,$K$2:K395,K395,$N$2:N395,1,$S$2:S395,1)=1),1,0)</f>
        <v>0</v>
      </c>
      <c r="R395" s="1" t="n">
        <f aca="false">IF(AND(N395=1,COUNTIFS($K$2:K395,K395,$L$2:L395,L395,$J$2:J395,J395,$N$2:N395,1)=1),1,0)</f>
        <v>1</v>
      </c>
      <c r="S395" s="1" t="n">
        <f aca="false">IF(AND(K395&lt;&gt;"Context and provider model",K395&lt;&gt;"Motivation"),1,0)</f>
        <v>1</v>
      </c>
    </row>
    <row r="396" customFormat="false" ht="15" hidden="false" customHeight="true" outlineLevel="0" collapsed="false">
      <c r="J396" s="1" t="str">
        <f aca="false">'Raw Atomic Data (Pro)'!A396</f>
        <v>Dawn</v>
      </c>
      <c r="K396" s="1" t="str">
        <f aca="false">'Raw Atomic Data (Pro)'!C396</f>
        <v>Booking and availability</v>
      </c>
      <c r="L396" s="1" t="str">
        <f aca="false">'Raw Atomic Data (Pro)'!D396</f>
        <v>calendar-scheduling-tools</v>
      </c>
      <c r="M396" s="1" t="str">
        <f aca="false">'Raw Atomic Data (Pro)'!E396</f>
        <v>need</v>
      </c>
      <c r="N396" s="1" t="n">
        <f aca="false">IF(OR(M396="friction",M396="need",M396="workaround"),1,0)</f>
        <v>1</v>
      </c>
      <c r="O396" s="1" t="n">
        <f aca="false">IF(COUNTIFS($K$2:K396,K396,$L$2:L396,L396,$M$2:M396,M396,$J$2:J396,J396)=1,1,0)</f>
        <v>0</v>
      </c>
      <c r="P396" s="1" t="n">
        <f aca="false">IF(AND(N396=1,S396=1,COUNTIFS($L$2:L396,L396,$J$2:J396,J396,$N$2:N396,1,$S$2:S396,1)=1),1,0)</f>
        <v>0</v>
      </c>
      <c r="Q396" s="1" t="n">
        <f aca="false">IF(AND(N396=1,S396=1,COUNTIFS($L$2:L396,L396,$K$2:K396,K396,$N$2:N396,1,$S$2:S396,1)=1),1,0)</f>
        <v>0</v>
      </c>
      <c r="R396" s="1" t="n">
        <f aca="false">IF(AND(N396=1,COUNTIFS($K$2:K396,K396,$L$2:L396,L396,$J$2:J396,J396,$N$2:N396,1)=1),1,0)</f>
        <v>0</v>
      </c>
      <c r="S396" s="1" t="n">
        <f aca="false">IF(AND(K396&lt;&gt;"Context and provider model",K396&lt;&gt;"Motivation"),1,0)</f>
        <v>1</v>
      </c>
    </row>
    <row r="397" customFormat="false" ht="15" hidden="false" customHeight="true" outlineLevel="0" collapsed="false">
      <c r="J397" s="1" t="str">
        <f aca="false">'Raw Atomic Data (Pro)'!A397</f>
        <v>Erika</v>
      </c>
      <c r="K397" s="1" t="str">
        <f aca="false">'Raw Atomic Data (Pro)'!C397</f>
        <v>Booking and availability</v>
      </c>
      <c r="L397" s="1" t="str">
        <f aca="false">'Raw Atomic Data (Pro)'!D397</f>
        <v>calendar-scheduling-tools</v>
      </c>
      <c r="M397" s="1" t="str">
        <f aca="false">'Raw Atomic Data (Pro)'!E397</f>
        <v>fact</v>
      </c>
      <c r="N397" s="1" t="n">
        <f aca="false">IF(OR(M397="friction",M397="need",M397="workaround"),1,0)</f>
        <v>0</v>
      </c>
      <c r="O397" s="1" t="n">
        <f aca="false">IF(COUNTIFS($K$2:K397,K397,$L$2:L397,L397,$M$2:M397,M397,$J$2:J397,J397)=1,1,0)</f>
        <v>1</v>
      </c>
      <c r="P397" s="1" t="n">
        <f aca="false">IF(AND(N397=1,S397=1,COUNTIFS($L$2:L397,L397,$J$2:J397,J397,$N$2:N397,1,$S$2:S397,1)=1),1,0)</f>
        <v>0</v>
      </c>
      <c r="Q397" s="1" t="n">
        <f aca="false">IF(AND(N397=1,S397=1,COUNTIFS($L$2:L397,L397,$K$2:K397,K397,$N$2:N397,1,$S$2:S397,1)=1),1,0)</f>
        <v>0</v>
      </c>
      <c r="R397" s="1" t="n">
        <f aca="false">IF(AND(N397=1,COUNTIFS($K$2:K397,K397,$L$2:L397,L397,$J$2:J397,J397,$N$2:N397,1)=1),1,0)</f>
        <v>0</v>
      </c>
      <c r="S397" s="1" t="n">
        <f aca="false">IF(AND(K397&lt;&gt;"Context and provider model",K397&lt;&gt;"Motivation"),1,0)</f>
        <v>1</v>
      </c>
    </row>
    <row r="398" customFormat="false" ht="15" hidden="false" customHeight="true" outlineLevel="0" collapsed="false">
      <c r="J398" s="1" t="str">
        <f aca="false">'Raw Atomic Data (Pro)'!A398</f>
        <v>Erika</v>
      </c>
      <c r="K398" s="1" t="str">
        <f aca="false">'Raw Atomic Data (Pro)'!C398</f>
        <v>Booking and availability</v>
      </c>
      <c r="L398" s="1" t="str">
        <f aca="false">'Raw Atomic Data (Pro)'!D398</f>
        <v>calendar-scheduling-tools</v>
      </c>
      <c r="M398" s="1" t="str">
        <f aca="false">'Raw Atomic Data (Pro)'!E398</f>
        <v>fact</v>
      </c>
      <c r="N398" s="1" t="n">
        <f aca="false">IF(OR(M398="friction",M398="need",M398="workaround"),1,0)</f>
        <v>0</v>
      </c>
      <c r="O398" s="1" t="n">
        <f aca="false">IF(COUNTIFS($K$2:K398,K398,$L$2:L398,L398,$M$2:M398,M398,$J$2:J398,J398)=1,1,0)</f>
        <v>0</v>
      </c>
      <c r="P398" s="1" t="n">
        <f aca="false">IF(AND(N398=1,S398=1,COUNTIFS($L$2:L398,L398,$J$2:J398,J398,$N$2:N398,1,$S$2:S398,1)=1),1,0)</f>
        <v>0</v>
      </c>
      <c r="Q398" s="1" t="n">
        <f aca="false">IF(AND(N398=1,S398=1,COUNTIFS($L$2:L398,L398,$K$2:K398,K398,$N$2:N398,1,$S$2:S398,1)=1),1,0)</f>
        <v>0</v>
      </c>
      <c r="R398" s="1" t="n">
        <f aca="false">IF(AND(N398=1,COUNTIFS($K$2:K398,K398,$L$2:L398,L398,$J$2:J398,J398,$N$2:N398,1)=1),1,0)</f>
        <v>0</v>
      </c>
      <c r="S398" s="1" t="n">
        <f aca="false">IF(AND(K398&lt;&gt;"Context and provider model",K398&lt;&gt;"Motivation"),1,0)</f>
        <v>1</v>
      </c>
    </row>
    <row r="399" customFormat="false" ht="15" hidden="false" customHeight="true" outlineLevel="0" collapsed="false">
      <c r="J399" s="1" t="str">
        <f aca="false">'Raw Atomic Data (Pro)'!A399</f>
        <v>Erika</v>
      </c>
      <c r="K399" s="1" t="str">
        <f aca="false">'Raw Atomic Data (Pro)'!C399</f>
        <v>Booking and availability</v>
      </c>
      <c r="L399" s="1" t="str">
        <f aca="false">'Raw Atomic Data (Pro)'!D399</f>
        <v>calendar-scheduling-tools</v>
      </c>
      <c r="M399" s="1" t="str">
        <f aca="false">'Raw Atomic Data (Pro)'!E399</f>
        <v>fact</v>
      </c>
      <c r="N399" s="1" t="n">
        <f aca="false">IF(OR(M399="friction",M399="need",M399="workaround"),1,0)</f>
        <v>0</v>
      </c>
      <c r="O399" s="1" t="n">
        <f aca="false">IF(COUNTIFS($K$2:K399,K399,$L$2:L399,L399,$M$2:M399,M399,$J$2:J399,J399)=1,1,0)</f>
        <v>0</v>
      </c>
      <c r="P399" s="1" t="n">
        <f aca="false">IF(AND(N399=1,S399=1,COUNTIFS($L$2:L399,L399,$J$2:J399,J399,$N$2:N399,1,$S$2:S399,1)=1),1,0)</f>
        <v>0</v>
      </c>
      <c r="Q399" s="1" t="n">
        <f aca="false">IF(AND(N399=1,S399=1,COUNTIFS($L$2:L399,L399,$K$2:K399,K399,$N$2:N399,1,$S$2:S399,1)=1),1,0)</f>
        <v>0</v>
      </c>
      <c r="R399" s="1" t="n">
        <f aca="false">IF(AND(N399=1,COUNTIFS($K$2:K399,K399,$L$2:L399,L399,$J$2:J399,J399,$N$2:N399,1)=1),1,0)</f>
        <v>0</v>
      </c>
      <c r="S399" s="1" t="n">
        <f aca="false">IF(AND(K399&lt;&gt;"Context and provider model",K399&lt;&gt;"Motivation"),1,0)</f>
        <v>1</v>
      </c>
    </row>
    <row r="400" customFormat="false" ht="15" hidden="false" customHeight="true" outlineLevel="0" collapsed="false">
      <c r="J400" s="1" t="str">
        <f aca="false">'Raw Atomic Data (Pro)'!A400</f>
        <v>Erika</v>
      </c>
      <c r="K400" s="1" t="str">
        <f aca="false">'Raw Atomic Data (Pro)'!C400</f>
        <v>Booking and availability</v>
      </c>
      <c r="L400" s="1" t="str">
        <f aca="false">'Raw Atomic Data (Pro)'!D400</f>
        <v>booking-confirmation-mechanics</v>
      </c>
      <c r="M400" s="1" t="str">
        <f aca="false">'Raw Atomic Data (Pro)'!E400</f>
        <v>fact</v>
      </c>
      <c r="N400" s="1" t="n">
        <f aca="false">IF(OR(M400="friction",M400="need",M400="workaround"),1,0)</f>
        <v>0</v>
      </c>
      <c r="O400" s="1" t="n">
        <f aca="false">IF(COUNTIFS($K$2:K400,K400,$L$2:L400,L400,$M$2:M400,M400,$J$2:J400,J400)=1,1,0)</f>
        <v>1</v>
      </c>
      <c r="P400" s="1" t="n">
        <f aca="false">IF(AND(N400=1,S400=1,COUNTIFS($L$2:L400,L400,$J$2:J400,J400,$N$2:N400,1,$S$2:S400,1)=1),1,0)</f>
        <v>0</v>
      </c>
      <c r="Q400" s="1" t="n">
        <f aca="false">IF(AND(N400=1,S400=1,COUNTIFS($L$2:L400,L400,$K$2:K400,K400,$N$2:N400,1,$S$2:S400,1)=1),1,0)</f>
        <v>0</v>
      </c>
      <c r="R400" s="1" t="n">
        <f aca="false">IF(AND(N400=1,COUNTIFS($K$2:K400,K400,$L$2:L400,L400,$J$2:J400,J400,$N$2:N400,1)=1),1,0)</f>
        <v>0</v>
      </c>
      <c r="S400" s="1" t="n">
        <f aca="false">IF(AND(K400&lt;&gt;"Context and provider model",K400&lt;&gt;"Motivation"),1,0)</f>
        <v>1</v>
      </c>
    </row>
    <row r="401" customFormat="false" ht="15" hidden="false" customHeight="true" outlineLevel="0" collapsed="false">
      <c r="J401" s="1" t="str">
        <f aca="false">'Raw Atomic Data (Pro)'!A401</f>
        <v>Erika</v>
      </c>
      <c r="K401" s="1" t="str">
        <f aca="false">'Raw Atomic Data (Pro)'!C401</f>
        <v>Booking and availability</v>
      </c>
      <c r="L401" s="1" t="str">
        <f aca="false">'Raw Atomic Data (Pro)'!D401</f>
        <v>repeat-client-relationships</v>
      </c>
      <c r="M401" s="1" t="str">
        <f aca="false">'Raw Atomic Data (Pro)'!E401</f>
        <v>fact</v>
      </c>
      <c r="N401" s="1" t="n">
        <f aca="false">IF(OR(M401="friction",M401="need",M401="workaround"),1,0)</f>
        <v>0</v>
      </c>
      <c r="O401" s="1" t="n">
        <f aca="false">IF(COUNTIFS($K$2:K401,K401,$L$2:L401,L401,$M$2:M401,M401,$J$2:J401,J401)=1,1,0)</f>
        <v>1</v>
      </c>
      <c r="P401" s="1" t="n">
        <f aca="false">IF(AND(N401=1,S401=1,COUNTIFS($L$2:L401,L401,$J$2:J401,J401,$N$2:N401,1,$S$2:S401,1)=1),1,0)</f>
        <v>0</v>
      </c>
      <c r="Q401" s="1" t="n">
        <f aca="false">IF(AND(N401=1,S401=1,COUNTIFS($L$2:L401,L401,$K$2:K401,K401,$N$2:N401,1,$S$2:S401,1)=1),1,0)</f>
        <v>0</v>
      </c>
      <c r="R401" s="1" t="n">
        <f aca="false">IF(AND(N401=1,COUNTIFS($K$2:K401,K401,$L$2:L401,L401,$J$2:J401,J401,$N$2:N401,1)=1),1,0)</f>
        <v>0</v>
      </c>
      <c r="S401" s="1" t="n">
        <f aca="false">IF(AND(K401&lt;&gt;"Context and provider model",K401&lt;&gt;"Motivation"),1,0)</f>
        <v>1</v>
      </c>
    </row>
    <row r="402" customFormat="false" ht="15" hidden="false" customHeight="true" outlineLevel="0" collapsed="false">
      <c r="J402" s="1" t="str">
        <f aca="false">'Raw Atomic Data (Pro)'!A402</f>
        <v>Kristin</v>
      </c>
      <c r="K402" s="1" t="str">
        <f aca="false">'Raw Atomic Data (Pro)'!C402</f>
        <v>Booking and availability</v>
      </c>
      <c r="L402" s="1" t="str">
        <f aca="false">'Raw Atomic Data (Pro)'!D402</f>
        <v>booking-confirmation-mechanics</v>
      </c>
      <c r="M402" s="1" t="str">
        <f aca="false">'Raw Atomic Data (Pro)'!E402</f>
        <v>fact</v>
      </c>
      <c r="N402" s="1" t="n">
        <f aca="false">IF(OR(M402="friction",M402="need",M402="workaround"),1,0)</f>
        <v>0</v>
      </c>
      <c r="O402" s="1" t="n">
        <f aca="false">IF(COUNTIFS($K$2:K402,K402,$L$2:L402,L402,$M$2:M402,M402,$J$2:J402,J402)=1,1,0)</f>
        <v>1</v>
      </c>
      <c r="P402" s="1" t="n">
        <f aca="false">IF(AND(N402=1,S402=1,COUNTIFS($L$2:L402,L402,$J$2:J402,J402,$N$2:N402,1,$S$2:S402,1)=1),1,0)</f>
        <v>0</v>
      </c>
      <c r="Q402" s="1" t="n">
        <f aca="false">IF(AND(N402=1,S402=1,COUNTIFS($L$2:L402,L402,$K$2:K402,K402,$N$2:N402,1,$S$2:S402,1)=1),1,0)</f>
        <v>0</v>
      </c>
      <c r="R402" s="1" t="n">
        <f aca="false">IF(AND(N402=1,COUNTIFS($K$2:K402,K402,$L$2:L402,L402,$J$2:J402,J402,$N$2:N402,1)=1),1,0)</f>
        <v>0</v>
      </c>
      <c r="S402" s="1" t="n">
        <f aca="false">IF(AND(K402&lt;&gt;"Context and provider model",K402&lt;&gt;"Motivation"),1,0)</f>
        <v>1</v>
      </c>
    </row>
    <row r="403" customFormat="false" ht="15" hidden="false" customHeight="true" outlineLevel="0" collapsed="false">
      <c r="J403" s="1" t="str">
        <f aca="false">'Raw Atomic Data (Pro)'!A403</f>
        <v>Kristin</v>
      </c>
      <c r="K403" s="1" t="str">
        <f aca="false">'Raw Atomic Data (Pro)'!C403</f>
        <v>Booking and availability</v>
      </c>
      <c r="L403" s="1" t="str">
        <f aca="false">'Raw Atomic Data (Pro)'!D403</f>
        <v>booking-confirmation-mechanics</v>
      </c>
      <c r="M403" s="1" t="str">
        <f aca="false">'Raw Atomic Data (Pro)'!E403</f>
        <v>fact</v>
      </c>
      <c r="N403" s="1" t="n">
        <f aca="false">IF(OR(M403="friction",M403="need",M403="workaround"),1,0)</f>
        <v>0</v>
      </c>
      <c r="O403" s="1" t="n">
        <f aca="false">IF(COUNTIFS($K$2:K403,K403,$L$2:L403,L403,$M$2:M403,M403,$J$2:J403,J403)=1,1,0)</f>
        <v>0</v>
      </c>
      <c r="P403" s="1" t="n">
        <f aca="false">IF(AND(N403=1,S403=1,COUNTIFS($L$2:L403,L403,$J$2:J403,J403,$N$2:N403,1,$S$2:S403,1)=1),1,0)</f>
        <v>0</v>
      </c>
      <c r="Q403" s="1" t="n">
        <f aca="false">IF(AND(N403=1,S403=1,COUNTIFS($L$2:L403,L403,$K$2:K403,K403,$N$2:N403,1,$S$2:S403,1)=1),1,0)</f>
        <v>0</v>
      </c>
      <c r="R403" s="1" t="n">
        <f aca="false">IF(AND(N403=1,COUNTIFS($K$2:K403,K403,$L$2:L403,L403,$J$2:J403,J403,$N$2:N403,1)=1),1,0)</f>
        <v>0</v>
      </c>
      <c r="S403" s="1" t="n">
        <f aca="false">IF(AND(K403&lt;&gt;"Context and provider model",K403&lt;&gt;"Motivation"),1,0)</f>
        <v>1</v>
      </c>
    </row>
    <row r="404" customFormat="false" ht="15" hidden="false" customHeight="true" outlineLevel="0" collapsed="false">
      <c r="J404" s="1" t="str">
        <f aca="false">'Raw Atomic Data (Pro)'!A404</f>
        <v>Kristin</v>
      </c>
      <c r="K404" s="1" t="str">
        <f aca="false">'Raw Atomic Data (Pro)'!C404</f>
        <v>Booking and availability</v>
      </c>
      <c r="L404" s="1" t="str">
        <f aca="false">'Raw Atomic Data (Pro)'!D404</f>
        <v>calendar-scheduling-tools</v>
      </c>
      <c r="M404" s="1" t="str">
        <f aca="false">'Raw Atomic Data (Pro)'!E404</f>
        <v>fact</v>
      </c>
      <c r="N404" s="1" t="n">
        <f aca="false">IF(OR(M404="friction",M404="need",M404="workaround"),1,0)</f>
        <v>0</v>
      </c>
      <c r="O404" s="1" t="n">
        <f aca="false">IF(COUNTIFS($K$2:K404,K404,$L$2:L404,L404,$M$2:M404,M404,$J$2:J404,J404)=1,1,0)</f>
        <v>1</v>
      </c>
      <c r="P404" s="1" t="n">
        <f aca="false">IF(AND(N404=1,S404=1,COUNTIFS($L$2:L404,L404,$J$2:J404,J404,$N$2:N404,1,$S$2:S404,1)=1),1,0)</f>
        <v>0</v>
      </c>
      <c r="Q404" s="1" t="n">
        <f aca="false">IF(AND(N404=1,S404=1,COUNTIFS($L$2:L404,L404,$K$2:K404,K404,$N$2:N404,1,$S$2:S404,1)=1),1,0)</f>
        <v>0</v>
      </c>
      <c r="R404" s="1" t="n">
        <f aca="false">IF(AND(N404=1,COUNTIFS($K$2:K404,K404,$L$2:L404,L404,$J$2:J404,J404,$N$2:N404,1)=1),1,0)</f>
        <v>0</v>
      </c>
      <c r="S404" s="1" t="n">
        <f aca="false">IF(AND(K404&lt;&gt;"Context and provider model",K404&lt;&gt;"Motivation"),1,0)</f>
        <v>1</v>
      </c>
    </row>
    <row r="405" customFormat="false" ht="15" hidden="false" customHeight="true" outlineLevel="0" collapsed="false">
      <c r="J405" s="1" t="str">
        <f aca="false">'Raw Atomic Data (Pro)'!A405</f>
        <v>Kristin</v>
      </c>
      <c r="K405" s="1" t="str">
        <f aca="false">'Raw Atomic Data (Pro)'!C405</f>
        <v>Booking and availability</v>
      </c>
      <c r="L405" s="1" t="str">
        <f aca="false">'Raw Atomic Data (Pro)'!D405</f>
        <v>calendar-scheduling-tools</v>
      </c>
      <c r="M405" s="1" t="str">
        <f aca="false">'Raw Atomic Data (Pro)'!E405</f>
        <v>workaround</v>
      </c>
      <c r="N405" s="1" t="n">
        <f aca="false">IF(OR(M405="friction",M405="need",M405="workaround"),1,0)</f>
        <v>1</v>
      </c>
      <c r="O405" s="1" t="n">
        <f aca="false">IF(COUNTIFS($K$2:K405,K405,$L$2:L405,L405,$M$2:M405,M405,$J$2:J405,J405)=1,1,0)</f>
        <v>1</v>
      </c>
      <c r="P405" s="1" t="n">
        <f aca="false">IF(AND(N405=1,S405=1,COUNTIFS($L$2:L405,L405,$J$2:J405,J405,$N$2:N405,1,$S$2:S405,1)=1),1,0)</f>
        <v>1</v>
      </c>
      <c r="Q405" s="1" t="n">
        <f aca="false">IF(AND(N405=1,S405=1,COUNTIFS($L$2:L405,L405,$K$2:K405,K405,$N$2:N405,1,$S$2:S405,1)=1),1,0)</f>
        <v>0</v>
      </c>
      <c r="R405" s="1" t="n">
        <f aca="false">IF(AND(N405=1,COUNTIFS($K$2:K405,K405,$L$2:L405,L405,$J$2:J405,J405,$N$2:N405,1)=1),1,0)</f>
        <v>1</v>
      </c>
      <c r="S405" s="1" t="n">
        <f aca="false">IF(AND(K405&lt;&gt;"Context and provider model",K405&lt;&gt;"Motivation"),1,0)</f>
        <v>1</v>
      </c>
    </row>
    <row r="406" customFormat="false" ht="15" hidden="false" customHeight="true" outlineLevel="0" collapsed="false">
      <c r="J406" s="1" t="str">
        <f aca="false">'Raw Atomic Data (Pro)'!A406</f>
        <v>Kristin</v>
      </c>
      <c r="K406" s="1" t="str">
        <f aca="false">'Raw Atomic Data (Pro)'!C406</f>
        <v>Booking and availability</v>
      </c>
      <c r="L406" s="1" t="str">
        <f aca="false">'Raw Atomic Data (Pro)'!D406</f>
        <v>calendar-scheduling-tools</v>
      </c>
      <c r="M406" s="1" t="str">
        <f aca="false">'Raw Atomic Data (Pro)'!E406</f>
        <v>value-statement</v>
      </c>
      <c r="N406" s="1" t="n">
        <f aca="false">IF(OR(M406="friction",M406="need",M406="workaround"),1,0)</f>
        <v>0</v>
      </c>
      <c r="O406" s="1" t="n">
        <f aca="false">IF(COUNTIFS($K$2:K406,K406,$L$2:L406,L406,$M$2:M406,M406,$J$2:J406,J406)=1,1,0)</f>
        <v>1</v>
      </c>
      <c r="P406" s="1" t="n">
        <f aca="false">IF(AND(N406=1,S406=1,COUNTIFS($L$2:L406,L406,$J$2:J406,J406,$N$2:N406,1,$S$2:S406,1)=1),1,0)</f>
        <v>0</v>
      </c>
      <c r="Q406" s="1" t="n">
        <f aca="false">IF(AND(N406=1,S406=1,COUNTIFS($L$2:L406,L406,$K$2:K406,K406,$N$2:N406,1,$S$2:S406,1)=1),1,0)</f>
        <v>0</v>
      </c>
      <c r="R406" s="1" t="n">
        <f aca="false">IF(AND(N406=1,COUNTIFS($K$2:K406,K406,$L$2:L406,L406,$J$2:J406,J406,$N$2:N406,1)=1),1,0)</f>
        <v>0</v>
      </c>
      <c r="S406" s="1" t="n">
        <f aca="false">IF(AND(K406&lt;&gt;"Context and provider model",K406&lt;&gt;"Motivation"),1,0)</f>
        <v>1</v>
      </c>
    </row>
    <row r="407" customFormat="false" ht="15" hidden="false" customHeight="true" outlineLevel="0" collapsed="false">
      <c r="J407" s="1" t="str">
        <f aca="false">'Raw Atomic Data (Pro)'!A407</f>
        <v>Kristin</v>
      </c>
      <c r="K407" s="1" t="str">
        <f aca="false">'Raw Atomic Data (Pro)'!C407</f>
        <v>Booking and availability</v>
      </c>
      <c r="L407" s="1" t="str">
        <f aca="false">'Raw Atomic Data (Pro)'!D407</f>
        <v>client-dog-screening-criteria</v>
      </c>
      <c r="M407" s="1" t="str">
        <f aca="false">'Raw Atomic Data (Pro)'!E407</f>
        <v>fact</v>
      </c>
      <c r="N407" s="1" t="n">
        <f aca="false">IF(OR(M407="friction",M407="need",M407="workaround"),1,0)</f>
        <v>0</v>
      </c>
      <c r="O407" s="1" t="n">
        <f aca="false">IF(COUNTIFS($K$2:K407,K407,$L$2:L407,L407,$M$2:M407,M407,$J$2:J407,J407)=1,1,0)</f>
        <v>1</v>
      </c>
      <c r="P407" s="1" t="n">
        <f aca="false">IF(AND(N407=1,S407=1,COUNTIFS($L$2:L407,L407,$J$2:J407,J407,$N$2:N407,1,$S$2:S407,1)=1),1,0)</f>
        <v>0</v>
      </c>
      <c r="Q407" s="1" t="n">
        <f aca="false">IF(AND(N407=1,S407=1,COUNTIFS($L$2:L407,L407,$K$2:K407,K407,$N$2:N407,1,$S$2:S407,1)=1),1,0)</f>
        <v>0</v>
      </c>
      <c r="R407" s="1" t="n">
        <f aca="false">IF(AND(N407=1,COUNTIFS($K$2:K407,K407,$L$2:L407,L407,$J$2:J407,J407,$N$2:N407,1)=1),1,0)</f>
        <v>0</v>
      </c>
      <c r="S407" s="1" t="n">
        <f aca="false">IF(AND(K407&lt;&gt;"Context and provider model",K407&lt;&gt;"Motivation"),1,0)</f>
        <v>1</v>
      </c>
    </row>
    <row r="408" customFormat="false" ht="15" hidden="false" customHeight="true" outlineLevel="0" collapsed="false">
      <c r="J408" s="1" t="str">
        <f aca="false">'Raw Atomic Data (Pro)'!A408</f>
        <v>Kristin</v>
      </c>
      <c r="K408" s="1" t="str">
        <f aca="false">'Raw Atomic Data (Pro)'!C408</f>
        <v>Booking and availability</v>
      </c>
      <c r="L408" s="1" t="str">
        <f aca="false">'Raw Atomic Data (Pro)'!D408</f>
        <v>calendar-scheduling-tools</v>
      </c>
      <c r="M408" s="1" t="str">
        <f aca="false">'Raw Atomic Data (Pro)'!E408</f>
        <v>friction</v>
      </c>
      <c r="N408" s="1" t="n">
        <f aca="false">IF(OR(M408="friction",M408="need",M408="workaround"),1,0)</f>
        <v>1</v>
      </c>
      <c r="O408" s="1" t="n">
        <f aca="false">IF(COUNTIFS($K$2:K408,K408,$L$2:L408,L408,$M$2:M408,M408,$J$2:J408,J408)=1,1,0)</f>
        <v>1</v>
      </c>
      <c r="P408" s="1" t="n">
        <f aca="false">IF(AND(N408=1,S408=1,COUNTIFS($L$2:L408,L408,$J$2:J408,J408,$N$2:N408,1,$S$2:S408,1)=1),1,0)</f>
        <v>0</v>
      </c>
      <c r="Q408" s="1" t="n">
        <f aca="false">IF(AND(N408=1,S408=1,COUNTIFS($L$2:L408,L408,$K$2:K408,K408,$N$2:N408,1,$S$2:S408,1)=1),1,0)</f>
        <v>0</v>
      </c>
      <c r="R408" s="1" t="n">
        <f aca="false">IF(AND(N408=1,COUNTIFS($K$2:K408,K408,$L$2:L408,L408,$J$2:J408,J408,$N$2:N408,1)=1),1,0)</f>
        <v>0</v>
      </c>
      <c r="S408" s="1" t="n">
        <f aca="false">IF(AND(K408&lt;&gt;"Context and provider model",K408&lt;&gt;"Motivation"),1,0)</f>
        <v>1</v>
      </c>
    </row>
    <row r="409" customFormat="false" ht="15" hidden="false" customHeight="true" outlineLevel="0" collapsed="false">
      <c r="J409" s="1" t="str">
        <f aca="false">'Raw Atomic Data (Pro)'!A409</f>
        <v>Naomi</v>
      </c>
      <c r="K409" s="1" t="str">
        <f aca="false">'Raw Atomic Data (Pro)'!C409</f>
        <v>Booking and availability</v>
      </c>
      <c r="L409" s="1" t="str">
        <f aca="false">'Raw Atomic Data (Pro)'!D409</f>
        <v>calendar-scheduling-tools</v>
      </c>
      <c r="M409" s="1" t="str">
        <f aca="false">'Raw Atomic Data (Pro)'!E409</f>
        <v>fact</v>
      </c>
      <c r="N409" s="1" t="n">
        <f aca="false">IF(OR(M409="friction",M409="need",M409="workaround"),1,0)</f>
        <v>0</v>
      </c>
      <c r="O409" s="1" t="n">
        <f aca="false">IF(COUNTIFS($K$2:K409,K409,$L$2:L409,L409,$M$2:M409,M409,$J$2:J409,J409)=1,1,0)</f>
        <v>1</v>
      </c>
      <c r="P409" s="1" t="n">
        <f aca="false">IF(AND(N409=1,S409=1,COUNTIFS($L$2:L409,L409,$J$2:J409,J409,$N$2:N409,1,$S$2:S409,1)=1),1,0)</f>
        <v>0</v>
      </c>
      <c r="Q409" s="1" t="n">
        <f aca="false">IF(AND(N409=1,S409=1,COUNTIFS($L$2:L409,L409,$K$2:K409,K409,$N$2:N409,1,$S$2:S409,1)=1),1,0)</f>
        <v>0</v>
      </c>
      <c r="R409" s="1" t="n">
        <f aca="false">IF(AND(N409=1,COUNTIFS($K$2:K409,K409,$L$2:L409,L409,$J$2:J409,J409,$N$2:N409,1)=1),1,0)</f>
        <v>0</v>
      </c>
      <c r="S409" s="1" t="n">
        <f aca="false">IF(AND(K409&lt;&gt;"Context and provider model",K409&lt;&gt;"Motivation"),1,0)</f>
        <v>1</v>
      </c>
    </row>
    <row r="410" customFormat="false" ht="15" hidden="false" customHeight="true" outlineLevel="0" collapsed="false">
      <c r="J410" s="1" t="str">
        <f aca="false">'Raw Atomic Data (Pro)'!A410</f>
        <v>Naomi</v>
      </c>
      <c r="K410" s="1" t="str">
        <f aca="false">'Raw Atomic Data (Pro)'!C410</f>
        <v>Booking and availability</v>
      </c>
      <c r="L410" s="1" t="str">
        <f aca="false">'Raw Atomic Data (Pro)'!D410</f>
        <v>calendar-scheduling-tools</v>
      </c>
      <c r="M410" s="1" t="str">
        <f aca="false">'Raw Atomic Data (Pro)'!E410</f>
        <v>friction</v>
      </c>
      <c r="N410" s="1" t="n">
        <f aca="false">IF(OR(M410="friction",M410="need",M410="workaround"),1,0)</f>
        <v>1</v>
      </c>
      <c r="O410" s="1" t="n">
        <f aca="false">IF(COUNTIFS($K$2:K410,K410,$L$2:L410,L410,$M$2:M410,M410,$J$2:J410,J410)=1,1,0)</f>
        <v>1</v>
      </c>
      <c r="P410" s="1" t="n">
        <f aca="false">IF(AND(N410=1,S410=1,COUNTIFS($L$2:L410,L410,$J$2:J410,J410,$N$2:N410,1,$S$2:S410,1)=1),1,0)</f>
        <v>1</v>
      </c>
      <c r="Q410" s="1" t="n">
        <f aca="false">IF(AND(N410=1,S410=1,COUNTIFS($L$2:L410,L410,$K$2:K410,K410,$N$2:N410,1,$S$2:S410,1)=1),1,0)</f>
        <v>0</v>
      </c>
      <c r="R410" s="1" t="n">
        <f aca="false">IF(AND(N410=1,COUNTIFS($K$2:K410,K410,$L$2:L410,L410,$J$2:J410,J410,$N$2:N410,1)=1),1,0)</f>
        <v>1</v>
      </c>
      <c r="S410" s="1" t="n">
        <f aca="false">IF(AND(K410&lt;&gt;"Context and provider model",K410&lt;&gt;"Motivation"),1,0)</f>
        <v>1</v>
      </c>
    </row>
    <row r="411" customFormat="false" ht="15" hidden="false" customHeight="true" outlineLevel="0" collapsed="false">
      <c r="J411" s="1" t="str">
        <f aca="false">'Raw Atomic Data (Pro)'!A411</f>
        <v>Naomi</v>
      </c>
      <c r="K411" s="1" t="str">
        <f aca="false">'Raw Atomic Data (Pro)'!C411</f>
        <v>Booking and availability</v>
      </c>
      <c r="L411" s="1" t="str">
        <f aca="false">'Raw Atomic Data (Pro)'!D411</f>
        <v>calendar-scheduling-tools</v>
      </c>
      <c r="M411" s="1" t="str">
        <f aca="false">'Raw Atomic Data (Pro)'!E411</f>
        <v>friction</v>
      </c>
      <c r="N411" s="1" t="n">
        <f aca="false">IF(OR(M411="friction",M411="need",M411="workaround"),1,0)</f>
        <v>1</v>
      </c>
      <c r="O411" s="1" t="n">
        <f aca="false">IF(COUNTIFS($K$2:K411,K411,$L$2:L411,L411,$M$2:M411,M411,$J$2:J411,J411)=1,1,0)</f>
        <v>0</v>
      </c>
      <c r="P411" s="1" t="n">
        <f aca="false">IF(AND(N411=1,S411=1,COUNTIFS($L$2:L411,L411,$J$2:J411,J411,$N$2:N411,1,$S$2:S411,1)=1),1,0)</f>
        <v>0</v>
      </c>
      <c r="Q411" s="1" t="n">
        <f aca="false">IF(AND(N411=1,S411=1,COUNTIFS($L$2:L411,L411,$K$2:K411,K411,$N$2:N411,1,$S$2:S411,1)=1),1,0)</f>
        <v>0</v>
      </c>
      <c r="R411" s="1" t="n">
        <f aca="false">IF(AND(N411=1,COUNTIFS($K$2:K411,K411,$L$2:L411,L411,$J$2:J411,J411,$N$2:N411,1)=1),1,0)</f>
        <v>0</v>
      </c>
      <c r="S411" s="1" t="n">
        <f aca="false">IF(AND(K411&lt;&gt;"Context and provider model",K411&lt;&gt;"Motivation"),1,0)</f>
        <v>1</v>
      </c>
    </row>
    <row r="412" customFormat="false" ht="15" hidden="false" customHeight="true" outlineLevel="0" collapsed="false">
      <c r="J412" s="1" t="str">
        <f aca="false">'Raw Atomic Data (Pro)'!A412</f>
        <v>Naomi</v>
      </c>
      <c r="K412" s="1" t="str">
        <f aca="false">'Raw Atomic Data (Pro)'!C412</f>
        <v>Booking and availability</v>
      </c>
      <c r="L412" s="1" t="str">
        <f aca="false">'Raw Atomic Data (Pro)'!D412</f>
        <v>calendar-scheduling-tools</v>
      </c>
      <c r="M412" s="1" t="str">
        <f aca="false">'Raw Atomic Data (Pro)'!E412</f>
        <v>workaround</v>
      </c>
      <c r="N412" s="1" t="n">
        <f aca="false">IF(OR(M412="friction",M412="need",M412="workaround"),1,0)</f>
        <v>1</v>
      </c>
      <c r="O412" s="1" t="n">
        <f aca="false">IF(COUNTIFS($K$2:K412,K412,$L$2:L412,L412,$M$2:M412,M412,$J$2:J412,J412)=1,1,0)</f>
        <v>1</v>
      </c>
      <c r="P412" s="1" t="n">
        <f aca="false">IF(AND(N412=1,S412=1,COUNTIFS($L$2:L412,L412,$J$2:J412,J412,$N$2:N412,1,$S$2:S412,1)=1),1,0)</f>
        <v>0</v>
      </c>
      <c r="Q412" s="1" t="n">
        <f aca="false">IF(AND(N412=1,S412=1,COUNTIFS($L$2:L412,L412,$K$2:K412,K412,$N$2:N412,1,$S$2:S412,1)=1),1,0)</f>
        <v>0</v>
      </c>
      <c r="R412" s="1" t="n">
        <f aca="false">IF(AND(N412=1,COUNTIFS($K$2:K412,K412,$L$2:L412,L412,$J$2:J412,J412,$N$2:N412,1)=1),1,0)</f>
        <v>0</v>
      </c>
      <c r="S412" s="1" t="n">
        <f aca="false">IF(AND(K412&lt;&gt;"Context and provider model",K412&lt;&gt;"Motivation"),1,0)</f>
        <v>1</v>
      </c>
    </row>
    <row r="413" customFormat="false" ht="15" hidden="false" customHeight="true" outlineLevel="0" collapsed="false">
      <c r="J413" s="1" t="str">
        <f aca="false">'Raw Atomic Data (Pro)'!A413</f>
        <v>Naomi</v>
      </c>
      <c r="K413" s="1" t="str">
        <f aca="false">'Raw Atomic Data (Pro)'!C413</f>
        <v>Booking and availability</v>
      </c>
      <c r="L413" s="1" t="str">
        <f aca="false">'Raw Atomic Data (Pro)'!D413</f>
        <v>calendar-scheduling-tools</v>
      </c>
      <c r="M413" s="1" t="str">
        <f aca="false">'Raw Atomic Data (Pro)'!E413</f>
        <v>need</v>
      </c>
      <c r="N413" s="1" t="n">
        <f aca="false">IF(OR(M413="friction",M413="need",M413="workaround"),1,0)</f>
        <v>1</v>
      </c>
      <c r="O413" s="1" t="n">
        <f aca="false">IF(COUNTIFS($K$2:K413,K413,$L$2:L413,L413,$M$2:M413,M413,$J$2:J413,J413)=1,1,0)</f>
        <v>1</v>
      </c>
      <c r="P413" s="1" t="n">
        <f aca="false">IF(AND(N413=1,S413=1,COUNTIFS($L$2:L413,L413,$J$2:J413,J413,$N$2:N413,1,$S$2:S413,1)=1),1,0)</f>
        <v>0</v>
      </c>
      <c r="Q413" s="1" t="n">
        <f aca="false">IF(AND(N413=1,S413=1,COUNTIFS($L$2:L413,L413,$K$2:K413,K413,$N$2:N413,1,$S$2:S413,1)=1),1,0)</f>
        <v>0</v>
      </c>
      <c r="R413" s="1" t="n">
        <f aca="false">IF(AND(N413=1,COUNTIFS($K$2:K413,K413,$L$2:L413,L413,$J$2:J413,J413,$N$2:N413,1)=1),1,0)</f>
        <v>0</v>
      </c>
      <c r="S413" s="1" t="n">
        <f aca="false">IF(AND(K413&lt;&gt;"Context and provider model",K413&lt;&gt;"Motivation"),1,0)</f>
        <v>1</v>
      </c>
    </row>
    <row r="414" customFormat="false" ht="15" hidden="false" customHeight="true" outlineLevel="0" collapsed="false">
      <c r="J414" s="1" t="str">
        <f aca="false">'Raw Atomic Data (Pro)'!A414</f>
        <v>Shania</v>
      </c>
      <c r="K414" s="1" t="str">
        <f aca="false">'Raw Atomic Data (Pro)'!C414</f>
        <v>Booking and availability</v>
      </c>
      <c r="L414" s="1" t="str">
        <f aca="false">'Raw Atomic Data (Pro)'!D414</f>
        <v>calendar-scheduling-tools</v>
      </c>
      <c r="M414" s="1" t="str">
        <f aca="false">'Raw Atomic Data (Pro)'!E414</f>
        <v>fact</v>
      </c>
      <c r="N414" s="1" t="n">
        <f aca="false">IF(OR(M414="friction",M414="need",M414="workaround"),1,0)</f>
        <v>0</v>
      </c>
      <c r="O414" s="1" t="n">
        <f aca="false">IF(COUNTIFS($K$2:K414,K414,$L$2:L414,L414,$M$2:M414,M414,$J$2:J414,J414)=1,1,0)</f>
        <v>1</v>
      </c>
      <c r="P414" s="1" t="n">
        <f aca="false">IF(AND(N414=1,S414=1,COUNTIFS($L$2:L414,L414,$J$2:J414,J414,$N$2:N414,1,$S$2:S414,1)=1),1,0)</f>
        <v>0</v>
      </c>
      <c r="Q414" s="1" t="n">
        <f aca="false">IF(AND(N414=1,S414=1,COUNTIFS($L$2:L414,L414,$K$2:K414,K414,$N$2:N414,1,$S$2:S414,1)=1),1,0)</f>
        <v>0</v>
      </c>
      <c r="R414" s="1" t="n">
        <f aca="false">IF(AND(N414=1,COUNTIFS($K$2:K414,K414,$L$2:L414,L414,$J$2:J414,J414,$N$2:N414,1)=1),1,0)</f>
        <v>0</v>
      </c>
      <c r="S414" s="1" t="n">
        <f aca="false">IF(AND(K414&lt;&gt;"Context and provider model",K414&lt;&gt;"Motivation"),1,0)</f>
        <v>1</v>
      </c>
    </row>
    <row r="415" customFormat="false" ht="15" hidden="false" customHeight="true" outlineLevel="0" collapsed="false">
      <c r="J415" s="1" t="str">
        <f aca="false">'Raw Atomic Data (Pro)'!A415</f>
        <v>Shania</v>
      </c>
      <c r="K415" s="1" t="str">
        <f aca="false">'Raw Atomic Data (Pro)'!C415</f>
        <v>Booking and availability</v>
      </c>
      <c r="L415" s="1" t="str">
        <f aca="false">'Raw Atomic Data (Pro)'!D415</f>
        <v>calendar-scheduling-tools</v>
      </c>
      <c r="M415" s="1" t="str">
        <f aca="false">'Raw Atomic Data (Pro)'!E415</f>
        <v>value-statement</v>
      </c>
      <c r="N415" s="1" t="n">
        <f aca="false">IF(OR(M415="friction",M415="need",M415="workaround"),1,0)</f>
        <v>0</v>
      </c>
      <c r="O415" s="1" t="n">
        <f aca="false">IF(COUNTIFS($K$2:K415,K415,$L$2:L415,L415,$M$2:M415,M415,$J$2:J415,J415)=1,1,0)</f>
        <v>1</v>
      </c>
      <c r="P415" s="1" t="n">
        <f aca="false">IF(AND(N415=1,S415=1,COUNTIFS($L$2:L415,L415,$J$2:J415,J415,$N$2:N415,1,$S$2:S415,1)=1),1,0)</f>
        <v>0</v>
      </c>
      <c r="Q415" s="1" t="n">
        <f aca="false">IF(AND(N415=1,S415=1,COUNTIFS($L$2:L415,L415,$K$2:K415,K415,$N$2:N415,1,$S$2:S415,1)=1),1,0)</f>
        <v>0</v>
      </c>
      <c r="R415" s="1" t="n">
        <f aca="false">IF(AND(N415=1,COUNTIFS($K$2:K415,K415,$L$2:L415,L415,$J$2:J415,J415,$N$2:N415,1)=1),1,0)</f>
        <v>0</v>
      </c>
      <c r="S415" s="1" t="n">
        <f aca="false">IF(AND(K415&lt;&gt;"Context and provider model",K415&lt;&gt;"Motivation"),1,0)</f>
        <v>1</v>
      </c>
    </row>
    <row r="416" customFormat="false" ht="15" hidden="false" customHeight="true" outlineLevel="0" collapsed="false">
      <c r="J416" s="1" t="str">
        <f aca="false">'Raw Atomic Data (Pro)'!A416</f>
        <v>Shania</v>
      </c>
      <c r="K416" s="1" t="str">
        <f aca="false">'Raw Atomic Data (Pro)'!C416</f>
        <v>Booking and availability</v>
      </c>
      <c r="L416" s="1" t="str">
        <f aca="false">'Raw Atomic Data (Pro)'!D416</f>
        <v>calendar-scheduling-tools</v>
      </c>
      <c r="M416" s="1" t="str">
        <f aca="false">'Raw Atomic Data (Pro)'!E416</f>
        <v>fact</v>
      </c>
      <c r="N416" s="1" t="n">
        <f aca="false">IF(OR(M416="friction",M416="need",M416="workaround"),1,0)</f>
        <v>0</v>
      </c>
      <c r="O416" s="1" t="n">
        <f aca="false">IF(COUNTIFS($K$2:K416,K416,$L$2:L416,L416,$M$2:M416,M416,$J$2:J416,J416)=1,1,0)</f>
        <v>0</v>
      </c>
      <c r="P416" s="1" t="n">
        <f aca="false">IF(AND(N416=1,S416=1,COUNTIFS($L$2:L416,L416,$J$2:J416,J416,$N$2:N416,1,$S$2:S416,1)=1),1,0)</f>
        <v>0</v>
      </c>
      <c r="Q416" s="1" t="n">
        <f aca="false">IF(AND(N416=1,S416=1,COUNTIFS($L$2:L416,L416,$K$2:K416,K416,$N$2:N416,1,$S$2:S416,1)=1),1,0)</f>
        <v>0</v>
      </c>
      <c r="R416" s="1" t="n">
        <f aca="false">IF(AND(N416=1,COUNTIFS($K$2:K416,K416,$L$2:L416,L416,$J$2:J416,J416,$N$2:N416,1)=1),1,0)</f>
        <v>0</v>
      </c>
      <c r="S416" s="1" t="n">
        <f aca="false">IF(AND(K416&lt;&gt;"Context and provider model",K416&lt;&gt;"Motivation"),1,0)</f>
        <v>1</v>
      </c>
    </row>
    <row r="417" customFormat="false" ht="15" hidden="false" customHeight="true" outlineLevel="0" collapsed="false">
      <c r="J417" s="1" t="str">
        <f aca="false">'Raw Atomic Data (Pro)'!A417</f>
        <v>Shania</v>
      </c>
      <c r="K417" s="1" t="str">
        <f aca="false">'Raw Atomic Data (Pro)'!C417</f>
        <v>Booking and availability</v>
      </c>
      <c r="L417" s="1" t="str">
        <f aca="false">'Raw Atomic Data (Pro)'!D417</f>
        <v>calendar-scheduling-tools</v>
      </c>
      <c r="M417" s="1" t="str">
        <f aca="false">'Raw Atomic Data (Pro)'!E417</f>
        <v>fact</v>
      </c>
      <c r="N417" s="1" t="n">
        <f aca="false">IF(OR(M417="friction",M417="need",M417="workaround"),1,0)</f>
        <v>0</v>
      </c>
      <c r="O417" s="1" t="n">
        <f aca="false">IF(COUNTIFS($K$2:K417,K417,$L$2:L417,L417,$M$2:M417,M417,$J$2:J417,J417)=1,1,0)</f>
        <v>0</v>
      </c>
      <c r="P417" s="1" t="n">
        <f aca="false">IF(AND(N417=1,S417=1,COUNTIFS($L$2:L417,L417,$J$2:J417,J417,$N$2:N417,1,$S$2:S417,1)=1),1,0)</f>
        <v>0</v>
      </c>
      <c r="Q417" s="1" t="n">
        <f aca="false">IF(AND(N417=1,S417=1,COUNTIFS($L$2:L417,L417,$K$2:K417,K417,$N$2:N417,1,$S$2:S417,1)=1),1,0)</f>
        <v>0</v>
      </c>
      <c r="R417" s="1" t="n">
        <f aca="false">IF(AND(N417=1,COUNTIFS($K$2:K417,K417,$L$2:L417,L417,$J$2:J417,J417,$N$2:N417,1)=1),1,0)</f>
        <v>0</v>
      </c>
      <c r="S417" s="1" t="n">
        <f aca="false">IF(AND(K417&lt;&gt;"Context and provider model",K417&lt;&gt;"Motivation"),1,0)</f>
        <v>1</v>
      </c>
    </row>
    <row r="418" customFormat="false" ht="15" hidden="false" customHeight="true" outlineLevel="0" collapsed="false">
      <c r="J418" s="1" t="str">
        <f aca="false">'Raw Atomic Data (Pro)'!A418</f>
        <v>Shania</v>
      </c>
      <c r="K418" s="1" t="str">
        <f aca="false">'Raw Atomic Data (Pro)'!C418</f>
        <v>Booking and availability</v>
      </c>
      <c r="L418" s="1" t="str">
        <f aca="false">'Raw Atomic Data (Pro)'!D418</f>
        <v>calendar-scheduling-tools</v>
      </c>
      <c r="M418" s="1" t="str">
        <f aca="false">'Raw Atomic Data (Pro)'!E418</f>
        <v>fact</v>
      </c>
      <c r="N418" s="1" t="n">
        <f aca="false">IF(OR(M418="friction",M418="need",M418="workaround"),1,0)</f>
        <v>0</v>
      </c>
      <c r="O418" s="1" t="n">
        <f aca="false">IF(COUNTIFS($K$2:K418,K418,$L$2:L418,L418,$M$2:M418,M418,$J$2:J418,J418)=1,1,0)</f>
        <v>0</v>
      </c>
      <c r="P418" s="1" t="n">
        <f aca="false">IF(AND(N418=1,S418=1,COUNTIFS($L$2:L418,L418,$J$2:J418,J418,$N$2:N418,1,$S$2:S418,1)=1),1,0)</f>
        <v>0</v>
      </c>
      <c r="Q418" s="1" t="n">
        <f aca="false">IF(AND(N418=1,S418=1,COUNTIFS($L$2:L418,L418,$K$2:K418,K418,$N$2:N418,1,$S$2:S418,1)=1),1,0)</f>
        <v>0</v>
      </c>
      <c r="R418" s="1" t="n">
        <f aca="false">IF(AND(N418=1,COUNTIFS($K$2:K418,K418,$L$2:L418,L418,$J$2:J418,J418,$N$2:N418,1)=1),1,0)</f>
        <v>0</v>
      </c>
      <c r="S418" s="1" t="n">
        <f aca="false">IF(AND(K418&lt;&gt;"Context and provider model",K418&lt;&gt;"Motivation"),1,0)</f>
        <v>1</v>
      </c>
    </row>
    <row r="419" customFormat="false" ht="15" hidden="false" customHeight="true" outlineLevel="0" collapsed="false">
      <c r="J419" s="1" t="str">
        <f aca="false">'Raw Atomic Data (Pro)'!A419</f>
        <v>Tianrui</v>
      </c>
      <c r="K419" s="1" t="str">
        <f aca="false">'Raw Atomic Data (Pro)'!C419</f>
        <v>Booking and availability</v>
      </c>
      <c r="L419" s="1" t="str">
        <f aca="false">'Raw Atomic Data (Pro)'!D419</f>
        <v>search-ranking-visibility</v>
      </c>
      <c r="M419" s="1" t="str">
        <f aca="false">'Raw Atomic Data (Pro)'!E419</f>
        <v>workaround</v>
      </c>
      <c r="N419" s="1" t="n">
        <f aca="false">IF(OR(M419="friction",M419="need",M419="workaround"),1,0)</f>
        <v>1</v>
      </c>
      <c r="O419" s="1" t="n">
        <f aca="false">IF(COUNTIFS($K$2:K419,K419,$L$2:L419,L419,$M$2:M419,M419,$J$2:J419,J419)=1,1,0)</f>
        <v>1</v>
      </c>
      <c r="P419" s="1" t="n">
        <f aca="false">IF(AND(N419=1,S419=1,COUNTIFS($L$2:L419,L419,$J$2:J419,J419,$N$2:N419,1,$S$2:S419,1)=1),1,0)</f>
        <v>0</v>
      </c>
      <c r="Q419" s="1" t="n">
        <f aca="false">IF(AND(N419=1,S419=1,COUNTIFS($L$2:L419,L419,$K$2:K419,K419,$N$2:N419,1,$S$2:S419,1)=1),1,0)</f>
        <v>1</v>
      </c>
      <c r="R419" s="1" t="n">
        <f aca="false">IF(AND(N419=1,COUNTIFS($K$2:K419,K419,$L$2:L419,L419,$J$2:J419,J419,$N$2:N419,1)=1),1,0)</f>
        <v>1</v>
      </c>
      <c r="S419" s="1" t="n">
        <f aca="false">IF(AND(K419&lt;&gt;"Context and provider model",K419&lt;&gt;"Motivation"),1,0)</f>
        <v>1</v>
      </c>
    </row>
    <row r="420" customFormat="false" ht="15" hidden="false" customHeight="true" outlineLevel="0" collapsed="false">
      <c r="J420" s="1" t="str">
        <f aca="false">'Raw Atomic Data (Pro)'!A420</f>
        <v>Tianrui</v>
      </c>
      <c r="K420" s="1" t="str">
        <f aca="false">'Raw Atomic Data (Pro)'!C420</f>
        <v>Booking and availability</v>
      </c>
      <c r="L420" s="1" t="str">
        <f aca="false">'Raw Atomic Data (Pro)'!D420</f>
        <v>calendar-scheduling-tools</v>
      </c>
      <c r="M420" s="1" t="str">
        <f aca="false">'Raw Atomic Data (Pro)'!E420</f>
        <v>friction</v>
      </c>
      <c r="N420" s="1" t="n">
        <f aca="false">IF(OR(M420="friction",M420="need",M420="workaround"),1,0)</f>
        <v>1</v>
      </c>
      <c r="O420" s="1" t="n">
        <f aca="false">IF(COUNTIFS($K$2:K420,K420,$L$2:L420,L420,$M$2:M420,M420,$J$2:J420,J420)=1,1,0)</f>
        <v>1</v>
      </c>
      <c r="P420" s="1" t="n">
        <f aca="false">IF(AND(N420=1,S420=1,COUNTIFS($L$2:L420,L420,$J$2:J420,J420,$N$2:N420,1,$S$2:S420,1)=1),1,0)</f>
        <v>1</v>
      </c>
      <c r="Q420" s="1" t="n">
        <f aca="false">IF(AND(N420=1,S420=1,COUNTIFS($L$2:L420,L420,$K$2:K420,K420,$N$2:N420,1,$S$2:S420,1)=1),1,0)</f>
        <v>0</v>
      </c>
      <c r="R420" s="1" t="n">
        <f aca="false">IF(AND(N420=1,COUNTIFS($K$2:K420,K420,$L$2:L420,L420,$J$2:J420,J420,$N$2:N420,1)=1),1,0)</f>
        <v>1</v>
      </c>
      <c r="S420" s="1" t="n">
        <f aca="false">IF(AND(K420&lt;&gt;"Context and provider model",K420&lt;&gt;"Motivation"),1,0)</f>
        <v>1</v>
      </c>
    </row>
    <row r="421" customFormat="false" ht="15" hidden="false" customHeight="true" outlineLevel="0" collapsed="false">
      <c r="J421" s="1" t="str">
        <f aca="false">'Raw Atomic Data (Pro)'!A421</f>
        <v>Tianrui</v>
      </c>
      <c r="K421" s="1" t="str">
        <f aca="false">'Raw Atomic Data (Pro)'!C421</f>
        <v>Booking and availability</v>
      </c>
      <c r="L421" s="1" t="str">
        <f aca="false">'Raw Atomic Data (Pro)'!D421</f>
        <v>calendar-scheduling-tools</v>
      </c>
      <c r="M421" s="1" t="str">
        <f aca="false">'Raw Atomic Data (Pro)'!E421</f>
        <v>fact</v>
      </c>
      <c r="N421" s="1" t="n">
        <f aca="false">IF(OR(M421="friction",M421="need",M421="workaround"),1,0)</f>
        <v>0</v>
      </c>
      <c r="O421" s="1" t="n">
        <f aca="false">IF(COUNTIFS($K$2:K421,K421,$L$2:L421,L421,$M$2:M421,M421,$J$2:J421,J421)=1,1,0)</f>
        <v>1</v>
      </c>
      <c r="P421" s="1" t="n">
        <f aca="false">IF(AND(N421=1,S421=1,COUNTIFS($L$2:L421,L421,$J$2:J421,J421,$N$2:N421,1,$S$2:S421,1)=1),1,0)</f>
        <v>0</v>
      </c>
      <c r="Q421" s="1" t="n">
        <f aca="false">IF(AND(N421=1,S421=1,COUNTIFS($L$2:L421,L421,$K$2:K421,K421,$N$2:N421,1,$S$2:S421,1)=1),1,0)</f>
        <v>0</v>
      </c>
      <c r="R421" s="1" t="n">
        <f aca="false">IF(AND(N421=1,COUNTIFS($K$2:K421,K421,$L$2:L421,L421,$J$2:J421,J421,$N$2:N421,1)=1),1,0)</f>
        <v>0</v>
      </c>
      <c r="S421" s="1" t="n">
        <f aca="false">IF(AND(K421&lt;&gt;"Context and provider model",K421&lt;&gt;"Motivation"),1,0)</f>
        <v>1</v>
      </c>
    </row>
    <row r="422" customFormat="false" ht="15" hidden="false" customHeight="true" outlineLevel="0" collapsed="false">
      <c r="J422" s="1" t="str">
        <f aca="false">'Raw Atomic Data (Pro)'!A422</f>
        <v>Tianrui</v>
      </c>
      <c r="K422" s="1" t="str">
        <f aca="false">'Raw Atomic Data (Pro)'!C422</f>
        <v>Booking and availability</v>
      </c>
      <c r="L422" s="1" t="str">
        <f aca="false">'Raw Atomic Data (Pro)'!D422</f>
        <v>calendar-scheduling-tools</v>
      </c>
      <c r="M422" s="1" t="str">
        <f aca="false">'Raw Atomic Data (Pro)'!E422</f>
        <v>need</v>
      </c>
      <c r="N422" s="1" t="n">
        <f aca="false">IF(OR(M422="friction",M422="need",M422="workaround"),1,0)</f>
        <v>1</v>
      </c>
      <c r="O422" s="1" t="n">
        <f aca="false">IF(COUNTIFS($K$2:K422,K422,$L$2:L422,L422,$M$2:M422,M422,$J$2:J422,J422)=1,1,0)</f>
        <v>1</v>
      </c>
      <c r="P422" s="1" t="n">
        <f aca="false">IF(AND(N422=1,S422=1,COUNTIFS($L$2:L422,L422,$J$2:J422,J422,$N$2:N422,1,$S$2:S422,1)=1),1,0)</f>
        <v>0</v>
      </c>
      <c r="Q422" s="1" t="n">
        <f aca="false">IF(AND(N422=1,S422=1,COUNTIFS($L$2:L422,L422,$K$2:K422,K422,$N$2:N422,1,$S$2:S422,1)=1),1,0)</f>
        <v>0</v>
      </c>
      <c r="R422" s="1" t="n">
        <f aca="false">IF(AND(N422=1,COUNTIFS($K$2:K422,K422,$L$2:L422,L422,$J$2:J422,J422,$N$2:N422,1)=1),1,0)</f>
        <v>0</v>
      </c>
      <c r="S422" s="1" t="n">
        <f aca="false">IF(AND(K422&lt;&gt;"Context and provider model",K422&lt;&gt;"Motivation"),1,0)</f>
        <v>1</v>
      </c>
    </row>
    <row r="423" customFormat="false" ht="15" hidden="false" customHeight="true" outlineLevel="0" collapsed="false">
      <c r="J423" s="1" t="str">
        <f aca="false">'Raw Atomic Data (Pro)'!A423</f>
        <v>Tianrui</v>
      </c>
      <c r="K423" s="1" t="str">
        <f aca="false">'Raw Atomic Data (Pro)'!C423</f>
        <v>Booking and availability</v>
      </c>
      <c r="L423" s="1" t="str">
        <f aca="false">'Raw Atomic Data (Pro)'!D423</f>
        <v>meet-and-greet-process</v>
      </c>
      <c r="M423" s="1" t="str">
        <f aca="false">'Raw Atomic Data (Pro)'!E423</f>
        <v>need</v>
      </c>
      <c r="N423" s="1" t="n">
        <f aca="false">IF(OR(M423="friction",M423="need",M423="workaround"),1,0)</f>
        <v>1</v>
      </c>
      <c r="O423" s="1" t="n">
        <f aca="false">IF(COUNTIFS($K$2:K423,K423,$L$2:L423,L423,$M$2:M423,M423,$J$2:J423,J423)=1,1,0)</f>
        <v>1</v>
      </c>
      <c r="P423" s="1" t="n">
        <f aca="false">IF(AND(N423=1,S423=1,COUNTIFS($L$2:L423,L423,$J$2:J423,J423,$N$2:N423,1,$S$2:S423,1)=1),1,0)</f>
        <v>1</v>
      </c>
      <c r="Q423" s="1" t="n">
        <f aca="false">IF(AND(N423=1,S423=1,COUNTIFS($L$2:L423,L423,$K$2:K423,K423,$N$2:N423,1,$S$2:S423,1)=1),1,0)</f>
        <v>1</v>
      </c>
      <c r="R423" s="1" t="n">
        <f aca="false">IF(AND(N423=1,COUNTIFS($K$2:K423,K423,$L$2:L423,L423,$J$2:J423,J423,$N$2:N423,1)=1),1,0)</f>
        <v>1</v>
      </c>
      <c r="S423" s="1" t="n">
        <f aca="false">IF(AND(K423&lt;&gt;"Context and provider model",K423&lt;&gt;"Motivation"),1,0)</f>
        <v>1</v>
      </c>
    </row>
    <row r="424" customFormat="false" ht="15" hidden="false" customHeight="true" outlineLevel="0" collapsed="false">
      <c r="J424" s="1" t="str">
        <f aca="false">'Raw Atomic Data (Pro)'!A424</f>
        <v>Tianrui</v>
      </c>
      <c r="K424" s="1" t="str">
        <f aca="false">'Raw Atomic Data (Pro)'!C424</f>
        <v>Booking and availability</v>
      </c>
      <c r="L424" s="1" t="str">
        <f aca="false">'Raw Atomic Data (Pro)'!D424</f>
        <v>meet-and-greet-process</v>
      </c>
      <c r="M424" s="1" t="str">
        <f aca="false">'Raw Atomic Data (Pro)'!E424</f>
        <v>friction</v>
      </c>
      <c r="N424" s="1" t="n">
        <f aca="false">IF(OR(M424="friction",M424="need",M424="workaround"),1,0)</f>
        <v>1</v>
      </c>
      <c r="O424" s="1" t="n">
        <f aca="false">IF(COUNTIFS($K$2:K424,K424,$L$2:L424,L424,$M$2:M424,M424,$J$2:J424,J424)=1,1,0)</f>
        <v>1</v>
      </c>
      <c r="P424" s="1" t="n">
        <f aca="false">IF(AND(N424=1,S424=1,COUNTIFS($L$2:L424,L424,$J$2:J424,J424,$N$2:N424,1,$S$2:S424,1)=1),1,0)</f>
        <v>0</v>
      </c>
      <c r="Q424" s="1" t="n">
        <f aca="false">IF(AND(N424=1,S424=1,COUNTIFS($L$2:L424,L424,$K$2:K424,K424,$N$2:N424,1,$S$2:S424,1)=1),1,0)</f>
        <v>0</v>
      </c>
      <c r="R424" s="1" t="n">
        <f aca="false">IF(AND(N424=1,COUNTIFS($K$2:K424,K424,$L$2:L424,L424,$J$2:J424,J424,$N$2:N424,1)=1),1,0)</f>
        <v>0</v>
      </c>
      <c r="S424" s="1" t="n">
        <f aca="false">IF(AND(K424&lt;&gt;"Context and provider model",K424&lt;&gt;"Motivation"),1,0)</f>
        <v>1</v>
      </c>
    </row>
    <row r="425" customFormat="false" ht="15" hidden="false" customHeight="true" outlineLevel="0" collapsed="false">
      <c r="J425" s="1" t="str">
        <f aca="false">'Raw Atomic Data (Pro)'!A425</f>
        <v>Tianrui</v>
      </c>
      <c r="K425" s="1" t="str">
        <f aca="false">'Raw Atomic Data (Pro)'!C425</f>
        <v>Booking and availability</v>
      </c>
      <c r="L425" s="1" t="str">
        <f aca="false">'Raw Atomic Data (Pro)'!D425</f>
        <v>calendar-scheduling-tools</v>
      </c>
      <c r="M425" s="1" t="str">
        <f aca="false">'Raw Atomic Data (Pro)'!E425</f>
        <v>friction</v>
      </c>
      <c r="N425" s="1" t="n">
        <f aca="false">IF(OR(M425="friction",M425="need",M425="workaround"),1,0)</f>
        <v>1</v>
      </c>
      <c r="O425" s="1" t="n">
        <f aca="false">IF(COUNTIFS($K$2:K425,K425,$L$2:L425,L425,$M$2:M425,M425,$J$2:J425,J425)=1,1,0)</f>
        <v>0</v>
      </c>
      <c r="P425" s="1" t="n">
        <f aca="false">IF(AND(N425=1,S425=1,COUNTIFS($L$2:L425,L425,$J$2:J425,J425,$N$2:N425,1,$S$2:S425,1)=1),1,0)</f>
        <v>0</v>
      </c>
      <c r="Q425" s="1" t="n">
        <f aca="false">IF(AND(N425=1,S425=1,COUNTIFS($L$2:L425,L425,$K$2:K425,K425,$N$2:N425,1,$S$2:S425,1)=1),1,0)</f>
        <v>0</v>
      </c>
      <c r="R425" s="1" t="n">
        <f aca="false">IF(AND(N425=1,COUNTIFS($K$2:K425,K425,$L$2:L425,L425,$J$2:J425,J425,$N$2:N425,1)=1),1,0)</f>
        <v>0</v>
      </c>
      <c r="S425" s="1" t="n">
        <f aca="false">IF(AND(K425&lt;&gt;"Context and provider model",K425&lt;&gt;"Motivation"),1,0)</f>
        <v>1</v>
      </c>
    </row>
    <row r="426" customFormat="false" ht="15" hidden="false" customHeight="true" outlineLevel="0" collapsed="false">
      <c r="J426" s="1" t="str">
        <f aca="false">'Raw Atomic Data (Pro)'!A426</f>
        <v>Tianrui</v>
      </c>
      <c r="K426" s="1" t="str">
        <f aca="false">'Raw Atomic Data (Pro)'!C426</f>
        <v>Booking and availability</v>
      </c>
      <c r="L426" s="1" t="str">
        <f aca="false">'Raw Atomic Data (Pro)'!D426</f>
        <v>calendar-scheduling-tools</v>
      </c>
      <c r="M426" s="1" t="str">
        <f aca="false">'Raw Atomic Data (Pro)'!E426</f>
        <v>fact</v>
      </c>
      <c r="N426" s="1" t="n">
        <f aca="false">IF(OR(M426="friction",M426="need",M426="workaround"),1,0)</f>
        <v>0</v>
      </c>
      <c r="O426" s="1" t="n">
        <f aca="false">IF(COUNTIFS($K$2:K426,K426,$L$2:L426,L426,$M$2:M426,M426,$J$2:J426,J426)=1,1,0)</f>
        <v>0</v>
      </c>
      <c r="P426" s="1" t="n">
        <f aca="false">IF(AND(N426=1,S426=1,COUNTIFS($L$2:L426,L426,$J$2:J426,J426,$N$2:N426,1,$S$2:S426,1)=1),1,0)</f>
        <v>0</v>
      </c>
      <c r="Q426" s="1" t="n">
        <f aca="false">IF(AND(N426=1,S426=1,COUNTIFS($L$2:L426,L426,$K$2:K426,K426,$N$2:N426,1,$S$2:S426,1)=1),1,0)</f>
        <v>0</v>
      </c>
      <c r="R426" s="1" t="n">
        <f aca="false">IF(AND(N426=1,COUNTIFS($K$2:K426,K426,$L$2:L426,L426,$J$2:J426,J426,$N$2:N426,1)=1),1,0)</f>
        <v>0</v>
      </c>
      <c r="S426" s="1" t="n">
        <f aca="false">IF(AND(K426&lt;&gt;"Context and provider model",K426&lt;&gt;"Motivation"),1,0)</f>
        <v>1</v>
      </c>
    </row>
    <row r="427" customFormat="false" ht="15" hidden="false" customHeight="true" outlineLevel="0" collapsed="false">
      <c r="J427" s="1" t="str">
        <f aca="false">'Raw Atomic Data (Pro)'!A427</f>
        <v>Tifany</v>
      </c>
      <c r="K427" s="1" t="str">
        <f aca="false">'Raw Atomic Data (Pro)'!C427</f>
        <v>Booking and availability</v>
      </c>
      <c r="L427" s="1" t="str">
        <f aca="false">'Raw Atomic Data (Pro)'!D427</f>
        <v>calendar-scheduling-tools</v>
      </c>
      <c r="M427" s="1" t="str">
        <f aca="false">'Raw Atomic Data (Pro)'!E427</f>
        <v>workaround</v>
      </c>
      <c r="N427" s="1" t="n">
        <f aca="false">IF(OR(M427="friction",M427="need",M427="workaround"),1,0)</f>
        <v>1</v>
      </c>
      <c r="O427" s="1" t="n">
        <f aca="false">IF(COUNTIFS($K$2:K427,K427,$L$2:L427,L427,$M$2:M427,M427,$J$2:J427,J427)=1,1,0)</f>
        <v>1</v>
      </c>
      <c r="P427" s="1" t="n">
        <f aca="false">IF(AND(N427=1,S427=1,COUNTIFS($L$2:L427,L427,$J$2:J427,J427,$N$2:N427,1,$S$2:S427,1)=1),1,0)</f>
        <v>1</v>
      </c>
      <c r="Q427" s="1" t="n">
        <f aca="false">IF(AND(N427=1,S427=1,COUNTIFS($L$2:L427,L427,$K$2:K427,K427,$N$2:N427,1,$S$2:S427,1)=1),1,0)</f>
        <v>0</v>
      </c>
      <c r="R427" s="1" t="n">
        <f aca="false">IF(AND(N427=1,COUNTIFS($K$2:K427,K427,$L$2:L427,L427,$J$2:J427,J427,$N$2:N427,1)=1),1,0)</f>
        <v>1</v>
      </c>
      <c r="S427" s="1" t="n">
        <f aca="false">IF(AND(K427&lt;&gt;"Context and provider model",K427&lt;&gt;"Motivation"),1,0)</f>
        <v>1</v>
      </c>
    </row>
    <row r="428" customFormat="false" ht="15" hidden="false" customHeight="true" outlineLevel="0" collapsed="false">
      <c r="J428" s="1" t="str">
        <f aca="false">'Raw Atomic Data (Pro)'!A428</f>
        <v>Tifany</v>
      </c>
      <c r="K428" s="1" t="str">
        <f aca="false">'Raw Atomic Data (Pro)'!C428</f>
        <v>Booking and availability</v>
      </c>
      <c r="L428" s="1" t="str">
        <f aca="false">'Raw Atomic Data (Pro)'!D428</f>
        <v>calendar-scheduling-tools</v>
      </c>
      <c r="M428" s="1" t="str">
        <f aca="false">'Raw Atomic Data (Pro)'!E428</f>
        <v>need</v>
      </c>
      <c r="N428" s="1" t="n">
        <f aca="false">IF(OR(M428="friction",M428="need",M428="workaround"),1,0)</f>
        <v>1</v>
      </c>
      <c r="O428" s="1" t="n">
        <f aca="false">IF(COUNTIFS($K$2:K428,K428,$L$2:L428,L428,$M$2:M428,M428,$J$2:J428,J428)=1,1,0)</f>
        <v>1</v>
      </c>
      <c r="P428" s="1" t="n">
        <f aca="false">IF(AND(N428=1,S428=1,COUNTIFS($L$2:L428,L428,$J$2:J428,J428,$N$2:N428,1,$S$2:S428,1)=1),1,0)</f>
        <v>0</v>
      </c>
      <c r="Q428" s="1" t="n">
        <f aca="false">IF(AND(N428=1,S428=1,COUNTIFS($L$2:L428,L428,$K$2:K428,K428,$N$2:N428,1,$S$2:S428,1)=1),1,0)</f>
        <v>0</v>
      </c>
      <c r="R428" s="1" t="n">
        <f aca="false">IF(AND(N428=1,COUNTIFS($K$2:K428,K428,$L$2:L428,L428,$J$2:J428,J428,$N$2:N428,1)=1),1,0)</f>
        <v>0</v>
      </c>
      <c r="S428" s="1" t="n">
        <f aca="false">IF(AND(K428&lt;&gt;"Context and provider model",K428&lt;&gt;"Motivation"),1,0)</f>
        <v>1</v>
      </c>
    </row>
    <row r="429" customFormat="false" ht="15" hidden="false" customHeight="true" outlineLevel="0" collapsed="false">
      <c r="J429" s="1" t="str">
        <f aca="false">'Raw Atomic Data (Pro)'!A429</f>
        <v>Tifany</v>
      </c>
      <c r="K429" s="1" t="str">
        <f aca="false">'Raw Atomic Data (Pro)'!C429</f>
        <v>Booking and availability</v>
      </c>
      <c r="L429" s="1" t="str">
        <f aca="false">'Raw Atomic Data (Pro)'!D429</f>
        <v>calendar-scheduling-tools</v>
      </c>
      <c r="M429" s="1" t="str">
        <f aca="false">'Raw Atomic Data (Pro)'!E429</f>
        <v>friction</v>
      </c>
      <c r="N429" s="1" t="n">
        <f aca="false">IF(OR(M429="friction",M429="need",M429="workaround"),1,0)</f>
        <v>1</v>
      </c>
      <c r="O429" s="1" t="n">
        <f aca="false">IF(COUNTIFS($K$2:K429,K429,$L$2:L429,L429,$M$2:M429,M429,$J$2:J429,J429)=1,1,0)</f>
        <v>1</v>
      </c>
      <c r="P429" s="1" t="n">
        <f aca="false">IF(AND(N429=1,S429=1,COUNTIFS($L$2:L429,L429,$J$2:J429,J429,$N$2:N429,1,$S$2:S429,1)=1),1,0)</f>
        <v>0</v>
      </c>
      <c r="Q429" s="1" t="n">
        <f aca="false">IF(AND(N429=1,S429=1,COUNTIFS($L$2:L429,L429,$K$2:K429,K429,$N$2:N429,1,$S$2:S429,1)=1),1,0)</f>
        <v>0</v>
      </c>
      <c r="R429" s="1" t="n">
        <f aca="false">IF(AND(N429=1,COUNTIFS($K$2:K429,K429,$L$2:L429,L429,$J$2:J429,J429,$N$2:N429,1)=1),1,0)</f>
        <v>0</v>
      </c>
      <c r="S429" s="1" t="n">
        <f aca="false">IF(AND(K429&lt;&gt;"Context and provider model",K429&lt;&gt;"Motivation"),1,0)</f>
        <v>1</v>
      </c>
    </row>
    <row r="430" customFormat="false" ht="15" hidden="false" customHeight="true" outlineLevel="0" collapsed="false">
      <c r="J430" s="1" t="str">
        <f aca="false">'Raw Atomic Data (Pro)'!A430</f>
        <v>Tifany</v>
      </c>
      <c r="K430" s="1" t="str">
        <f aca="false">'Raw Atomic Data (Pro)'!C430</f>
        <v>Booking and availability</v>
      </c>
      <c r="L430" s="1" t="str">
        <f aca="false">'Raw Atomic Data (Pro)'!D430</f>
        <v>calendar-scheduling-tools</v>
      </c>
      <c r="M430" s="1" t="str">
        <f aca="false">'Raw Atomic Data (Pro)'!E430</f>
        <v>fact</v>
      </c>
      <c r="N430" s="1" t="n">
        <f aca="false">IF(OR(M430="friction",M430="need",M430="workaround"),1,0)</f>
        <v>0</v>
      </c>
      <c r="O430" s="1" t="n">
        <f aca="false">IF(COUNTIFS($K$2:K430,K430,$L$2:L430,L430,$M$2:M430,M430,$J$2:J430,J430)=1,1,0)</f>
        <v>1</v>
      </c>
      <c r="P430" s="1" t="n">
        <f aca="false">IF(AND(N430=1,S430=1,COUNTIFS($L$2:L430,L430,$J$2:J430,J430,$N$2:N430,1,$S$2:S430,1)=1),1,0)</f>
        <v>0</v>
      </c>
      <c r="Q430" s="1" t="n">
        <f aca="false">IF(AND(N430=1,S430=1,COUNTIFS($L$2:L430,L430,$K$2:K430,K430,$N$2:N430,1,$S$2:S430,1)=1),1,0)</f>
        <v>0</v>
      </c>
      <c r="R430" s="1" t="n">
        <f aca="false">IF(AND(N430=1,COUNTIFS($K$2:K430,K430,$L$2:L430,L430,$J$2:J430,J430,$N$2:N430,1)=1),1,0)</f>
        <v>0</v>
      </c>
      <c r="S430" s="1" t="n">
        <f aca="false">IF(AND(K430&lt;&gt;"Context and provider model",K430&lt;&gt;"Motivation"),1,0)</f>
        <v>1</v>
      </c>
    </row>
    <row r="431" customFormat="false" ht="15" hidden="false" customHeight="true" outlineLevel="0" collapsed="false">
      <c r="J431" s="1" t="str">
        <f aca="false">'Raw Atomic Data (Pro)'!A431</f>
        <v>Ami</v>
      </c>
      <c r="K431" s="1" t="str">
        <f aca="false">'Raw Atomic Data (Pro)'!C431</f>
        <v>Sitting preparation</v>
      </c>
      <c r="L431" s="1" t="str">
        <f aca="false">'Raw Atomic Data (Pro)'!D431</f>
        <v>care-instructions-handoff</v>
      </c>
      <c r="M431" s="1" t="str">
        <f aca="false">'Raw Atomic Data (Pro)'!E431</f>
        <v>workaround</v>
      </c>
      <c r="N431" s="1" t="n">
        <f aca="false">IF(OR(M431="friction",M431="need",M431="workaround"),1,0)</f>
        <v>1</v>
      </c>
      <c r="O431" s="1" t="n">
        <f aca="false">IF(COUNTIFS($K$2:K431,K431,$L$2:L431,L431,$M$2:M431,M431,$J$2:J431,J431)=1,1,0)</f>
        <v>1</v>
      </c>
      <c r="P431" s="1" t="n">
        <f aca="false">IF(AND(N431=1,S431=1,COUNTIFS($L$2:L431,L431,$J$2:J431,J431,$N$2:N431,1,$S$2:S431,1)=1),1,0)</f>
        <v>1</v>
      </c>
      <c r="Q431" s="1" t="n">
        <f aca="false">IF(AND(N431=1,S431=1,COUNTIFS($L$2:L431,L431,$K$2:K431,K431,$N$2:N431,1,$S$2:S431,1)=1),1,0)</f>
        <v>1</v>
      </c>
      <c r="R431" s="1" t="n">
        <f aca="false">IF(AND(N431=1,COUNTIFS($K$2:K431,K431,$L$2:L431,L431,$J$2:J431,J431,$N$2:N431,1)=1),1,0)</f>
        <v>1</v>
      </c>
      <c r="S431" s="1" t="n">
        <f aca="false">IF(AND(K431&lt;&gt;"Context and provider model",K431&lt;&gt;"Motivation"),1,0)</f>
        <v>1</v>
      </c>
    </row>
    <row r="432" customFormat="false" ht="15" hidden="false" customHeight="true" outlineLevel="0" collapsed="false">
      <c r="J432" s="1" t="str">
        <f aca="false">'Raw Atomic Data (Pro)'!A432</f>
        <v>Ami</v>
      </c>
      <c r="K432" s="1" t="str">
        <f aca="false">'Raw Atomic Data (Pro)'!C432</f>
        <v>Sitting preparation</v>
      </c>
      <c r="L432" s="1" t="str">
        <f aca="false">'Raw Atomic Data (Pro)'!D432</f>
        <v>care-instructions-handoff</v>
      </c>
      <c r="M432" s="1" t="str">
        <f aca="false">'Raw Atomic Data (Pro)'!E432</f>
        <v>friction</v>
      </c>
      <c r="N432" s="1" t="n">
        <f aca="false">IF(OR(M432="friction",M432="need",M432="workaround"),1,0)</f>
        <v>1</v>
      </c>
      <c r="O432" s="1" t="n">
        <f aca="false">IF(COUNTIFS($K$2:K432,K432,$L$2:L432,L432,$M$2:M432,M432,$J$2:J432,J432)=1,1,0)</f>
        <v>1</v>
      </c>
      <c r="P432" s="1" t="n">
        <f aca="false">IF(AND(N432=1,S432=1,COUNTIFS($L$2:L432,L432,$J$2:J432,J432,$N$2:N432,1,$S$2:S432,1)=1),1,0)</f>
        <v>0</v>
      </c>
      <c r="Q432" s="1" t="n">
        <f aca="false">IF(AND(N432=1,S432=1,COUNTIFS($L$2:L432,L432,$K$2:K432,K432,$N$2:N432,1,$S$2:S432,1)=1),1,0)</f>
        <v>0</v>
      </c>
      <c r="R432" s="1" t="n">
        <f aca="false">IF(AND(N432=1,COUNTIFS($K$2:K432,K432,$L$2:L432,L432,$J$2:J432,J432,$N$2:N432,1)=1),1,0)</f>
        <v>0</v>
      </c>
      <c r="S432" s="1" t="n">
        <f aca="false">IF(AND(K432&lt;&gt;"Context and provider model",K432&lt;&gt;"Motivation"),1,0)</f>
        <v>1</v>
      </c>
    </row>
    <row r="433" customFormat="false" ht="15" hidden="false" customHeight="true" outlineLevel="0" collapsed="false">
      <c r="J433" s="1" t="str">
        <f aca="false">'Raw Atomic Data (Pro)'!A433</f>
        <v>Andrew</v>
      </c>
      <c r="K433" s="1" t="str">
        <f aca="false">'Raw Atomic Data (Pro)'!C433</f>
        <v>Sitting preparation</v>
      </c>
      <c r="L433" s="1" t="str">
        <f aca="false">'Raw Atomic Data (Pro)'!D433</f>
        <v>care-instructions-handoff</v>
      </c>
      <c r="M433" s="1" t="str">
        <f aca="false">'Raw Atomic Data (Pro)'!E433</f>
        <v>workaround</v>
      </c>
      <c r="N433" s="1" t="n">
        <f aca="false">IF(OR(M433="friction",M433="need",M433="workaround"),1,0)</f>
        <v>1</v>
      </c>
      <c r="O433" s="1" t="n">
        <f aca="false">IF(COUNTIFS($K$2:K433,K433,$L$2:L433,L433,$M$2:M433,M433,$J$2:J433,J433)=1,1,0)</f>
        <v>1</v>
      </c>
      <c r="P433" s="1" t="n">
        <f aca="false">IF(AND(N433=1,S433=1,COUNTIFS($L$2:L433,L433,$J$2:J433,J433,$N$2:N433,1,$S$2:S433,1)=1),1,0)</f>
        <v>1</v>
      </c>
      <c r="Q433" s="1" t="n">
        <f aca="false">IF(AND(N433=1,S433=1,COUNTIFS($L$2:L433,L433,$K$2:K433,K433,$N$2:N433,1,$S$2:S433,1)=1),1,0)</f>
        <v>0</v>
      </c>
      <c r="R433" s="1" t="n">
        <f aca="false">IF(AND(N433=1,COUNTIFS($K$2:K433,K433,$L$2:L433,L433,$J$2:J433,J433,$N$2:N433,1)=1),1,0)</f>
        <v>1</v>
      </c>
      <c r="S433" s="1" t="n">
        <f aca="false">IF(AND(K433&lt;&gt;"Context and provider model",K433&lt;&gt;"Motivation"),1,0)</f>
        <v>1</v>
      </c>
    </row>
    <row r="434" customFormat="false" ht="15" hidden="false" customHeight="true" outlineLevel="0" collapsed="false">
      <c r="J434" s="1" t="str">
        <f aca="false">'Raw Atomic Data (Pro)'!A434</f>
        <v>Andrew</v>
      </c>
      <c r="K434" s="1" t="str">
        <f aca="false">'Raw Atomic Data (Pro)'!C434</f>
        <v>Sitting preparation</v>
      </c>
      <c r="L434" s="1" t="str">
        <f aca="false">'Raw Atomic Data (Pro)'!D434</f>
        <v>care-instructions-handoff</v>
      </c>
      <c r="M434" s="1" t="str">
        <f aca="false">'Raw Atomic Data (Pro)'!E434</f>
        <v>workaround</v>
      </c>
      <c r="N434" s="1" t="n">
        <f aca="false">IF(OR(M434="friction",M434="need",M434="workaround"),1,0)</f>
        <v>1</v>
      </c>
      <c r="O434" s="1" t="n">
        <f aca="false">IF(COUNTIFS($K$2:K434,K434,$L$2:L434,L434,$M$2:M434,M434,$J$2:J434,J434)=1,1,0)</f>
        <v>0</v>
      </c>
      <c r="P434" s="1" t="n">
        <f aca="false">IF(AND(N434=1,S434=1,COUNTIFS($L$2:L434,L434,$J$2:J434,J434,$N$2:N434,1,$S$2:S434,1)=1),1,0)</f>
        <v>0</v>
      </c>
      <c r="Q434" s="1" t="n">
        <f aca="false">IF(AND(N434=1,S434=1,COUNTIFS($L$2:L434,L434,$K$2:K434,K434,$N$2:N434,1,$S$2:S434,1)=1),1,0)</f>
        <v>0</v>
      </c>
      <c r="R434" s="1" t="n">
        <f aca="false">IF(AND(N434=1,COUNTIFS($K$2:K434,K434,$L$2:L434,L434,$J$2:J434,J434,$N$2:N434,1)=1),1,0)</f>
        <v>0</v>
      </c>
      <c r="S434" s="1" t="n">
        <f aca="false">IF(AND(K434&lt;&gt;"Context and provider model",K434&lt;&gt;"Motivation"),1,0)</f>
        <v>1</v>
      </c>
    </row>
    <row r="435" customFormat="false" ht="15" hidden="false" customHeight="true" outlineLevel="0" collapsed="false">
      <c r="J435" s="1" t="str">
        <f aca="false">'Raw Atomic Data (Pro)'!A435</f>
        <v>Andrew</v>
      </c>
      <c r="K435" s="1" t="str">
        <f aca="false">'Raw Atomic Data (Pro)'!C435</f>
        <v>Sitting preparation</v>
      </c>
      <c r="L435" s="1" t="str">
        <f aca="false">'Raw Atomic Data (Pro)'!D435</f>
        <v>care-instructions-handoff</v>
      </c>
      <c r="M435" s="1" t="str">
        <f aca="false">'Raw Atomic Data (Pro)'!E435</f>
        <v>fact</v>
      </c>
      <c r="N435" s="1" t="n">
        <f aca="false">IF(OR(M435="friction",M435="need",M435="workaround"),1,0)</f>
        <v>0</v>
      </c>
      <c r="O435" s="1" t="n">
        <f aca="false">IF(COUNTIFS($K$2:K435,K435,$L$2:L435,L435,$M$2:M435,M435,$J$2:J435,J435)=1,1,0)</f>
        <v>1</v>
      </c>
      <c r="P435" s="1" t="n">
        <f aca="false">IF(AND(N435=1,S435=1,COUNTIFS($L$2:L435,L435,$J$2:J435,J435,$N$2:N435,1,$S$2:S435,1)=1),1,0)</f>
        <v>0</v>
      </c>
      <c r="Q435" s="1" t="n">
        <f aca="false">IF(AND(N435=1,S435=1,COUNTIFS($L$2:L435,L435,$K$2:K435,K435,$N$2:N435,1,$S$2:S435,1)=1),1,0)</f>
        <v>0</v>
      </c>
      <c r="R435" s="1" t="n">
        <f aca="false">IF(AND(N435=1,COUNTIFS($K$2:K435,K435,$L$2:L435,L435,$J$2:J435,J435,$N$2:N435,1)=1),1,0)</f>
        <v>0</v>
      </c>
      <c r="S435" s="1" t="n">
        <f aca="false">IF(AND(K435&lt;&gt;"Context and provider model",K435&lt;&gt;"Motivation"),1,0)</f>
        <v>1</v>
      </c>
    </row>
    <row r="436" customFormat="false" ht="15" hidden="false" customHeight="true" outlineLevel="0" collapsed="false">
      <c r="J436" s="1" t="str">
        <f aca="false">'Raw Atomic Data (Pro)'!A436</f>
        <v>Andrew</v>
      </c>
      <c r="K436" s="1" t="str">
        <f aca="false">'Raw Atomic Data (Pro)'!C436</f>
        <v>Sitting preparation</v>
      </c>
      <c r="L436" s="1" t="str">
        <f aca="false">'Raw Atomic Data (Pro)'!D436</f>
        <v>profile-information-completeness</v>
      </c>
      <c r="M436" s="1" t="str">
        <f aca="false">'Raw Atomic Data (Pro)'!E436</f>
        <v>friction</v>
      </c>
      <c r="N436" s="1" t="n">
        <f aca="false">IF(OR(M436="friction",M436="need",M436="workaround"),1,0)</f>
        <v>1</v>
      </c>
      <c r="O436" s="1" t="n">
        <f aca="false">IF(COUNTIFS($K$2:K436,K436,$L$2:L436,L436,$M$2:M436,M436,$J$2:J436,J436)=1,1,0)</f>
        <v>1</v>
      </c>
      <c r="P436" s="1" t="n">
        <f aca="false">IF(AND(N436=1,S436=1,COUNTIFS($L$2:L436,L436,$J$2:J436,J436,$N$2:N436,1,$S$2:S436,1)=1),1,0)</f>
        <v>1</v>
      </c>
      <c r="Q436" s="1" t="n">
        <f aca="false">IF(AND(N436=1,S436=1,COUNTIFS($L$2:L436,L436,$K$2:K436,K436,$N$2:N436,1,$S$2:S436,1)=1),1,0)</f>
        <v>1</v>
      </c>
      <c r="R436" s="1" t="n">
        <f aca="false">IF(AND(N436=1,COUNTIFS($K$2:K436,K436,$L$2:L436,L436,$J$2:J436,J436,$N$2:N436,1)=1),1,0)</f>
        <v>1</v>
      </c>
      <c r="S436" s="1" t="n">
        <f aca="false">IF(AND(K436&lt;&gt;"Context and provider model",K436&lt;&gt;"Motivation"),1,0)</f>
        <v>1</v>
      </c>
    </row>
    <row r="437" customFormat="false" ht="15" hidden="false" customHeight="true" outlineLevel="0" collapsed="false">
      <c r="J437" s="1" t="str">
        <f aca="false">'Raw Atomic Data (Pro)'!A437</f>
        <v>Andrew</v>
      </c>
      <c r="K437" s="1" t="str">
        <f aca="false">'Raw Atomic Data (Pro)'!C437</f>
        <v>Sitting preparation</v>
      </c>
      <c r="L437" s="1" t="str">
        <f aca="false">'Raw Atomic Data (Pro)'!D437</f>
        <v>profile-information-completeness</v>
      </c>
      <c r="M437" s="1" t="str">
        <f aca="false">'Raw Atomic Data (Pro)'!E437</f>
        <v>need</v>
      </c>
      <c r="N437" s="1" t="n">
        <f aca="false">IF(OR(M437="friction",M437="need",M437="workaround"),1,0)</f>
        <v>1</v>
      </c>
      <c r="O437" s="1" t="n">
        <f aca="false">IF(COUNTIFS($K$2:K437,K437,$L$2:L437,L437,$M$2:M437,M437,$J$2:J437,J437)=1,1,0)</f>
        <v>1</v>
      </c>
      <c r="P437" s="1" t="n">
        <f aca="false">IF(AND(N437=1,S437=1,COUNTIFS($L$2:L437,L437,$J$2:J437,J437,$N$2:N437,1,$S$2:S437,1)=1),1,0)</f>
        <v>0</v>
      </c>
      <c r="Q437" s="1" t="n">
        <f aca="false">IF(AND(N437=1,S437=1,COUNTIFS($L$2:L437,L437,$K$2:K437,K437,$N$2:N437,1,$S$2:S437,1)=1),1,0)</f>
        <v>0</v>
      </c>
      <c r="R437" s="1" t="n">
        <f aca="false">IF(AND(N437=1,COUNTIFS($K$2:K437,K437,$L$2:L437,L437,$J$2:J437,J437,$N$2:N437,1)=1),1,0)</f>
        <v>0</v>
      </c>
      <c r="S437" s="1" t="n">
        <f aca="false">IF(AND(K437&lt;&gt;"Context and provider model",K437&lt;&gt;"Motivation"),1,0)</f>
        <v>1</v>
      </c>
    </row>
    <row r="438" customFormat="false" ht="15" hidden="false" customHeight="true" outlineLevel="0" collapsed="false">
      <c r="J438" s="1" t="str">
        <f aca="false">'Raw Atomic Data (Pro)'!A438</f>
        <v>Andrew</v>
      </c>
      <c r="K438" s="1" t="str">
        <f aca="false">'Raw Atomic Data (Pro)'!C438</f>
        <v>Sitting preparation</v>
      </c>
      <c r="L438" s="1" t="str">
        <f aca="false">'Raw Atomic Data (Pro)'!D438</f>
        <v>care-instructions-handoff</v>
      </c>
      <c r="M438" s="1" t="str">
        <f aca="false">'Raw Atomic Data (Pro)'!E438</f>
        <v>workaround</v>
      </c>
      <c r="N438" s="1" t="n">
        <f aca="false">IF(OR(M438="friction",M438="need",M438="workaround"),1,0)</f>
        <v>1</v>
      </c>
      <c r="O438" s="1" t="n">
        <f aca="false">IF(COUNTIFS($K$2:K438,K438,$L$2:L438,L438,$M$2:M438,M438,$J$2:J438,J438)=1,1,0)</f>
        <v>0</v>
      </c>
      <c r="P438" s="1" t="n">
        <f aca="false">IF(AND(N438=1,S438=1,COUNTIFS($L$2:L438,L438,$J$2:J438,J438,$N$2:N438,1,$S$2:S438,1)=1),1,0)</f>
        <v>0</v>
      </c>
      <c r="Q438" s="1" t="n">
        <f aca="false">IF(AND(N438=1,S438=1,COUNTIFS($L$2:L438,L438,$K$2:K438,K438,$N$2:N438,1,$S$2:S438,1)=1),1,0)</f>
        <v>0</v>
      </c>
      <c r="R438" s="1" t="n">
        <f aca="false">IF(AND(N438=1,COUNTIFS($K$2:K438,K438,$L$2:L438,L438,$J$2:J438,J438,$N$2:N438,1)=1),1,0)</f>
        <v>0</v>
      </c>
      <c r="S438" s="1" t="n">
        <f aca="false">IF(AND(K438&lt;&gt;"Context and provider model",K438&lt;&gt;"Motivation"),1,0)</f>
        <v>1</v>
      </c>
    </row>
    <row r="439" customFormat="false" ht="15" hidden="false" customHeight="true" outlineLevel="0" collapsed="false">
      <c r="J439" s="1" t="str">
        <f aca="false">'Raw Atomic Data (Pro)'!A439</f>
        <v>Andrew</v>
      </c>
      <c r="K439" s="1" t="str">
        <f aca="false">'Raw Atomic Data (Pro)'!C439</f>
        <v>Sitting preparation</v>
      </c>
      <c r="L439" s="1" t="str">
        <f aca="false">'Raw Atomic Data (Pro)'!D439</f>
        <v>care-instructions-handoff</v>
      </c>
      <c r="M439" s="1" t="str">
        <f aca="false">'Raw Atomic Data (Pro)'!E439</f>
        <v>need</v>
      </c>
      <c r="N439" s="1" t="n">
        <f aca="false">IF(OR(M439="friction",M439="need",M439="workaround"),1,0)</f>
        <v>1</v>
      </c>
      <c r="O439" s="1" t="n">
        <f aca="false">IF(COUNTIFS($K$2:K439,K439,$L$2:L439,L439,$M$2:M439,M439,$J$2:J439,J439)=1,1,0)</f>
        <v>1</v>
      </c>
      <c r="P439" s="1" t="n">
        <f aca="false">IF(AND(N439=1,S439=1,COUNTIFS($L$2:L439,L439,$J$2:J439,J439,$N$2:N439,1,$S$2:S439,1)=1),1,0)</f>
        <v>0</v>
      </c>
      <c r="Q439" s="1" t="n">
        <f aca="false">IF(AND(N439=1,S439=1,COUNTIFS($L$2:L439,L439,$K$2:K439,K439,$N$2:N439,1,$S$2:S439,1)=1),1,0)</f>
        <v>0</v>
      </c>
      <c r="R439" s="1" t="n">
        <f aca="false">IF(AND(N439=1,COUNTIFS($K$2:K439,K439,$L$2:L439,L439,$J$2:J439,J439,$N$2:N439,1)=1),1,0)</f>
        <v>0</v>
      </c>
      <c r="S439" s="1" t="n">
        <f aca="false">IF(AND(K439&lt;&gt;"Context and provider model",K439&lt;&gt;"Motivation"),1,0)</f>
        <v>1</v>
      </c>
    </row>
    <row r="440" customFormat="false" ht="15" hidden="false" customHeight="true" outlineLevel="0" collapsed="false">
      <c r="J440" s="1" t="str">
        <f aca="false">'Raw Atomic Data (Pro)'!A440</f>
        <v>Anita</v>
      </c>
      <c r="K440" s="1" t="str">
        <f aca="false">'Raw Atomic Data (Pro)'!C440</f>
        <v>Sitting preparation</v>
      </c>
      <c r="L440" s="1" t="str">
        <f aca="false">'Raw Atomic Data (Pro)'!D440</f>
        <v>care-instructions-handoff</v>
      </c>
      <c r="M440" s="1" t="str">
        <f aca="false">'Raw Atomic Data (Pro)'!E440</f>
        <v>workaround</v>
      </c>
      <c r="N440" s="1" t="n">
        <f aca="false">IF(OR(M440="friction",M440="need",M440="workaround"),1,0)</f>
        <v>1</v>
      </c>
      <c r="O440" s="1" t="n">
        <f aca="false">IF(COUNTIFS($K$2:K440,K440,$L$2:L440,L440,$M$2:M440,M440,$J$2:J440,J440)=1,1,0)</f>
        <v>1</v>
      </c>
      <c r="P440" s="1" t="n">
        <f aca="false">IF(AND(N440=1,S440=1,COUNTIFS($L$2:L440,L440,$J$2:J440,J440,$N$2:N440,1,$S$2:S440,1)=1),1,0)</f>
        <v>1</v>
      </c>
      <c r="Q440" s="1" t="n">
        <f aca="false">IF(AND(N440=1,S440=1,COUNTIFS($L$2:L440,L440,$K$2:K440,K440,$N$2:N440,1,$S$2:S440,1)=1),1,0)</f>
        <v>0</v>
      </c>
      <c r="R440" s="1" t="n">
        <f aca="false">IF(AND(N440=1,COUNTIFS($K$2:K440,K440,$L$2:L440,L440,$J$2:J440,J440,$N$2:N440,1)=1),1,0)</f>
        <v>1</v>
      </c>
      <c r="S440" s="1" t="n">
        <f aca="false">IF(AND(K440&lt;&gt;"Context and provider model",K440&lt;&gt;"Motivation"),1,0)</f>
        <v>1</v>
      </c>
    </row>
    <row r="441" customFormat="false" ht="15" hidden="false" customHeight="true" outlineLevel="0" collapsed="false">
      <c r="J441" s="1" t="str">
        <f aca="false">'Raw Atomic Data (Pro)'!A441</f>
        <v>Anita</v>
      </c>
      <c r="K441" s="1" t="str">
        <f aca="false">'Raw Atomic Data (Pro)'!C441</f>
        <v>Sitting preparation</v>
      </c>
      <c r="L441" s="1" t="str">
        <f aca="false">'Raw Atomic Data (Pro)'!D441</f>
        <v>care-instructions-handoff</v>
      </c>
      <c r="M441" s="1" t="str">
        <f aca="false">'Raw Atomic Data (Pro)'!E441</f>
        <v>fact</v>
      </c>
      <c r="N441" s="1" t="n">
        <f aca="false">IF(OR(M441="friction",M441="need",M441="workaround"),1,0)</f>
        <v>0</v>
      </c>
      <c r="O441" s="1" t="n">
        <f aca="false">IF(COUNTIFS($K$2:K441,K441,$L$2:L441,L441,$M$2:M441,M441,$J$2:J441,J441)=1,1,0)</f>
        <v>1</v>
      </c>
      <c r="P441" s="1" t="n">
        <f aca="false">IF(AND(N441=1,S441=1,COUNTIFS($L$2:L441,L441,$J$2:J441,J441,$N$2:N441,1,$S$2:S441,1)=1),1,0)</f>
        <v>0</v>
      </c>
      <c r="Q441" s="1" t="n">
        <f aca="false">IF(AND(N441=1,S441=1,COUNTIFS($L$2:L441,L441,$K$2:K441,K441,$N$2:N441,1,$S$2:S441,1)=1),1,0)</f>
        <v>0</v>
      </c>
      <c r="R441" s="1" t="n">
        <f aca="false">IF(AND(N441=1,COUNTIFS($K$2:K441,K441,$L$2:L441,L441,$J$2:J441,J441,$N$2:N441,1)=1),1,0)</f>
        <v>0</v>
      </c>
      <c r="S441" s="1" t="n">
        <f aca="false">IF(AND(K441&lt;&gt;"Context and provider model",K441&lt;&gt;"Motivation"),1,0)</f>
        <v>1</v>
      </c>
    </row>
    <row r="442" customFormat="false" ht="15" hidden="false" customHeight="true" outlineLevel="0" collapsed="false">
      <c r="J442" s="1" t="str">
        <f aca="false">'Raw Atomic Data (Pro)'!A442</f>
        <v>Anita</v>
      </c>
      <c r="K442" s="1" t="str">
        <f aca="false">'Raw Atomic Data (Pro)'!C442</f>
        <v>Sitting preparation</v>
      </c>
      <c r="L442" s="1" t="str">
        <f aca="false">'Raw Atomic Data (Pro)'!D442</f>
        <v>care-instructions-handoff</v>
      </c>
      <c r="M442" s="1" t="str">
        <f aca="false">'Raw Atomic Data (Pro)'!E442</f>
        <v>need</v>
      </c>
      <c r="N442" s="1" t="n">
        <f aca="false">IF(OR(M442="friction",M442="need",M442="workaround"),1,0)</f>
        <v>1</v>
      </c>
      <c r="O442" s="1" t="n">
        <f aca="false">IF(COUNTIFS($K$2:K442,K442,$L$2:L442,L442,$M$2:M442,M442,$J$2:J442,J442)=1,1,0)</f>
        <v>1</v>
      </c>
      <c r="P442" s="1" t="n">
        <f aca="false">IF(AND(N442=1,S442=1,COUNTIFS($L$2:L442,L442,$J$2:J442,J442,$N$2:N442,1,$S$2:S442,1)=1),1,0)</f>
        <v>0</v>
      </c>
      <c r="Q442" s="1" t="n">
        <f aca="false">IF(AND(N442=1,S442=1,COUNTIFS($L$2:L442,L442,$K$2:K442,K442,$N$2:N442,1,$S$2:S442,1)=1),1,0)</f>
        <v>0</v>
      </c>
      <c r="R442" s="1" t="n">
        <f aca="false">IF(AND(N442=1,COUNTIFS($K$2:K442,K442,$L$2:L442,L442,$J$2:J442,J442,$N$2:N442,1)=1),1,0)</f>
        <v>0</v>
      </c>
      <c r="S442" s="1" t="n">
        <f aca="false">IF(AND(K442&lt;&gt;"Context and provider model",K442&lt;&gt;"Motivation"),1,0)</f>
        <v>1</v>
      </c>
    </row>
    <row r="443" customFormat="false" ht="15" hidden="false" customHeight="true" outlineLevel="0" collapsed="false">
      <c r="J443" s="1" t="str">
        <f aca="false">'Raw Atomic Data (Pro)'!A443</f>
        <v>Anita</v>
      </c>
      <c r="K443" s="1" t="str">
        <f aca="false">'Raw Atomic Data (Pro)'!C443</f>
        <v>Sitting preparation</v>
      </c>
      <c r="L443" s="1" t="str">
        <f aca="false">'Raw Atomic Data (Pro)'!D443</f>
        <v>sitter-support-resources</v>
      </c>
      <c r="M443" s="1" t="str">
        <f aca="false">'Raw Atomic Data (Pro)'!E443</f>
        <v>fact</v>
      </c>
      <c r="N443" s="1" t="n">
        <f aca="false">IF(OR(M443="friction",M443="need",M443="workaround"),1,0)</f>
        <v>0</v>
      </c>
      <c r="O443" s="1" t="n">
        <f aca="false">IF(COUNTIFS($K$2:K443,K443,$L$2:L443,L443,$M$2:M443,M443,$J$2:J443,J443)=1,1,0)</f>
        <v>1</v>
      </c>
      <c r="P443" s="1" t="n">
        <f aca="false">IF(AND(N443=1,S443=1,COUNTIFS($L$2:L443,L443,$J$2:J443,J443,$N$2:N443,1,$S$2:S443,1)=1),1,0)</f>
        <v>0</v>
      </c>
      <c r="Q443" s="1" t="n">
        <f aca="false">IF(AND(N443=1,S443=1,COUNTIFS($L$2:L443,L443,$K$2:K443,K443,$N$2:N443,1,$S$2:S443,1)=1),1,0)</f>
        <v>0</v>
      </c>
      <c r="R443" s="1" t="n">
        <f aca="false">IF(AND(N443=1,COUNTIFS($K$2:K443,K443,$L$2:L443,L443,$J$2:J443,J443,$N$2:N443,1)=1),1,0)</f>
        <v>0</v>
      </c>
      <c r="S443" s="1" t="n">
        <f aca="false">IF(AND(K443&lt;&gt;"Context and provider model",K443&lt;&gt;"Motivation"),1,0)</f>
        <v>1</v>
      </c>
    </row>
    <row r="444" customFormat="false" ht="15" hidden="false" customHeight="true" outlineLevel="0" collapsed="false">
      <c r="J444" s="1" t="str">
        <f aca="false">'Raw Atomic Data (Pro)'!A444</f>
        <v>Becky</v>
      </c>
      <c r="K444" s="1" t="str">
        <f aca="false">'Raw Atomic Data (Pro)'!C444</f>
        <v>Sitting preparation</v>
      </c>
      <c r="L444" s="1" t="str">
        <f aca="false">'Raw Atomic Data (Pro)'!D444</f>
        <v>care-instructions-handoff</v>
      </c>
      <c r="M444" s="1" t="str">
        <f aca="false">'Raw Atomic Data (Pro)'!E444</f>
        <v>need</v>
      </c>
      <c r="N444" s="1" t="n">
        <f aca="false">IF(OR(M444="friction",M444="need",M444="workaround"),1,0)</f>
        <v>1</v>
      </c>
      <c r="O444" s="1" t="n">
        <f aca="false">IF(COUNTIFS($K$2:K444,K444,$L$2:L444,L444,$M$2:M444,M444,$J$2:J444,J444)=1,1,0)</f>
        <v>1</v>
      </c>
      <c r="P444" s="1" t="n">
        <f aca="false">IF(AND(N444=1,S444=1,COUNTIFS($L$2:L444,L444,$J$2:J444,J444,$N$2:N444,1,$S$2:S444,1)=1),1,0)</f>
        <v>1</v>
      </c>
      <c r="Q444" s="1" t="n">
        <f aca="false">IF(AND(N444=1,S444=1,COUNTIFS($L$2:L444,L444,$K$2:K444,K444,$N$2:N444,1,$S$2:S444,1)=1),1,0)</f>
        <v>0</v>
      </c>
      <c r="R444" s="1" t="n">
        <f aca="false">IF(AND(N444=1,COUNTIFS($K$2:K444,K444,$L$2:L444,L444,$J$2:J444,J444,$N$2:N444,1)=1),1,0)</f>
        <v>1</v>
      </c>
      <c r="S444" s="1" t="n">
        <f aca="false">IF(AND(K444&lt;&gt;"Context and provider model",K444&lt;&gt;"Motivation"),1,0)</f>
        <v>1</v>
      </c>
    </row>
    <row r="445" customFormat="false" ht="15" hidden="false" customHeight="true" outlineLevel="0" collapsed="false">
      <c r="J445" s="1" t="str">
        <f aca="false">'Raw Atomic Data (Pro)'!A445</f>
        <v>Becky</v>
      </c>
      <c r="K445" s="1" t="str">
        <f aca="false">'Raw Atomic Data (Pro)'!C445</f>
        <v>Sitting preparation</v>
      </c>
      <c r="L445" s="1" t="str">
        <f aca="false">'Raw Atomic Data (Pro)'!D445</f>
        <v>care-instructions-handoff</v>
      </c>
      <c r="M445" s="1" t="str">
        <f aca="false">'Raw Atomic Data (Pro)'!E445</f>
        <v>fact</v>
      </c>
      <c r="N445" s="1" t="n">
        <f aca="false">IF(OR(M445="friction",M445="need",M445="workaround"),1,0)</f>
        <v>0</v>
      </c>
      <c r="O445" s="1" t="n">
        <f aca="false">IF(COUNTIFS($K$2:K445,K445,$L$2:L445,L445,$M$2:M445,M445,$J$2:J445,J445)=1,1,0)</f>
        <v>1</v>
      </c>
      <c r="P445" s="1" t="n">
        <f aca="false">IF(AND(N445=1,S445=1,COUNTIFS($L$2:L445,L445,$J$2:J445,J445,$N$2:N445,1,$S$2:S445,1)=1),1,0)</f>
        <v>0</v>
      </c>
      <c r="Q445" s="1" t="n">
        <f aca="false">IF(AND(N445=1,S445=1,COUNTIFS($L$2:L445,L445,$K$2:K445,K445,$N$2:N445,1,$S$2:S445,1)=1),1,0)</f>
        <v>0</v>
      </c>
      <c r="R445" s="1" t="n">
        <f aca="false">IF(AND(N445=1,COUNTIFS($K$2:K445,K445,$L$2:L445,L445,$J$2:J445,J445,$N$2:N445,1)=1),1,0)</f>
        <v>0</v>
      </c>
      <c r="S445" s="1" t="n">
        <f aca="false">IF(AND(K445&lt;&gt;"Context and provider model",K445&lt;&gt;"Motivation"),1,0)</f>
        <v>1</v>
      </c>
    </row>
    <row r="446" customFormat="false" ht="15" hidden="false" customHeight="true" outlineLevel="0" collapsed="false">
      <c r="J446" s="1" t="str">
        <f aca="false">'Raw Atomic Data (Pro)'!A446</f>
        <v>Becky</v>
      </c>
      <c r="K446" s="1" t="str">
        <f aca="false">'Raw Atomic Data (Pro)'!C446</f>
        <v>Sitting preparation</v>
      </c>
      <c r="L446" s="1" t="str">
        <f aca="false">'Raw Atomic Data (Pro)'!D446</f>
        <v>care-instructions-handoff</v>
      </c>
      <c r="M446" s="1" t="str">
        <f aca="false">'Raw Atomic Data (Pro)'!E446</f>
        <v>fact</v>
      </c>
      <c r="N446" s="1" t="n">
        <f aca="false">IF(OR(M446="friction",M446="need",M446="workaround"),1,0)</f>
        <v>0</v>
      </c>
      <c r="O446" s="1" t="n">
        <f aca="false">IF(COUNTIFS($K$2:K446,K446,$L$2:L446,L446,$M$2:M446,M446,$J$2:J446,J446)=1,1,0)</f>
        <v>0</v>
      </c>
      <c r="P446" s="1" t="n">
        <f aca="false">IF(AND(N446=1,S446=1,COUNTIFS($L$2:L446,L446,$J$2:J446,J446,$N$2:N446,1,$S$2:S446,1)=1),1,0)</f>
        <v>0</v>
      </c>
      <c r="Q446" s="1" t="n">
        <f aca="false">IF(AND(N446=1,S446=1,COUNTIFS($L$2:L446,L446,$K$2:K446,K446,$N$2:N446,1,$S$2:S446,1)=1),1,0)</f>
        <v>0</v>
      </c>
      <c r="R446" s="1" t="n">
        <f aca="false">IF(AND(N446=1,COUNTIFS($K$2:K446,K446,$L$2:L446,L446,$J$2:J446,J446,$N$2:N446,1)=1),1,0)</f>
        <v>0</v>
      </c>
      <c r="S446" s="1" t="n">
        <f aca="false">IF(AND(K446&lt;&gt;"Context and provider model",K446&lt;&gt;"Motivation"),1,0)</f>
        <v>1</v>
      </c>
    </row>
    <row r="447" customFormat="false" ht="15" hidden="false" customHeight="true" outlineLevel="0" collapsed="false">
      <c r="J447" s="1" t="str">
        <f aca="false">'Raw Atomic Data (Pro)'!A447</f>
        <v>Becky</v>
      </c>
      <c r="K447" s="1" t="str">
        <f aca="false">'Raw Atomic Data (Pro)'!C447</f>
        <v>Sitting preparation</v>
      </c>
      <c r="L447" s="1" t="str">
        <f aca="false">'Raw Atomic Data (Pro)'!D447</f>
        <v>care-instructions-handoff</v>
      </c>
      <c r="M447" s="1" t="str">
        <f aca="false">'Raw Atomic Data (Pro)'!E447</f>
        <v>fact</v>
      </c>
      <c r="N447" s="1" t="n">
        <f aca="false">IF(OR(M447="friction",M447="need",M447="workaround"),1,0)</f>
        <v>0</v>
      </c>
      <c r="O447" s="1" t="n">
        <f aca="false">IF(COUNTIFS($K$2:K447,K447,$L$2:L447,L447,$M$2:M447,M447,$J$2:J447,J447)=1,1,0)</f>
        <v>0</v>
      </c>
      <c r="P447" s="1" t="n">
        <f aca="false">IF(AND(N447=1,S447=1,COUNTIFS($L$2:L447,L447,$J$2:J447,J447,$N$2:N447,1,$S$2:S447,1)=1),1,0)</f>
        <v>0</v>
      </c>
      <c r="Q447" s="1" t="n">
        <f aca="false">IF(AND(N447=1,S447=1,COUNTIFS($L$2:L447,L447,$K$2:K447,K447,$N$2:N447,1,$S$2:S447,1)=1),1,0)</f>
        <v>0</v>
      </c>
      <c r="R447" s="1" t="n">
        <f aca="false">IF(AND(N447=1,COUNTIFS($K$2:K447,K447,$L$2:L447,L447,$J$2:J447,J447,$N$2:N447,1)=1),1,0)</f>
        <v>0</v>
      </c>
      <c r="S447" s="1" t="n">
        <f aca="false">IF(AND(K447&lt;&gt;"Context and provider model",K447&lt;&gt;"Motivation"),1,0)</f>
        <v>1</v>
      </c>
    </row>
    <row r="448" customFormat="false" ht="15" hidden="false" customHeight="true" outlineLevel="0" collapsed="false">
      <c r="J448" s="1" t="str">
        <f aca="false">'Raw Atomic Data (Pro)'!A448</f>
        <v>Becky</v>
      </c>
      <c r="K448" s="1" t="str">
        <f aca="false">'Raw Atomic Data (Pro)'!C448</f>
        <v>Sitting preparation</v>
      </c>
      <c r="L448" s="1" t="str">
        <f aca="false">'Raw Atomic Data (Pro)'!D448</f>
        <v>care-instructions-handoff</v>
      </c>
      <c r="M448" s="1" t="str">
        <f aca="false">'Raw Atomic Data (Pro)'!E448</f>
        <v>fact</v>
      </c>
      <c r="N448" s="1" t="n">
        <f aca="false">IF(OR(M448="friction",M448="need",M448="workaround"),1,0)</f>
        <v>0</v>
      </c>
      <c r="O448" s="1" t="n">
        <f aca="false">IF(COUNTIFS($K$2:K448,K448,$L$2:L448,L448,$M$2:M448,M448,$J$2:J448,J448)=1,1,0)</f>
        <v>0</v>
      </c>
      <c r="P448" s="1" t="n">
        <f aca="false">IF(AND(N448=1,S448=1,COUNTIFS($L$2:L448,L448,$J$2:J448,J448,$N$2:N448,1,$S$2:S448,1)=1),1,0)</f>
        <v>0</v>
      </c>
      <c r="Q448" s="1" t="n">
        <f aca="false">IF(AND(N448=1,S448=1,COUNTIFS($L$2:L448,L448,$K$2:K448,K448,$N$2:N448,1,$S$2:S448,1)=1),1,0)</f>
        <v>0</v>
      </c>
      <c r="R448" s="1" t="n">
        <f aca="false">IF(AND(N448=1,COUNTIFS($K$2:K448,K448,$L$2:L448,L448,$J$2:J448,J448,$N$2:N448,1)=1),1,0)</f>
        <v>0</v>
      </c>
      <c r="S448" s="1" t="n">
        <f aca="false">IF(AND(K448&lt;&gt;"Context and provider model",K448&lt;&gt;"Motivation"),1,0)</f>
        <v>1</v>
      </c>
    </row>
    <row r="449" customFormat="false" ht="15" hidden="false" customHeight="true" outlineLevel="0" collapsed="false">
      <c r="J449" s="1" t="str">
        <f aca="false">'Raw Atomic Data (Pro)'!A449</f>
        <v>Becky</v>
      </c>
      <c r="K449" s="1" t="str">
        <f aca="false">'Raw Atomic Data (Pro)'!C449</f>
        <v>Sitting preparation</v>
      </c>
      <c r="L449" s="1" t="str">
        <f aca="false">'Raw Atomic Data (Pro)'!D449</f>
        <v>profile-information-completeness</v>
      </c>
      <c r="M449" s="1" t="str">
        <f aca="false">'Raw Atomic Data (Pro)'!E449</f>
        <v>fact</v>
      </c>
      <c r="N449" s="1" t="n">
        <f aca="false">IF(OR(M449="friction",M449="need",M449="workaround"),1,0)</f>
        <v>0</v>
      </c>
      <c r="O449" s="1" t="n">
        <f aca="false">IF(COUNTIFS($K$2:K449,K449,$L$2:L449,L449,$M$2:M449,M449,$J$2:J449,J449)=1,1,0)</f>
        <v>1</v>
      </c>
      <c r="P449" s="1" t="n">
        <f aca="false">IF(AND(N449=1,S449=1,COUNTIFS($L$2:L449,L449,$J$2:J449,J449,$N$2:N449,1,$S$2:S449,1)=1),1,0)</f>
        <v>0</v>
      </c>
      <c r="Q449" s="1" t="n">
        <f aca="false">IF(AND(N449=1,S449=1,COUNTIFS($L$2:L449,L449,$K$2:K449,K449,$N$2:N449,1,$S$2:S449,1)=1),1,0)</f>
        <v>0</v>
      </c>
      <c r="R449" s="1" t="n">
        <f aca="false">IF(AND(N449=1,COUNTIFS($K$2:K449,K449,$L$2:L449,L449,$J$2:J449,J449,$N$2:N449,1)=1),1,0)</f>
        <v>0</v>
      </c>
      <c r="S449" s="1" t="n">
        <f aca="false">IF(AND(K449&lt;&gt;"Context and provider model",K449&lt;&gt;"Motivation"),1,0)</f>
        <v>1</v>
      </c>
    </row>
    <row r="450" customFormat="false" ht="15" hidden="false" customHeight="true" outlineLevel="0" collapsed="false">
      <c r="J450" s="1" t="str">
        <f aca="false">'Raw Atomic Data (Pro)'!A450</f>
        <v>Becky</v>
      </c>
      <c r="K450" s="1" t="str">
        <f aca="false">'Raw Atomic Data (Pro)'!C450</f>
        <v>Sitting preparation</v>
      </c>
      <c r="L450" s="1" t="str">
        <f aca="false">'Raw Atomic Data (Pro)'!D450</f>
        <v>care-instructions-handoff</v>
      </c>
      <c r="M450" s="1" t="str">
        <f aca="false">'Raw Atomic Data (Pro)'!E450</f>
        <v>value-statement</v>
      </c>
      <c r="N450" s="1" t="n">
        <f aca="false">IF(OR(M450="friction",M450="need",M450="workaround"),1,0)</f>
        <v>0</v>
      </c>
      <c r="O450" s="1" t="n">
        <f aca="false">IF(COUNTIFS($K$2:K450,K450,$L$2:L450,L450,$M$2:M450,M450,$J$2:J450,J450)=1,1,0)</f>
        <v>1</v>
      </c>
      <c r="P450" s="1" t="n">
        <f aca="false">IF(AND(N450=1,S450=1,COUNTIFS($L$2:L450,L450,$J$2:J450,J450,$N$2:N450,1,$S$2:S450,1)=1),1,0)</f>
        <v>0</v>
      </c>
      <c r="Q450" s="1" t="n">
        <f aca="false">IF(AND(N450=1,S450=1,COUNTIFS($L$2:L450,L450,$K$2:K450,K450,$N$2:N450,1,$S$2:S450,1)=1),1,0)</f>
        <v>0</v>
      </c>
      <c r="R450" s="1" t="n">
        <f aca="false">IF(AND(N450=1,COUNTIFS($K$2:K450,K450,$L$2:L450,L450,$J$2:J450,J450,$N$2:N450,1)=1),1,0)</f>
        <v>0</v>
      </c>
      <c r="S450" s="1" t="n">
        <f aca="false">IF(AND(K450&lt;&gt;"Context and provider model",K450&lt;&gt;"Motivation"),1,0)</f>
        <v>1</v>
      </c>
    </row>
    <row r="451" customFormat="false" ht="15" hidden="false" customHeight="true" outlineLevel="0" collapsed="false">
      <c r="J451" s="1" t="str">
        <f aca="false">'Raw Atomic Data (Pro)'!A451</f>
        <v>Becky</v>
      </c>
      <c r="K451" s="1" t="str">
        <f aca="false">'Raw Atomic Data (Pro)'!C451</f>
        <v>Sitting preparation</v>
      </c>
      <c r="L451" s="1" t="str">
        <f aca="false">'Raw Atomic Data (Pro)'!D451</f>
        <v>daily-care-tasks</v>
      </c>
      <c r="M451" s="1" t="str">
        <f aca="false">'Raw Atomic Data (Pro)'!E451</f>
        <v>fact</v>
      </c>
      <c r="N451" s="1" t="n">
        <f aca="false">IF(OR(M451="friction",M451="need",M451="workaround"),1,0)</f>
        <v>0</v>
      </c>
      <c r="O451" s="1" t="n">
        <f aca="false">IF(COUNTIFS($K$2:K451,K451,$L$2:L451,L451,$M$2:M451,M451,$J$2:J451,J451)=1,1,0)</f>
        <v>1</v>
      </c>
      <c r="P451" s="1" t="n">
        <f aca="false">IF(AND(N451=1,S451=1,COUNTIFS($L$2:L451,L451,$J$2:J451,J451,$N$2:N451,1,$S$2:S451,1)=1),1,0)</f>
        <v>0</v>
      </c>
      <c r="Q451" s="1" t="n">
        <f aca="false">IF(AND(N451=1,S451=1,COUNTIFS($L$2:L451,L451,$K$2:K451,K451,$N$2:N451,1,$S$2:S451,1)=1),1,0)</f>
        <v>0</v>
      </c>
      <c r="R451" s="1" t="n">
        <f aca="false">IF(AND(N451=1,COUNTIFS($K$2:K451,K451,$L$2:L451,L451,$J$2:J451,J451,$N$2:N451,1)=1),1,0)</f>
        <v>0</v>
      </c>
      <c r="S451" s="1" t="n">
        <f aca="false">IF(AND(K451&lt;&gt;"Context and provider model",K451&lt;&gt;"Motivation"),1,0)</f>
        <v>1</v>
      </c>
    </row>
    <row r="452" customFormat="false" ht="15" hidden="false" customHeight="true" outlineLevel="0" collapsed="false">
      <c r="J452" s="1" t="str">
        <f aca="false">'Raw Atomic Data (Pro)'!A452</f>
        <v>Becky</v>
      </c>
      <c r="K452" s="1" t="str">
        <f aca="false">'Raw Atomic Data (Pro)'!C452</f>
        <v>Sitting preparation</v>
      </c>
      <c r="L452" s="1" t="str">
        <f aca="false">'Raw Atomic Data (Pro)'!D452</f>
        <v>daily-care-tasks</v>
      </c>
      <c r="M452" s="1" t="str">
        <f aca="false">'Raw Atomic Data (Pro)'!E452</f>
        <v>fact</v>
      </c>
      <c r="N452" s="1" t="n">
        <f aca="false">IF(OR(M452="friction",M452="need",M452="workaround"),1,0)</f>
        <v>0</v>
      </c>
      <c r="O452" s="1" t="n">
        <f aca="false">IF(COUNTIFS($K$2:K452,K452,$L$2:L452,L452,$M$2:M452,M452,$J$2:J452,J452)=1,1,0)</f>
        <v>0</v>
      </c>
      <c r="P452" s="1" t="n">
        <f aca="false">IF(AND(N452=1,S452=1,COUNTIFS($L$2:L452,L452,$J$2:J452,J452,$N$2:N452,1,$S$2:S452,1)=1),1,0)</f>
        <v>0</v>
      </c>
      <c r="Q452" s="1" t="n">
        <f aca="false">IF(AND(N452=1,S452=1,COUNTIFS($L$2:L452,L452,$K$2:K452,K452,$N$2:N452,1,$S$2:S452,1)=1),1,0)</f>
        <v>0</v>
      </c>
      <c r="R452" s="1" t="n">
        <f aca="false">IF(AND(N452=1,COUNTIFS($K$2:K452,K452,$L$2:L452,L452,$J$2:J452,J452,$N$2:N452,1)=1),1,0)</f>
        <v>0</v>
      </c>
      <c r="S452" s="1" t="n">
        <f aca="false">IF(AND(K452&lt;&gt;"Context and provider model",K452&lt;&gt;"Motivation"),1,0)</f>
        <v>1</v>
      </c>
    </row>
    <row r="453" customFormat="false" ht="15" hidden="false" customHeight="true" outlineLevel="0" collapsed="false">
      <c r="J453" s="1" t="str">
        <f aca="false">'Raw Atomic Data (Pro)'!A453</f>
        <v>Bruna</v>
      </c>
      <c r="K453" s="1" t="str">
        <f aca="false">'Raw Atomic Data (Pro)'!C453</f>
        <v>Sitting preparation</v>
      </c>
      <c r="L453" s="1" t="str">
        <f aca="false">'Raw Atomic Data (Pro)'!D453</f>
        <v>care-instructions-handoff</v>
      </c>
      <c r="M453" s="1" t="str">
        <f aca="false">'Raw Atomic Data (Pro)'!E453</f>
        <v>fact</v>
      </c>
      <c r="N453" s="1" t="n">
        <f aca="false">IF(OR(M453="friction",M453="need",M453="workaround"),1,0)</f>
        <v>0</v>
      </c>
      <c r="O453" s="1" t="n">
        <f aca="false">IF(COUNTIFS($K$2:K453,K453,$L$2:L453,L453,$M$2:M453,M453,$J$2:J453,J453)=1,1,0)</f>
        <v>1</v>
      </c>
      <c r="P453" s="1" t="n">
        <f aca="false">IF(AND(N453=1,S453=1,COUNTIFS($L$2:L453,L453,$J$2:J453,J453,$N$2:N453,1,$S$2:S453,1)=1),1,0)</f>
        <v>0</v>
      </c>
      <c r="Q453" s="1" t="n">
        <f aca="false">IF(AND(N453=1,S453=1,COUNTIFS($L$2:L453,L453,$K$2:K453,K453,$N$2:N453,1,$S$2:S453,1)=1),1,0)</f>
        <v>0</v>
      </c>
      <c r="R453" s="1" t="n">
        <f aca="false">IF(AND(N453=1,COUNTIFS($K$2:K453,K453,$L$2:L453,L453,$J$2:J453,J453,$N$2:N453,1)=1),1,0)</f>
        <v>0</v>
      </c>
      <c r="S453" s="1" t="n">
        <f aca="false">IF(AND(K453&lt;&gt;"Context and provider model",K453&lt;&gt;"Motivation"),1,0)</f>
        <v>1</v>
      </c>
    </row>
    <row r="454" customFormat="false" ht="15" hidden="false" customHeight="true" outlineLevel="0" collapsed="false">
      <c r="J454" s="1" t="str">
        <f aca="false">'Raw Atomic Data (Pro)'!A454</f>
        <v>Bruna</v>
      </c>
      <c r="K454" s="1" t="str">
        <f aca="false">'Raw Atomic Data (Pro)'!C454</f>
        <v>Sitting preparation</v>
      </c>
      <c r="L454" s="1" t="str">
        <f aca="false">'Raw Atomic Data (Pro)'!D454</f>
        <v>care-instructions-handoff</v>
      </c>
      <c r="M454" s="1" t="str">
        <f aca="false">'Raw Atomic Data (Pro)'!E454</f>
        <v>fact</v>
      </c>
      <c r="N454" s="1" t="n">
        <f aca="false">IF(OR(M454="friction",M454="need",M454="workaround"),1,0)</f>
        <v>0</v>
      </c>
      <c r="O454" s="1" t="n">
        <f aca="false">IF(COUNTIFS($K$2:K454,K454,$L$2:L454,L454,$M$2:M454,M454,$J$2:J454,J454)=1,1,0)</f>
        <v>0</v>
      </c>
      <c r="P454" s="1" t="n">
        <f aca="false">IF(AND(N454=1,S454=1,COUNTIFS($L$2:L454,L454,$J$2:J454,J454,$N$2:N454,1,$S$2:S454,1)=1),1,0)</f>
        <v>0</v>
      </c>
      <c r="Q454" s="1" t="n">
        <f aca="false">IF(AND(N454=1,S454=1,COUNTIFS($L$2:L454,L454,$K$2:K454,K454,$N$2:N454,1,$S$2:S454,1)=1),1,0)</f>
        <v>0</v>
      </c>
      <c r="R454" s="1" t="n">
        <f aca="false">IF(AND(N454=1,COUNTIFS($K$2:K454,K454,$L$2:L454,L454,$J$2:J454,J454,$N$2:N454,1)=1),1,0)</f>
        <v>0</v>
      </c>
      <c r="S454" s="1" t="n">
        <f aca="false">IF(AND(K454&lt;&gt;"Context and provider model",K454&lt;&gt;"Motivation"),1,0)</f>
        <v>1</v>
      </c>
    </row>
    <row r="455" customFormat="false" ht="15" hidden="false" customHeight="true" outlineLevel="0" collapsed="false">
      <c r="J455" s="1" t="str">
        <f aca="false">'Raw Atomic Data (Pro)'!A455</f>
        <v>Bruna</v>
      </c>
      <c r="K455" s="1" t="str">
        <f aca="false">'Raw Atomic Data (Pro)'!C455</f>
        <v>Sitting preparation</v>
      </c>
      <c r="L455" s="1" t="str">
        <f aca="false">'Raw Atomic Data (Pro)'!D455</f>
        <v>care-instructions-handoff</v>
      </c>
      <c r="M455" s="1" t="str">
        <f aca="false">'Raw Atomic Data (Pro)'!E455</f>
        <v>fact</v>
      </c>
      <c r="N455" s="1" t="n">
        <f aca="false">IF(OR(M455="friction",M455="need",M455="workaround"),1,0)</f>
        <v>0</v>
      </c>
      <c r="O455" s="1" t="n">
        <f aca="false">IF(COUNTIFS($K$2:K455,K455,$L$2:L455,L455,$M$2:M455,M455,$J$2:J455,J455)=1,1,0)</f>
        <v>0</v>
      </c>
      <c r="P455" s="1" t="n">
        <f aca="false">IF(AND(N455=1,S455=1,COUNTIFS($L$2:L455,L455,$J$2:J455,J455,$N$2:N455,1,$S$2:S455,1)=1),1,0)</f>
        <v>0</v>
      </c>
      <c r="Q455" s="1" t="n">
        <f aca="false">IF(AND(N455=1,S455=1,COUNTIFS($L$2:L455,L455,$K$2:K455,K455,$N$2:N455,1,$S$2:S455,1)=1),1,0)</f>
        <v>0</v>
      </c>
      <c r="R455" s="1" t="n">
        <f aca="false">IF(AND(N455=1,COUNTIFS($K$2:K455,K455,$L$2:L455,L455,$J$2:J455,J455,$N$2:N455,1)=1),1,0)</f>
        <v>0</v>
      </c>
      <c r="S455" s="1" t="n">
        <f aca="false">IF(AND(K455&lt;&gt;"Context and provider model",K455&lt;&gt;"Motivation"),1,0)</f>
        <v>1</v>
      </c>
    </row>
    <row r="456" customFormat="false" ht="15" hidden="false" customHeight="true" outlineLevel="0" collapsed="false">
      <c r="J456" s="1" t="str">
        <f aca="false">'Raw Atomic Data (Pro)'!A456</f>
        <v>Bruna</v>
      </c>
      <c r="K456" s="1" t="str">
        <f aca="false">'Raw Atomic Data (Pro)'!C456</f>
        <v>Sitting preparation</v>
      </c>
      <c r="L456" s="1" t="str">
        <f aca="false">'Raw Atomic Data (Pro)'!D456</f>
        <v>care-instructions-handoff</v>
      </c>
      <c r="M456" s="1" t="str">
        <f aca="false">'Raw Atomic Data (Pro)'!E456</f>
        <v>workaround</v>
      </c>
      <c r="N456" s="1" t="n">
        <f aca="false">IF(OR(M456="friction",M456="need",M456="workaround"),1,0)</f>
        <v>1</v>
      </c>
      <c r="O456" s="1" t="n">
        <f aca="false">IF(COUNTIFS($K$2:K456,K456,$L$2:L456,L456,$M$2:M456,M456,$J$2:J456,J456)=1,1,0)</f>
        <v>1</v>
      </c>
      <c r="P456" s="1" t="n">
        <f aca="false">IF(AND(N456=1,S456=1,COUNTIFS($L$2:L456,L456,$J$2:J456,J456,$N$2:N456,1,$S$2:S456,1)=1),1,0)</f>
        <v>1</v>
      </c>
      <c r="Q456" s="1" t="n">
        <f aca="false">IF(AND(N456=1,S456=1,COUNTIFS($L$2:L456,L456,$K$2:K456,K456,$N$2:N456,1,$S$2:S456,1)=1),1,0)</f>
        <v>0</v>
      </c>
      <c r="R456" s="1" t="n">
        <f aca="false">IF(AND(N456=1,COUNTIFS($K$2:K456,K456,$L$2:L456,L456,$J$2:J456,J456,$N$2:N456,1)=1),1,0)</f>
        <v>1</v>
      </c>
      <c r="S456" s="1" t="n">
        <f aca="false">IF(AND(K456&lt;&gt;"Context and provider model",K456&lt;&gt;"Motivation"),1,0)</f>
        <v>1</v>
      </c>
    </row>
    <row r="457" customFormat="false" ht="15" hidden="false" customHeight="true" outlineLevel="0" collapsed="false">
      <c r="J457" s="1" t="str">
        <f aca="false">'Raw Atomic Data (Pro)'!A457</f>
        <v>Bruna</v>
      </c>
      <c r="K457" s="1" t="str">
        <f aca="false">'Raw Atomic Data (Pro)'!C457</f>
        <v>Sitting preparation</v>
      </c>
      <c r="L457" s="1" t="str">
        <f aca="false">'Raw Atomic Data (Pro)'!D457</f>
        <v>care-instructions-handoff</v>
      </c>
      <c r="M457" s="1" t="str">
        <f aca="false">'Raw Atomic Data (Pro)'!E457</f>
        <v>value-statement</v>
      </c>
      <c r="N457" s="1" t="n">
        <f aca="false">IF(OR(M457="friction",M457="need",M457="workaround"),1,0)</f>
        <v>0</v>
      </c>
      <c r="O457" s="1" t="n">
        <f aca="false">IF(COUNTIFS($K$2:K457,K457,$L$2:L457,L457,$M$2:M457,M457,$J$2:J457,J457)=1,1,0)</f>
        <v>1</v>
      </c>
      <c r="P457" s="1" t="n">
        <f aca="false">IF(AND(N457=1,S457=1,COUNTIFS($L$2:L457,L457,$J$2:J457,J457,$N$2:N457,1,$S$2:S457,1)=1),1,0)</f>
        <v>0</v>
      </c>
      <c r="Q457" s="1" t="n">
        <f aca="false">IF(AND(N457=1,S457=1,COUNTIFS($L$2:L457,L457,$K$2:K457,K457,$N$2:N457,1,$S$2:S457,1)=1),1,0)</f>
        <v>0</v>
      </c>
      <c r="R457" s="1" t="n">
        <f aca="false">IF(AND(N457=1,COUNTIFS($K$2:K457,K457,$L$2:L457,L457,$J$2:J457,J457,$N$2:N457,1)=1),1,0)</f>
        <v>0</v>
      </c>
      <c r="S457" s="1" t="n">
        <f aca="false">IF(AND(K457&lt;&gt;"Context and provider model",K457&lt;&gt;"Motivation"),1,0)</f>
        <v>1</v>
      </c>
    </row>
    <row r="458" customFormat="false" ht="15" hidden="false" customHeight="true" outlineLevel="0" collapsed="false">
      <c r="J458" s="1" t="str">
        <f aca="false">'Raw Atomic Data (Pro)'!A458</f>
        <v>Colin</v>
      </c>
      <c r="K458" s="1" t="str">
        <f aca="false">'Raw Atomic Data (Pro)'!C458</f>
        <v>Sitting preparation</v>
      </c>
      <c r="L458" s="1" t="str">
        <f aca="false">'Raw Atomic Data (Pro)'!D458</f>
        <v>care-instructions-handoff</v>
      </c>
      <c r="M458" s="1" t="str">
        <f aca="false">'Raw Atomic Data (Pro)'!E458</f>
        <v>fact</v>
      </c>
      <c r="N458" s="1" t="n">
        <f aca="false">IF(OR(M458="friction",M458="need",M458="workaround"),1,0)</f>
        <v>0</v>
      </c>
      <c r="O458" s="1" t="n">
        <f aca="false">IF(COUNTIFS($K$2:K458,K458,$L$2:L458,L458,$M$2:M458,M458,$J$2:J458,J458)=1,1,0)</f>
        <v>1</v>
      </c>
      <c r="P458" s="1" t="n">
        <f aca="false">IF(AND(N458=1,S458=1,COUNTIFS($L$2:L458,L458,$J$2:J458,J458,$N$2:N458,1,$S$2:S458,1)=1),1,0)</f>
        <v>0</v>
      </c>
      <c r="Q458" s="1" t="n">
        <f aca="false">IF(AND(N458=1,S458=1,COUNTIFS($L$2:L458,L458,$K$2:K458,K458,$N$2:N458,1,$S$2:S458,1)=1),1,0)</f>
        <v>0</v>
      </c>
      <c r="R458" s="1" t="n">
        <f aca="false">IF(AND(N458=1,COUNTIFS($K$2:K458,K458,$L$2:L458,L458,$J$2:J458,J458,$N$2:N458,1)=1),1,0)</f>
        <v>0</v>
      </c>
      <c r="S458" s="1" t="n">
        <f aca="false">IF(AND(K458&lt;&gt;"Context and provider model",K458&lt;&gt;"Motivation"),1,0)</f>
        <v>1</v>
      </c>
    </row>
    <row r="459" customFormat="false" ht="15" hidden="false" customHeight="true" outlineLevel="0" collapsed="false">
      <c r="J459" s="1" t="str">
        <f aca="false">'Raw Atomic Data (Pro)'!A459</f>
        <v>Colin</v>
      </c>
      <c r="K459" s="1" t="str">
        <f aca="false">'Raw Atomic Data (Pro)'!C459</f>
        <v>Sitting preparation</v>
      </c>
      <c r="L459" s="1" t="str">
        <f aca="false">'Raw Atomic Data (Pro)'!D459</f>
        <v>care-instructions-handoff</v>
      </c>
      <c r="M459" s="1" t="str">
        <f aca="false">'Raw Atomic Data (Pro)'!E459</f>
        <v>fact</v>
      </c>
      <c r="N459" s="1" t="n">
        <f aca="false">IF(OR(M459="friction",M459="need",M459="workaround"),1,0)</f>
        <v>0</v>
      </c>
      <c r="O459" s="1" t="n">
        <f aca="false">IF(COUNTIFS($K$2:K459,K459,$L$2:L459,L459,$M$2:M459,M459,$J$2:J459,J459)=1,1,0)</f>
        <v>0</v>
      </c>
      <c r="P459" s="1" t="n">
        <f aca="false">IF(AND(N459=1,S459=1,COUNTIFS($L$2:L459,L459,$J$2:J459,J459,$N$2:N459,1,$S$2:S459,1)=1),1,0)</f>
        <v>0</v>
      </c>
      <c r="Q459" s="1" t="n">
        <f aca="false">IF(AND(N459=1,S459=1,COUNTIFS($L$2:L459,L459,$K$2:K459,K459,$N$2:N459,1,$S$2:S459,1)=1),1,0)</f>
        <v>0</v>
      </c>
      <c r="R459" s="1" t="n">
        <f aca="false">IF(AND(N459=1,COUNTIFS($K$2:K459,K459,$L$2:L459,L459,$J$2:J459,J459,$N$2:N459,1)=1),1,0)</f>
        <v>0</v>
      </c>
      <c r="S459" s="1" t="n">
        <f aca="false">IF(AND(K459&lt;&gt;"Context and provider model",K459&lt;&gt;"Motivation"),1,0)</f>
        <v>1</v>
      </c>
    </row>
    <row r="460" customFormat="false" ht="15" hidden="false" customHeight="true" outlineLevel="0" collapsed="false">
      <c r="J460" s="1" t="str">
        <f aca="false">'Raw Atomic Data (Pro)'!A460</f>
        <v>Dawn</v>
      </c>
      <c r="K460" s="1" t="str">
        <f aca="false">'Raw Atomic Data (Pro)'!C460</f>
        <v>Sitting preparation</v>
      </c>
      <c r="L460" s="1" t="str">
        <f aca="false">'Raw Atomic Data (Pro)'!D460</f>
        <v>care-instructions-handoff</v>
      </c>
      <c r="M460" s="1" t="str">
        <f aca="false">'Raw Atomic Data (Pro)'!E460</f>
        <v>fact</v>
      </c>
      <c r="N460" s="1" t="n">
        <f aca="false">IF(OR(M460="friction",M460="need",M460="workaround"),1,0)</f>
        <v>0</v>
      </c>
      <c r="O460" s="1" t="n">
        <f aca="false">IF(COUNTIFS($K$2:K460,K460,$L$2:L460,L460,$M$2:M460,M460,$J$2:J460,J460)=1,1,0)</f>
        <v>1</v>
      </c>
      <c r="P460" s="1" t="n">
        <f aca="false">IF(AND(N460=1,S460=1,COUNTIFS($L$2:L460,L460,$J$2:J460,J460,$N$2:N460,1,$S$2:S460,1)=1),1,0)</f>
        <v>0</v>
      </c>
      <c r="Q460" s="1" t="n">
        <f aca="false">IF(AND(N460=1,S460=1,COUNTIFS($L$2:L460,L460,$K$2:K460,K460,$N$2:N460,1,$S$2:S460,1)=1),1,0)</f>
        <v>0</v>
      </c>
      <c r="R460" s="1" t="n">
        <f aca="false">IF(AND(N460=1,COUNTIFS($K$2:K460,K460,$L$2:L460,L460,$J$2:J460,J460,$N$2:N460,1)=1),1,0)</f>
        <v>0</v>
      </c>
      <c r="S460" s="1" t="n">
        <f aca="false">IF(AND(K460&lt;&gt;"Context and provider model",K460&lt;&gt;"Motivation"),1,0)</f>
        <v>1</v>
      </c>
    </row>
    <row r="461" customFormat="false" ht="15" hidden="false" customHeight="true" outlineLevel="0" collapsed="false">
      <c r="J461" s="1" t="str">
        <f aca="false">'Raw Atomic Data (Pro)'!A461</f>
        <v>Erika</v>
      </c>
      <c r="K461" s="1" t="str">
        <f aca="false">'Raw Atomic Data (Pro)'!C461</f>
        <v>Sitting preparation</v>
      </c>
      <c r="L461" s="1" t="str">
        <f aca="false">'Raw Atomic Data (Pro)'!D461</f>
        <v>care-instructions-handoff</v>
      </c>
      <c r="M461" s="1" t="str">
        <f aca="false">'Raw Atomic Data (Pro)'!E461</f>
        <v>fact</v>
      </c>
      <c r="N461" s="1" t="n">
        <f aca="false">IF(OR(M461="friction",M461="need",M461="workaround"),1,0)</f>
        <v>0</v>
      </c>
      <c r="O461" s="1" t="n">
        <f aca="false">IF(COUNTIFS($K$2:K461,K461,$L$2:L461,L461,$M$2:M461,M461,$J$2:J461,J461)=1,1,0)</f>
        <v>1</v>
      </c>
      <c r="P461" s="1" t="n">
        <f aca="false">IF(AND(N461=1,S461=1,COUNTIFS($L$2:L461,L461,$J$2:J461,J461,$N$2:N461,1,$S$2:S461,1)=1),1,0)</f>
        <v>0</v>
      </c>
      <c r="Q461" s="1" t="n">
        <f aca="false">IF(AND(N461=1,S461=1,COUNTIFS($L$2:L461,L461,$K$2:K461,K461,$N$2:N461,1,$S$2:S461,1)=1),1,0)</f>
        <v>0</v>
      </c>
      <c r="R461" s="1" t="n">
        <f aca="false">IF(AND(N461=1,COUNTIFS($K$2:K461,K461,$L$2:L461,L461,$J$2:J461,J461,$N$2:N461,1)=1),1,0)</f>
        <v>0</v>
      </c>
      <c r="S461" s="1" t="n">
        <f aca="false">IF(AND(K461&lt;&gt;"Context and provider model",K461&lt;&gt;"Motivation"),1,0)</f>
        <v>1</v>
      </c>
    </row>
    <row r="462" customFormat="false" ht="15" hidden="false" customHeight="true" outlineLevel="0" collapsed="false">
      <c r="J462" s="1" t="str">
        <f aca="false">'Raw Atomic Data (Pro)'!A462</f>
        <v>Kristin</v>
      </c>
      <c r="K462" s="1" t="str">
        <f aca="false">'Raw Atomic Data (Pro)'!C462</f>
        <v>Sitting preparation</v>
      </c>
      <c r="L462" s="1" t="str">
        <f aca="false">'Raw Atomic Data (Pro)'!D462</f>
        <v>care-instructions-handoff</v>
      </c>
      <c r="M462" s="1" t="str">
        <f aca="false">'Raw Atomic Data (Pro)'!E462</f>
        <v>workaround</v>
      </c>
      <c r="N462" s="1" t="n">
        <f aca="false">IF(OR(M462="friction",M462="need",M462="workaround"),1,0)</f>
        <v>1</v>
      </c>
      <c r="O462" s="1" t="n">
        <f aca="false">IF(COUNTIFS($K$2:K462,K462,$L$2:L462,L462,$M$2:M462,M462,$J$2:J462,J462)=1,1,0)</f>
        <v>1</v>
      </c>
      <c r="P462" s="1" t="n">
        <f aca="false">IF(AND(N462=1,S462=1,COUNTIFS($L$2:L462,L462,$J$2:J462,J462,$N$2:N462,1,$S$2:S462,1)=1),1,0)</f>
        <v>0</v>
      </c>
      <c r="Q462" s="1" t="n">
        <f aca="false">IF(AND(N462=1,S462=1,COUNTIFS($L$2:L462,L462,$K$2:K462,K462,$N$2:N462,1,$S$2:S462,1)=1),1,0)</f>
        <v>0</v>
      </c>
      <c r="R462" s="1" t="n">
        <f aca="false">IF(AND(N462=1,COUNTIFS($K$2:K462,K462,$L$2:L462,L462,$J$2:J462,J462,$N$2:N462,1)=1),1,0)</f>
        <v>1</v>
      </c>
      <c r="S462" s="1" t="n">
        <f aca="false">IF(AND(K462&lt;&gt;"Context and provider model",K462&lt;&gt;"Motivation"),1,0)</f>
        <v>1</v>
      </c>
    </row>
    <row r="463" customFormat="false" ht="15" hidden="false" customHeight="true" outlineLevel="0" collapsed="false">
      <c r="J463" s="1" t="str">
        <f aca="false">'Raw Atomic Data (Pro)'!A463</f>
        <v>Kristin</v>
      </c>
      <c r="K463" s="1" t="str">
        <f aca="false">'Raw Atomic Data (Pro)'!C463</f>
        <v>Sitting preparation</v>
      </c>
      <c r="L463" s="1" t="str">
        <f aca="false">'Raw Atomic Data (Pro)'!D463</f>
        <v>care-instructions-handoff</v>
      </c>
      <c r="M463" s="1" t="str">
        <f aca="false">'Raw Atomic Data (Pro)'!E463</f>
        <v>fact</v>
      </c>
      <c r="N463" s="1" t="n">
        <f aca="false">IF(OR(M463="friction",M463="need",M463="workaround"),1,0)</f>
        <v>0</v>
      </c>
      <c r="O463" s="1" t="n">
        <f aca="false">IF(COUNTIFS($K$2:K463,K463,$L$2:L463,L463,$M$2:M463,M463,$J$2:J463,J463)=1,1,0)</f>
        <v>1</v>
      </c>
      <c r="P463" s="1" t="n">
        <f aca="false">IF(AND(N463=1,S463=1,COUNTIFS($L$2:L463,L463,$J$2:J463,J463,$N$2:N463,1,$S$2:S463,1)=1),1,0)</f>
        <v>0</v>
      </c>
      <c r="Q463" s="1" t="n">
        <f aca="false">IF(AND(N463=1,S463=1,COUNTIFS($L$2:L463,L463,$K$2:K463,K463,$N$2:N463,1,$S$2:S463,1)=1),1,0)</f>
        <v>0</v>
      </c>
      <c r="R463" s="1" t="n">
        <f aca="false">IF(AND(N463=1,COUNTIFS($K$2:K463,K463,$L$2:L463,L463,$J$2:J463,J463,$N$2:N463,1)=1),1,0)</f>
        <v>0</v>
      </c>
      <c r="S463" s="1" t="n">
        <f aca="false">IF(AND(K463&lt;&gt;"Context and provider model",K463&lt;&gt;"Motivation"),1,0)</f>
        <v>1</v>
      </c>
    </row>
    <row r="464" customFormat="false" ht="15" hidden="false" customHeight="true" outlineLevel="0" collapsed="false">
      <c r="J464" s="1" t="str">
        <f aca="false">'Raw Atomic Data (Pro)'!A464</f>
        <v>Kristin</v>
      </c>
      <c r="K464" s="1" t="str">
        <f aca="false">'Raw Atomic Data (Pro)'!C464</f>
        <v>Sitting preparation</v>
      </c>
      <c r="L464" s="1" t="str">
        <f aca="false">'Raw Atomic Data (Pro)'!D464</f>
        <v>care-instructions-handoff</v>
      </c>
      <c r="M464" s="1" t="str">
        <f aca="false">'Raw Atomic Data (Pro)'!E464</f>
        <v>fact</v>
      </c>
      <c r="N464" s="1" t="n">
        <f aca="false">IF(OR(M464="friction",M464="need",M464="workaround"),1,0)</f>
        <v>0</v>
      </c>
      <c r="O464" s="1" t="n">
        <f aca="false">IF(COUNTIFS($K$2:K464,K464,$L$2:L464,L464,$M$2:M464,M464,$J$2:J464,J464)=1,1,0)</f>
        <v>0</v>
      </c>
      <c r="P464" s="1" t="n">
        <f aca="false">IF(AND(N464=1,S464=1,COUNTIFS($L$2:L464,L464,$J$2:J464,J464,$N$2:N464,1,$S$2:S464,1)=1),1,0)</f>
        <v>0</v>
      </c>
      <c r="Q464" s="1" t="n">
        <f aca="false">IF(AND(N464=1,S464=1,COUNTIFS($L$2:L464,L464,$K$2:K464,K464,$N$2:N464,1,$S$2:S464,1)=1),1,0)</f>
        <v>0</v>
      </c>
      <c r="R464" s="1" t="n">
        <f aca="false">IF(AND(N464=1,COUNTIFS($K$2:K464,K464,$L$2:L464,L464,$J$2:J464,J464,$N$2:N464,1)=1),1,0)</f>
        <v>0</v>
      </c>
      <c r="S464" s="1" t="n">
        <f aca="false">IF(AND(K464&lt;&gt;"Context and provider model",K464&lt;&gt;"Motivation"),1,0)</f>
        <v>1</v>
      </c>
    </row>
    <row r="465" customFormat="false" ht="15" hidden="false" customHeight="true" outlineLevel="0" collapsed="false">
      <c r="J465" s="1" t="str">
        <f aca="false">'Raw Atomic Data (Pro)'!A465</f>
        <v>Naomi</v>
      </c>
      <c r="K465" s="1" t="str">
        <f aca="false">'Raw Atomic Data (Pro)'!C465</f>
        <v>Sitting preparation</v>
      </c>
      <c r="L465" s="1" t="str">
        <f aca="false">'Raw Atomic Data (Pro)'!D465</f>
        <v>capacity-multi-pet-management</v>
      </c>
      <c r="M465" s="1" t="str">
        <f aca="false">'Raw Atomic Data (Pro)'!E465</f>
        <v>fact</v>
      </c>
      <c r="N465" s="1" t="n">
        <f aca="false">IF(OR(M465="friction",M465="need",M465="workaround"),1,0)</f>
        <v>0</v>
      </c>
      <c r="O465" s="1" t="n">
        <f aca="false">IF(COUNTIFS($K$2:K465,K465,$L$2:L465,L465,$M$2:M465,M465,$J$2:J465,J465)=1,1,0)</f>
        <v>1</v>
      </c>
      <c r="P465" s="1" t="n">
        <f aca="false">IF(AND(N465=1,S465=1,COUNTIFS($L$2:L465,L465,$J$2:J465,J465,$N$2:N465,1,$S$2:S465,1)=1),1,0)</f>
        <v>0</v>
      </c>
      <c r="Q465" s="1" t="n">
        <f aca="false">IF(AND(N465=1,S465=1,COUNTIFS($L$2:L465,L465,$K$2:K465,K465,$N$2:N465,1,$S$2:S465,1)=1),1,0)</f>
        <v>0</v>
      </c>
      <c r="R465" s="1" t="n">
        <f aca="false">IF(AND(N465=1,COUNTIFS($K$2:K465,K465,$L$2:L465,L465,$J$2:J465,J465,$N$2:N465,1)=1),1,0)</f>
        <v>0</v>
      </c>
      <c r="S465" s="1" t="n">
        <f aca="false">IF(AND(K465&lt;&gt;"Context and provider model",K465&lt;&gt;"Motivation"),1,0)</f>
        <v>1</v>
      </c>
    </row>
    <row r="466" customFormat="false" ht="15" hidden="false" customHeight="true" outlineLevel="0" collapsed="false">
      <c r="J466" s="1" t="str">
        <f aca="false">'Raw Atomic Data (Pro)'!A466</f>
        <v>Naomi</v>
      </c>
      <c r="K466" s="1" t="str">
        <f aca="false">'Raw Atomic Data (Pro)'!C466</f>
        <v>Sitting preparation</v>
      </c>
      <c r="L466" s="1" t="str">
        <f aca="false">'Raw Atomic Data (Pro)'!D466</f>
        <v>capacity-multi-pet-management</v>
      </c>
      <c r="M466" s="1" t="str">
        <f aca="false">'Raw Atomic Data (Pro)'!E466</f>
        <v>fact</v>
      </c>
      <c r="N466" s="1" t="n">
        <f aca="false">IF(OR(M466="friction",M466="need",M466="workaround"),1,0)</f>
        <v>0</v>
      </c>
      <c r="O466" s="1" t="n">
        <f aca="false">IF(COUNTIFS($K$2:K466,K466,$L$2:L466,L466,$M$2:M466,M466,$J$2:J466,J466)=1,1,0)</f>
        <v>0</v>
      </c>
      <c r="P466" s="1" t="n">
        <f aca="false">IF(AND(N466=1,S466=1,COUNTIFS($L$2:L466,L466,$J$2:J466,J466,$N$2:N466,1,$S$2:S466,1)=1),1,0)</f>
        <v>0</v>
      </c>
      <c r="Q466" s="1" t="n">
        <f aca="false">IF(AND(N466=1,S466=1,COUNTIFS($L$2:L466,L466,$K$2:K466,K466,$N$2:N466,1,$S$2:S466,1)=1),1,0)</f>
        <v>0</v>
      </c>
      <c r="R466" s="1" t="n">
        <f aca="false">IF(AND(N466=1,COUNTIFS($K$2:K466,K466,$L$2:L466,L466,$J$2:J466,J466,$N$2:N466,1)=1),1,0)</f>
        <v>0</v>
      </c>
      <c r="S466" s="1" t="n">
        <f aca="false">IF(AND(K466&lt;&gt;"Context and provider model",K466&lt;&gt;"Motivation"),1,0)</f>
        <v>1</v>
      </c>
    </row>
    <row r="467" customFormat="false" ht="15" hidden="false" customHeight="true" outlineLevel="0" collapsed="false">
      <c r="J467" s="1" t="str">
        <f aca="false">'Raw Atomic Data (Pro)'!A467</f>
        <v>Shania</v>
      </c>
      <c r="K467" s="1" t="str">
        <f aca="false">'Raw Atomic Data (Pro)'!C467</f>
        <v>Sitting preparation</v>
      </c>
      <c r="L467" s="1" t="str">
        <f aca="false">'Raw Atomic Data (Pro)'!D467</f>
        <v>care-instructions-handoff</v>
      </c>
      <c r="M467" s="1" t="str">
        <f aca="false">'Raw Atomic Data (Pro)'!E467</f>
        <v>fact</v>
      </c>
      <c r="N467" s="1" t="n">
        <f aca="false">IF(OR(M467="friction",M467="need",M467="workaround"),1,0)</f>
        <v>0</v>
      </c>
      <c r="O467" s="1" t="n">
        <f aca="false">IF(COUNTIFS($K$2:K467,K467,$L$2:L467,L467,$M$2:M467,M467,$J$2:J467,J467)=1,1,0)</f>
        <v>1</v>
      </c>
      <c r="P467" s="1" t="n">
        <f aca="false">IF(AND(N467=1,S467=1,COUNTIFS($L$2:L467,L467,$J$2:J467,J467,$N$2:N467,1,$S$2:S467,1)=1),1,0)</f>
        <v>0</v>
      </c>
      <c r="Q467" s="1" t="n">
        <f aca="false">IF(AND(N467=1,S467=1,COUNTIFS($L$2:L467,L467,$K$2:K467,K467,$N$2:N467,1,$S$2:S467,1)=1),1,0)</f>
        <v>0</v>
      </c>
      <c r="R467" s="1" t="n">
        <f aca="false">IF(AND(N467=1,COUNTIFS($K$2:K467,K467,$L$2:L467,L467,$J$2:J467,J467,$N$2:N467,1)=1),1,0)</f>
        <v>0</v>
      </c>
      <c r="S467" s="1" t="n">
        <f aca="false">IF(AND(K467&lt;&gt;"Context and provider model",K467&lt;&gt;"Motivation"),1,0)</f>
        <v>1</v>
      </c>
    </row>
    <row r="468" customFormat="false" ht="15" hidden="false" customHeight="true" outlineLevel="0" collapsed="false">
      <c r="J468" s="1" t="str">
        <f aca="false">'Raw Atomic Data (Pro)'!A468</f>
        <v>Shania</v>
      </c>
      <c r="K468" s="1" t="str">
        <f aca="false">'Raw Atomic Data (Pro)'!C468</f>
        <v>Sitting preparation</v>
      </c>
      <c r="L468" s="1" t="str">
        <f aca="false">'Raw Atomic Data (Pro)'!D468</f>
        <v>care-instructions-handoff</v>
      </c>
      <c r="M468" s="1" t="str">
        <f aca="false">'Raw Atomic Data (Pro)'!E468</f>
        <v>fact</v>
      </c>
      <c r="N468" s="1" t="n">
        <f aca="false">IF(OR(M468="friction",M468="need",M468="workaround"),1,0)</f>
        <v>0</v>
      </c>
      <c r="O468" s="1" t="n">
        <f aca="false">IF(COUNTIFS($K$2:K468,K468,$L$2:L468,L468,$M$2:M468,M468,$J$2:J468,J468)=1,1,0)</f>
        <v>0</v>
      </c>
      <c r="P468" s="1" t="n">
        <f aca="false">IF(AND(N468=1,S468=1,COUNTIFS($L$2:L468,L468,$J$2:J468,J468,$N$2:N468,1,$S$2:S468,1)=1),1,0)</f>
        <v>0</v>
      </c>
      <c r="Q468" s="1" t="n">
        <f aca="false">IF(AND(N468=1,S468=1,COUNTIFS($L$2:L468,L468,$K$2:K468,K468,$N$2:N468,1,$S$2:S468,1)=1),1,0)</f>
        <v>0</v>
      </c>
      <c r="R468" s="1" t="n">
        <f aca="false">IF(AND(N468=1,COUNTIFS($K$2:K468,K468,$L$2:L468,L468,$J$2:J468,J468,$N$2:N468,1)=1),1,0)</f>
        <v>0</v>
      </c>
      <c r="S468" s="1" t="n">
        <f aca="false">IF(AND(K468&lt;&gt;"Context and provider model",K468&lt;&gt;"Motivation"),1,0)</f>
        <v>1</v>
      </c>
    </row>
    <row r="469" customFormat="false" ht="15" hidden="false" customHeight="true" outlineLevel="0" collapsed="false">
      <c r="J469" s="1" t="str">
        <f aca="false">'Raw Atomic Data (Pro)'!A469</f>
        <v>Shania</v>
      </c>
      <c r="K469" s="1" t="str">
        <f aca="false">'Raw Atomic Data (Pro)'!C469</f>
        <v>Sitting preparation</v>
      </c>
      <c r="L469" s="1" t="str">
        <f aca="false">'Raw Atomic Data (Pro)'!D469</f>
        <v>care-instructions-handoff</v>
      </c>
      <c r="M469" s="1" t="str">
        <f aca="false">'Raw Atomic Data (Pro)'!E469</f>
        <v>fact</v>
      </c>
      <c r="N469" s="1" t="n">
        <f aca="false">IF(OR(M469="friction",M469="need",M469="workaround"),1,0)</f>
        <v>0</v>
      </c>
      <c r="O469" s="1" t="n">
        <f aca="false">IF(COUNTIFS($K$2:K469,K469,$L$2:L469,L469,$M$2:M469,M469,$J$2:J469,J469)=1,1,0)</f>
        <v>0</v>
      </c>
      <c r="P469" s="1" t="n">
        <f aca="false">IF(AND(N469=1,S469=1,COUNTIFS($L$2:L469,L469,$J$2:J469,J469,$N$2:N469,1,$S$2:S469,1)=1),1,0)</f>
        <v>0</v>
      </c>
      <c r="Q469" s="1" t="n">
        <f aca="false">IF(AND(N469=1,S469=1,COUNTIFS($L$2:L469,L469,$K$2:K469,K469,$N$2:N469,1,$S$2:S469,1)=1),1,0)</f>
        <v>0</v>
      </c>
      <c r="R469" s="1" t="n">
        <f aca="false">IF(AND(N469=1,COUNTIFS($K$2:K469,K469,$L$2:L469,L469,$J$2:J469,J469,$N$2:N469,1)=1),1,0)</f>
        <v>0</v>
      </c>
      <c r="S469" s="1" t="n">
        <f aca="false">IF(AND(K469&lt;&gt;"Context and provider model",K469&lt;&gt;"Motivation"),1,0)</f>
        <v>1</v>
      </c>
    </row>
    <row r="470" customFormat="false" ht="15" hidden="false" customHeight="true" outlineLevel="0" collapsed="false">
      <c r="J470" s="1" t="str">
        <f aca="false">'Raw Atomic Data (Pro)'!A470</f>
        <v>Tianrui</v>
      </c>
      <c r="K470" s="1" t="str">
        <f aca="false">'Raw Atomic Data (Pro)'!C470</f>
        <v>Sitting preparation</v>
      </c>
      <c r="L470" s="1" t="str">
        <f aca="false">'Raw Atomic Data (Pro)'!D470</f>
        <v>care-instructions-handoff</v>
      </c>
      <c r="M470" s="1" t="str">
        <f aca="false">'Raw Atomic Data (Pro)'!E470</f>
        <v>value-statement</v>
      </c>
      <c r="N470" s="1" t="n">
        <f aca="false">IF(OR(M470="friction",M470="need",M470="workaround"),1,0)</f>
        <v>0</v>
      </c>
      <c r="O470" s="1" t="n">
        <f aca="false">IF(COUNTIFS($K$2:K470,K470,$L$2:L470,L470,$M$2:M470,M470,$J$2:J470,J470)=1,1,0)</f>
        <v>1</v>
      </c>
      <c r="P470" s="1" t="n">
        <f aca="false">IF(AND(N470=1,S470=1,COUNTIFS($L$2:L470,L470,$J$2:J470,J470,$N$2:N470,1,$S$2:S470,1)=1),1,0)</f>
        <v>0</v>
      </c>
      <c r="Q470" s="1" t="n">
        <f aca="false">IF(AND(N470=1,S470=1,COUNTIFS($L$2:L470,L470,$K$2:K470,K470,$N$2:N470,1,$S$2:S470,1)=1),1,0)</f>
        <v>0</v>
      </c>
      <c r="R470" s="1" t="n">
        <f aca="false">IF(AND(N470=1,COUNTIFS($K$2:K470,K470,$L$2:L470,L470,$J$2:J470,J470,$N$2:N470,1)=1),1,0)</f>
        <v>0</v>
      </c>
      <c r="S470" s="1" t="n">
        <f aca="false">IF(AND(K470&lt;&gt;"Context and provider model",K470&lt;&gt;"Motivation"),1,0)</f>
        <v>1</v>
      </c>
    </row>
    <row r="471" customFormat="false" ht="15" hidden="false" customHeight="true" outlineLevel="0" collapsed="false">
      <c r="J471" s="1" t="str">
        <f aca="false">'Raw Atomic Data (Pro)'!A471</f>
        <v>Tianrui</v>
      </c>
      <c r="K471" s="1" t="str">
        <f aca="false">'Raw Atomic Data (Pro)'!C471</f>
        <v>Sitting preparation</v>
      </c>
      <c r="L471" s="1" t="str">
        <f aca="false">'Raw Atomic Data (Pro)'!D471</f>
        <v>profile-information-completeness</v>
      </c>
      <c r="M471" s="1" t="str">
        <f aca="false">'Raw Atomic Data (Pro)'!E471</f>
        <v>friction</v>
      </c>
      <c r="N471" s="1" t="n">
        <f aca="false">IF(OR(M471="friction",M471="need",M471="workaround"),1,0)</f>
        <v>1</v>
      </c>
      <c r="O471" s="1" t="n">
        <f aca="false">IF(COUNTIFS($K$2:K471,K471,$L$2:L471,L471,$M$2:M471,M471,$J$2:J471,J471)=1,1,0)</f>
        <v>1</v>
      </c>
      <c r="P471" s="1" t="n">
        <f aca="false">IF(AND(N471=1,S471=1,COUNTIFS($L$2:L471,L471,$J$2:J471,J471,$N$2:N471,1,$S$2:S471,1)=1),1,0)</f>
        <v>1</v>
      </c>
      <c r="Q471" s="1" t="n">
        <f aca="false">IF(AND(N471=1,S471=1,COUNTIFS($L$2:L471,L471,$K$2:K471,K471,$N$2:N471,1,$S$2:S471,1)=1),1,0)</f>
        <v>0</v>
      </c>
      <c r="R471" s="1" t="n">
        <f aca="false">IF(AND(N471=1,COUNTIFS($K$2:K471,K471,$L$2:L471,L471,$J$2:J471,J471,$N$2:N471,1)=1),1,0)</f>
        <v>1</v>
      </c>
      <c r="S471" s="1" t="n">
        <f aca="false">IF(AND(K471&lt;&gt;"Context and provider model",K471&lt;&gt;"Motivation"),1,0)</f>
        <v>1</v>
      </c>
    </row>
    <row r="472" customFormat="false" ht="15" hidden="false" customHeight="true" outlineLevel="0" collapsed="false">
      <c r="J472" s="1" t="str">
        <f aca="false">'Raw Atomic Data (Pro)'!A472</f>
        <v>Tifany</v>
      </c>
      <c r="K472" s="1" t="str">
        <f aca="false">'Raw Atomic Data (Pro)'!C472</f>
        <v>Sitting preparation</v>
      </c>
      <c r="L472" s="1" t="str">
        <f aca="false">'Raw Atomic Data (Pro)'!D472</f>
        <v>care-instructions-handoff</v>
      </c>
      <c r="M472" s="1" t="str">
        <f aca="false">'Raw Atomic Data (Pro)'!E472</f>
        <v>fact</v>
      </c>
      <c r="N472" s="1" t="n">
        <f aca="false">IF(OR(M472="friction",M472="need",M472="workaround"),1,0)</f>
        <v>0</v>
      </c>
      <c r="O472" s="1" t="n">
        <f aca="false">IF(COUNTIFS($K$2:K472,K472,$L$2:L472,L472,$M$2:M472,M472,$J$2:J472,J472)=1,1,0)</f>
        <v>1</v>
      </c>
      <c r="P472" s="1" t="n">
        <f aca="false">IF(AND(N472=1,S472=1,COUNTIFS($L$2:L472,L472,$J$2:J472,J472,$N$2:N472,1,$S$2:S472,1)=1),1,0)</f>
        <v>0</v>
      </c>
      <c r="Q472" s="1" t="n">
        <f aca="false">IF(AND(N472=1,S472=1,COUNTIFS($L$2:L472,L472,$K$2:K472,K472,$N$2:N472,1,$S$2:S472,1)=1),1,0)</f>
        <v>0</v>
      </c>
      <c r="R472" s="1" t="n">
        <f aca="false">IF(AND(N472=1,COUNTIFS($K$2:K472,K472,$L$2:L472,L472,$J$2:J472,J472,$N$2:N472,1)=1),1,0)</f>
        <v>0</v>
      </c>
      <c r="S472" s="1" t="n">
        <f aca="false">IF(AND(K472&lt;&gt;"Context and provider model",K472&lt;&gt;"Motivation"),1,0)</f>
        <v>1</v>
      </c>
    </row>
    <row r="473" customFormat="false" ht="15" hidden="false" customHeight="true" outlineLevel="0" collapsed="false">
      <c r="J473" s="1" t="str">
        <f aca="false">'Raw Atomic Data (Pro)'!A473</f>
        <v>Tifany</v>
      </c>
      <c r="K473" s="1" t="str">
        <f aca="false">'Raw Atomic Data (Pro)'!C473</f>
        <v>Sitting preparation</v>
      </c>
      <c r="L473" s="1" t="str">
        <f aca="false">'Raw Atomic Data (Pro)'!D473</f>
        <v>care-instructions-handoff</v>
      </c>
      <c r="M473" s="1" t="str">
        <f aca="false">'Raw Atomic Data (Pro)'!E473</f>
        <v>fact</v>
      </c>
      <c r="N473" s="1" t="n">
        <f aca="false">IF(OR(M473="friction",M473="need",M473="workaround"),1,0)</f>
        <v>0</v>
      </c>
      <c r="O473" s="1" t="n">
        <f aca="false">IF(COUNTIFS($K$2:K473,K473,$L$2:L473,L473,$M$2:M473,M473,$J$2:J473,J473)=1,1,0)</f>
        <v>0</v>
      </c>
      <c r="P473" s="1" t="n">
        <f aca="false">IF(AND(N473=1,S473=1,COUNTIFS($L$2:L473,L473,$J$2:J473,J473,$N$2:N473,1,$S$2:S473,1)=1),1,0)</f>
        <v>0</v>
      </c>
      <c r="Q473" s="1" t="n">
        <f aca="false">IF(AND(N473=1,S473=1,COUNTIFS($L$2:L473,L473,$K$2:K473,K473,$N$2:N473,1,$S$2:S473,1)=1),1,0)</f>
        <v>0</v>
      </c>
      <c r="R473" s="1" t="n">
        <f aca="false">IF(AND(N473=1,COUNTIFS($K$2:K473,K473,$L$2:L473,L473,$J$2:J473,J473,$N$2:N473,1)=1),1,0)</f>
        <v>0</v>
      </c>
      <c r="S473" s="1" t="n">
        <f aca="false">IF(AND(K473&lt;&gt;"Context and provider model",K473&lt;&gt;"Motivation"),1,0)</f>
        <v>1</v>
      </c>
    </row>
    <row r="474" customFormat="false" ht="15" hidden="false" customHeight="true" outlineLevel="0" collapsed="false">
      <c r="J474" s="1" t="str">
        <f aca="false">'Raw Atomic Data (Pro)'!A474</f>
        <v>Tifany</v>
      </c>
      <c r="K474" s="1" t="str">
        <f aca="false">'Raw Atomic Data (Pro)'!C474</f>
        <v>Sitting preparation</v>
      </c>
      <c r="L474" s="1" t="str">
        <f aca="false">'Raw Atomic Data (Pro)'!D474</f>
        <v>safety-risk-incidents</v>
      </c>
      <c r="M474" s="1" t="str">
        <f aca="false">'Raw Atomic Data (Pro)'!E474</f>
        <v>workaround</v>
      </c>
      <c r="N474" s="1" t="n">
        <f aca="false">IF(OR(M474="friction",M474="need",M474="workaround"),1,0)</f>
        <v>1</v>
      </c>
      <c r="O474" s="1" t="n">
        <f aca="false">IF(COUNTIFS($K$2:K474,K474,$L$2:L474,L474,$M$2:M474,M474,$J$2:J474,J474)=1,1,0)</f>
        <v>1</v>
      </c>
      <c r="P474" s="1" t="n">
        <f aca="false">IF(AND(N474=1,S474=1,COUNTIFS($L$2:L474,L474,$J$2:J474,J474,$N$2:N474,1,$S$2:S474,1)=1),1,0)</f>
        <v>0</v>
      </c>
      <c r="Q474" s="1" t="n">
        <f aca="false">IF(AND(N474=1,S474=1,COUNTIFS($L$2:L474,L474,$K$2:K474,K474,$N$2:N474,1,$S$2:S474,1)=1),1,0)</f>
        <v>1</v>
      </c>
      <c r="R474" s="1" t="n">
        <f aca="false">IF(AND(N474=1,COUNTIFS($K$2:K474,K474,$L$2:L474,L474,$J$2:J474,J474,$N$2:N474,1)=1),1,0)</f>
        <v>1</v>
      </c>
      <c r="S474" s="1" t="n">
        <f aca="false">IF(AND(K474&lt;&gt;"Context and provider model",K474&lt;&gt;"Motivation"),1,0)</f>
        <v>1</v>
      </c>
    </row>
    <row r="475" customFormat="false" ht="15" hidden="false" customHeight="true" outlineLevel="0" collapsed="false">
      <c r="J475" s="1" t="str">
        <f aca="false">'Raw Atomic Data (Pro)'!A475</f>
        <v>Tifany</v>
      </c>
      <c r="K475" s="1" t="str">
        <f aca="false">'Raw Atomic Data (Pro)'!C475</f>
        <v>Sitting preparation</v>
      </c>
      <c r="L475" s="1" t="str">
        <f aca="false">'Raw Atomic Data (Pro)'!D475</f>
        <v>messaging-platform-mechanics</v>
      </c>
      <c r="M475" s="1" t="str">
        <f aca="false">'Raw Atomic Data (Pro)'!E475</f>
        <v>friction</v>
      </c>
      <c r="N475" s="1" t="n">
        <f aca="false">IF(OR(M475="friction",M475="need",M475="workaround"),1,0)</f>
        <v>1</v>
      </c>
      <c r="O475" s="1" t="n">
        <f aca="false">IF(COUNTIFS($K$2:K475,K475,$L$2:L475,L475,$M$2:M475,M475,$J$2:J475,J475)=1,1,0)</f>
        <v>1</v>
      </c>
      <c r="P475" s="1" t="n">
        <f aca="false">IF(AND(N475=1,S475=1,COUNTIFS($L$2:L475,L475,$J$2:J475,J475,$N$2:N475,1,$S$2:S475,1)=1),1,0)</f>
        <v>1</v>
      </c>
      <c r="Q475" s="1" t="n">
        <f aca="false">IF(AND(N475=1,S475=1,COUNTIFS($L$2:L475,L475,$K$2:K475,K475,$N$2:N475,1,$S$2:S475,1)=1),1,0)</f>
        <v>1</v>
      </c>
      <c r="R475" s="1" t="n">
        <f aca="false">IF(AND(N475=1,COUNTIFS($K$2:K475,K475,$L$2:L475,L475,$J$2:J475,J475,$N$2:N475,1)=1),1,0)</f>
        <v>1</v>
      </c>
      <c r="S475" s="1" t="n">
        <f aca="false">IF(AND(K475&lt;&gt;"Context and provider model",K475&lt;&gt;"Motivation"),1,0)</f>
        <v>1</v>
      </c>
    </row>
    <row r="476" customFormat="false" ht="15" hidden="false" customHeight="true" outlineLevel="0" collapsed="false">
      <c r="J476" s="1" t="str">
        <f aca="false">'Raw Atomic Data (Pro)'!A476</f>
        <v>Ami</v>
      </c>
      <c r="K476" s="1" t="str">
        <f aca="false">'Raw Atomic Data (Pro)'!C476</f>
        <v>Service delivery</v>
      </c>
      <c r="L476" s="1" t="str">
        <f aca="false">'Raw Atomic Data (Pro)'!D476</f>
        <v>daily-care-tasks</v>
      </c>
      <c r="M476" s="1" t="str">
        <f aca="false">'Raw Atomic Data (Pro)'!E476</f>
        <v>fact</v>
      </c>
      <c r="N476" s="1" t="n">
        <f aca="false">IF(OR(M476="friction",M476="need",M476="workaround"),1,0)</f>
        <v>0</v>
      </c>
      <c r="O476" s="1" t="n">
        <f aca="false">IF(COUNTIFS($K$2:K476,K476,$L$2:L476,L476,$M$2:M476,M476,$J$2:J476,J476)=1,1,0)</f>
        <v>1</v>
      </c>
      <c r="P476" s="1" t="n">
        <f aca="false">IF(AND(N476=1,S476=1,COUNTIFS($L$2:L476,L476,$J$2:J476,J476,$N$2:N476,1,$S$2:S476,1)=1),1,0)</f>
        <v>0</v>
      </c>
      <c r="Q476" s="1" t="n">
        <f aca="false">IF(AND(N476=1,S476=1,COUNTIFS($L$2:L476,L476,$K$2:K476,K476,$N$2:N476,1,$S$2:S476,1)=1),1,0)</f>
        <v>0</v>
      </c>
      <c r="R476" s="1" t="n">
        <f aca="false">IF(AND(N476=1,COUNTIFS($K$2:K476,K476,$L$2:L476,L476,$J$2:J476,J476,$N$2:N476,1)=1),1,0)</f>
        <v>0</v>
      </c>
      <c r="S476" s="1" t="n">
        <f aca="false">IF(AND(K476&lt;&gt;"Context and provider model",K476&lt;&gt;"Motivation"),1,0)</f>
        <v>1</v>
      </c>
    </row>
    <row r="477" customFormat="false" ht="15" hidden="false" customHeight="true" outlineLevel="0" collapsed="false">
      <c r="J477" s="1" t="str">
        <f aca="false">'Raw Atomic Data (Pro)'!A477</f>
        <v>Ami</v>
      </c>
      <c r="K477" s="1" t="str">
        <f aca="false">'Raw Atomic Data (Pro)'!C477</f>
        <v>Service delivery</v>
      </c>
      <c r="L477" s="1" t="str">
        <f aca="false">'Raw Atomic Data (Pro)'!D477</f>
        <v>in-sit-updates-media</v>
      </c>
      <c r="M477" s="1" t="str">
        <f aca="false">'Raw Atomic Data (Pro)'!E477</f>
        <v>value-statement</v>
      </c>
      <c r="N477" s="1" t="n">
        <f aca="false">IF(OR(M477="friction",M477="need",M477="workaround"),1,0)</f>
        <v>0</v>
      </c>
      <c r="O477" s="1" t="n">
        <f aca="false">IF(COUNTIFS($K$2:K477,K477,$L$2:L477,L477,$M$2:M477,M477,$J$2:J477,J477)=1,1,0)</f>
        <v>1</v>
      </c>
      <c r="P477" s="1" t="n">
        <f aca="false">IF(AND(N477=1,S477=1,COUNTIFS($L$2:L477,L477,$J$2:J477,J477,$N$2:N477,1,$S$2:S477,1)=1),1,0)</f>
        <v>0</v>
      </c>
      <c r="Q477" s="1" t="n">
        <f aca="false">IF(AND(N477=1,S477=1,COUNTIFS($L$2:L477,L477,$K$2:K477,K477,$N$2:N477,1,$S$2:S477,1)=1),1,0)</f>
        <v>0</v>
      </c>
      <c r="R477" s="1" t="n">
        <f aca="false">IF(AND(N477=1,COUNTIFS($K$2:K477,K477,$L$2:L477,L477,$J$2:J477,J477,$N$2:N477,1)=1),1,0)</f>
        <v>0</v>
      </c>
      <c r="S477" s="1" t="n">
        <f aca="false">IF(AND(K477&lt;&gt;"Context and provider model",K477&lt;&gt;"Motivation"),1,0)</f>
        <v>1</v>
      </c>
    </row>
    <row r="478" customFormat="false" ht="15" hidden="false" customHeight="true" outlineLevel="0" collapsed="false">
      <c r="J478" s="1" t="str">
        <f aca="false">'Raw Atomic Data (Pro)'!A478</f>
        <v>Ami</v>
      </c>
      <c r="K478" s="1" t="str">
        <f aca="false">'Raw Atomic Data (Pro)'!C478</f>
        <v>Service delivery</v>
      </c>
      <c r="L478" s="1" t="str">
        <f aca="false">'Raw Atomic Data (Pro)'!D478</f>
        <v>messaging-platform-mechanics</v>
      </c>
      <c r="M478" s="1" t="str">
        <f aca="false">'Raw Atomic Data (Pro)'!E478</f>
        <v>friction</v>
      </c>
      <c r="N478" s="1" t="n">
        <f aca="false">IF(OR(M478="friction",M478="need",M478="workaround"),1,0)</f>
        <v>1</v>
      </c>
      <c r="O478" s="1" t="n">
        <f aca="false">IF(COUNTIFS($K$2:K478,K478,$L$2:L478,L478,$M$2:M478,M478,$J$2:J478,J478)=1,1,0)</f>
        <v>1</v>
      </c>
      <c r="P478" s="1" t="n">
        <f aca="false">IF(AND(N478=1,S478=1,COUNTIFS($L$2:L478,L478,$J$2:J478,J478,$N$2:N478,1,$S$2:S478,1)=1),1,0)</f>
        <v>1</v>
      </c>
      <c r="Q478" s="1" t="n">
        <f aca="false">IF(AND(N478=1,S478=1,COUNTIFS($L$2:L478,L478,$K$2:K478,K478,$N$2:N478,1,$S$2:S478,1)=1),1,0)</f>
        <v>1</v>
      </c>
      <c r="R478" s="1" t="n">
        <f aca="false">IF(AND(N478=1,COUNTIFS($K$2:K478,K478,$L$2:L478,L478,$J$2:J478,J478,$N$2:N478,1)=1),1,0)</f>
        <v>1</v>
      </c>
      <c r="S478" s="1" t="n">
        <f aca="false">IF(AND(K478&lt;&gt;"Context and provider model",K478&lt;&gt;"Motivation"),1,0)</f>
        <v>1</v>
      </c>
    </row>
    <row r="479" customFormat="false" ht="15" hidden="false" customHeight="true" outlineLevel="0" collapsed="false">
      <c r="J479" s="1" t="str">
        <f aca="false">'Raw Atomic Data (Pro)'!A479</f>
        <v>Ami</v>
      </c>
      <c r="K479" s="1" t="str">
        <f aca="false">'Raw Atomic Data (Pro)'!C479</f>
        <v>Service delivery</v>
      </c>
      <c r="L479" s="1" t="str">
        <f aca="false">'Raw Atomic Data (Pro)'!D479</f>
        <v>safety-risk-incidents</v>
      </c>
      <c r="M479" s="1" t="str">
        <f aca="false">'Raw Atomic Data (Pro)'!E479</f>
        <v>value-statement</v>
      </c>
      <c r="N479" s="1" t="n">
        <f aca="false">IF(OR(M479="friction",M479="need",M479="workaround"),1,0)</f>
        <v>0</v>
      </c>
      <c r="O479" s="1" t="n">
        <f aca="false">IF(COUNTIFS($K$2:K479,K479,$L$2:L479,L479,$M$2:M479,M479,$J$2:J479,J479)=1,1,0)</f>
        <v>1</v>
      </c>
      <c r="P479" s="1" t="n">
        <f aca="false">IF(AND(N479=1,S479=1,COUNTIFS($L$2:L479,L479,$J$2:J479,J479,$N$2:N479,1,$S$2:S479,1)=1),1,0)</f>
        <v>0</v>
      </c>
      <c r="Q479" s="1" t="n">
        <f aca="false">IF(AND(N479=1,S479=1,COUNTIFS($L$2:L479,L479,$K$2:K479,K479,$N$2:N479,1,$S$2:S479,1)=1),1,0)</f>
        <v>0</v>
      </c>
      <c r="R479" s="1" t="n">
        <f aca="false">IF(AND(N479=1,COUNTIFS($K$2:K479,K479,$L$2:L479,L479,$J$2:J479,J479,$N$2:N479,1)=1),1,0)</f>
        <v>0</v>
      </c>
      <c r="S479" s="1" t="n">
        <f aca="false">IF(AND(K479&lt;&gt;"Context and provider model",K479&lt;&gt;"Motivation"),1,0)</f>
        <v>1</v>
      </c>
    </row>
    <row r="480" customFormat="false" ht="15" hidden="false" customHeight="true" outlineLevel="0" collapsed="false">
      <c r="J480" s="1" t="str">
        <f aca="false">'Raw Atomic Data (Pro)'!A480</f>
        <v>Ami</v>
      </c>
      <c r="K480" s="1" t="str">
        <f aca="false">'Raw Atomic Data (Pro)'!C480</f>
        <v>Service delivery</v>
      </c>
      <c r="L480" s="1" t="str">
        <f aca="false">'Raw Atomic Data (Pro)'!D480</f>
        <v>motivation-emotional-connection</v>
      </c>
      <c r="M480" s="1" t="str">
        <f aca="false">'Raw Atomic Data (Pro)'!E480</f>
        <v>friction</v>
      </c>
      <c r="N480" s="1" t="n">
        <f aca="false">IF(OR(M480="friction",M480="need",M480="workaround"),1,0)</f>
        <v>1</v>
      </c>
      <c r="O480" s="1" t="n">
        <f aca="false">IF(COUNTIFS($K$2:K480,K480,$L$2:L480,L480,$M$2:M480,M480,$J$2:J480,J480)=1,1,0)</f>
        <v>1</v>
      </c>
      <c r="P480" s="1" t="n">
        <f aca="false">IF(AND(N480=1,S480=1,COUNTIFS($L$2:L480,L480,$J$2:J480,J480,$N$2:N480,1,$S$2:S480,1)=1),1,0)</f>
        <v>1</v>
      </c>
      <c r="Q480" s="1" t="n">
        <f aca="false">IF(AND(N480=1,S480=1,COUNTIFS($L$2:L480,L480,$K$2:K480,K480,$N$2:N480,1,$S$2:S480,1)=1),1,0)</f>
        <v>1</v>
      </c>
      <c r="R480" s="1" t="n">
        <f aca="false">IF(AND(N480=1,COUNTIFS($K$2:K480,K480,$L$2:L480,L480,$J$2:J480,J480,$N$2:N480,1)=1),1,0)</f>
        <v>1</v>
      </c>
      <c r="S480" s="1" t="n">
        <f aca="false">IF(AND(K480&lt;&gt;"Context and provider model",K480&lt;&gt;"Motivation"),1,0)</f>
        <v>1</v>
      </c>
    </row>
    <row r="481" customFormat="false" ht="15" hidden="false" customHeight="true" outlineLevel="0" collapsed="false">
      <c r="J481" s="1" t="str">
        <f aca="false">'Raw Atomic Data (Pro)'!A481</f>
        <v>Andrew</v>
      </c>
      <c r="K481" s="1" t="str">
        <f aca="false">'Raw Atomic Data (Pro)'!C481</f>
        <v>Service delivery</v>
      </c>
      <c r="L481" s="1" t="str">
        <f aca="false">'Raw Atomic Data (Pro)'!D481</f>
        <v>daily-care-tasks</v>
      </c>
      <c r="M481" s="1" t="str">
        <f aca="false">'Raw Atomic Data (Pro)'!E481</f>
        <v>fact</v>
      </c>
      <c r="N481" s="1" t="n">
        <f aca="false">IF(OR(M481="friction",M481="need",M481="workaround"),1,0)</f>
        <v>0</v>
      </c>
      <c r="O481" s="1" t="n">
        <f aca="false">IF(COUNTIFS($K$2:K481,K481,$L$2:L481,L481,$M$2:M481,M481,$J$2:J481,J481)=1,1,0)</f>
        <v>1</v>
      </c>
      <c r="P481" s="1" t="n">
        <f aca="false">IF(AND(N481=1,S481=1,COUNTIFS($L$2:L481,L481,$J$2:J481,J481,$N$2:N481,1,$S$2:S481,1)=1),1,0)</f>
        <v>0</v>
      </c>
      <c r="Q481" s="1" t="n">
        <f aca="false">IF(AND(N481=1,S481=1,COUNTIFS($L$2:L481,L481,$K$2:K481,K481,$N$2:N481,1,$S$2:S481,1)=1),1,0)</f>
        <v>0</v>
      </c>
      <c r="R481" s="1" t="n">
        <f aca="false">IF(AND(N481=1,COUNTIFS($K$2:K481,K481,$L$2:L481,L481,$J$2:J481,J481,$N$2:N481,1)=1),1,0)</f>
        <v>0</v>
      </c>
      <c r="S481" s="1" t="n">
        <f aca="false">IF(AND(K481&lt;&gt;"Context and provider model",K481&lt;&gt;"Motivation"),1,0)</f>
        <v>1</v>
      </c>
    </row>
    <row r="482" customFormat="false" ht="15" hidden="false" customHeight="true" outlineLevel="0" collapsed="false">
      <c r="J482" s="1" t="str">
        <f aca="false">'Raw Atomic Data (Pro)'!A482</f>
        <v>Andrew</v>
      </c>
      <c r="K482" s="1" t="str">
        <f aca="false">'Raw Atomic Data (Pro)'!C482</f>
        <v>Service delivery</v>
      </c>
      <c r="L482" s="1" t="str">
        <f aca="false">'Raw Atomic Data (Pro)'!D482</f>
        <v>in-sit-updates-media</v>
      </c>
      <c r="M482" s="1" t="str">
        <f aca="false">'Raw Atomic Data (Pro)'!E482</f>
        <v>value-statement</v>
      </c>
      <c r="N482" s="1" t="n">
        <f aca="false">IF(OR(M482="friction",M482="need",M482="workaround"),1,0)</f>
        <v>0</v>
      </c>
      <c r="O482" s="1" t="n">
        <f aca="false">IF(COUNTIFS($K$2:K482,K482,$L$2:L482,L482,$M$2:M482,M482,$J$2:J482,J482)=1,1,0)</f>
        <v>1</v>
      </c>
      <c r="P482" s="1" t="n">
        <f aca="false">IF(AND(N482=1,S482=1,COUNTIFS($L$2:L482,L482,$J$2:J482,J482,$N$2:N482,1,$S$2:S482,1)=1),1,0)</f>
        <v>0</v>
      </c>
      <c r="Q482" s="1" t="n">
        <f aca="false">IF(AND(N482=1,S482=1,COUNTIFS($L$2:L482,L482,$K$2:K482,K482,$N$2:N482,1,$S$2:S482,1)=1),1,0)</f>
        <v>0</v>
      </c>
      <c r="R482" s="1" t="n">
        <f aca="false">IF(AND(N482=1,COUNTIFS($K$2:K482,K482,$L$2:L482,L482,$J$2:J482,J482,$N$2:N482,1)=1),1,0)</f>
        <v>0</v>
      </c>
      <c r="S482" s="1" t="n">
        <f aca="false">IF(AND(K482&lt;&gt;"Context and provider model",K482&lt;&gt;"Motivation"),1,0)</f>
        <v>1</v>
      </c>
    </row>
    <row r="483" customFormat="false" ht="15" hidden="false" customHeight="true" outlineLevel="0" collapsed="false">
      <c r="J483" s="1" t="str">
        <f aca="false">'Raw Atomic Data (Pro)'!A483</f>
        <v>Andrew</v>
      </c>
      <c r="K483" s="1" t="str">
        <f aca="false">'Raw Atomic Data (Pro)'!C483</f>
        <v>Service delivery</v>
      </c>
      <c r="L483" s="1" t="str">
        <f aca="false">'Raw Atomic Data (Pro)'!D483</f>
        <v>messaging-platform-mechanics</v>
      </c>
      <c r="M483" s="1" t="str">
        <f aca="false">'Raw Atomic Data (Pro)'!E483</f>
        <v>friction</v>
      </c>
      <c r="N483" s="1" t="n">
        <f aca="false">IF(OR(M483="friction",M483="need",M483="workaround"),1,0)</f>
        <v>1</v>
      </c>
      <c r="O483" s="1" t="n">
        <f aca="false">IF(COUNTIFS($K$2:K483,K483,$L$2:L483,L483,$M$2:M483,M483,$J$2:J483,J483)=1,1,0)</f>
        <v>1</v>
      </c>
      <c r="P483" s="1" t="n">
        <f aca="false">IF(AND(N483=1,S483=1,COUNTIFS($L$2:L483,L483,$J$2:J483,J483,$N$2:N483,1,$S$2:S483,1)=1),1,0)</f>
        <v>0</v>
      </c>
      <c r="Q483" s="1" t="n">
        <f aca="false">IF(AND(N483=1,S483=1,COUNTIFS($L$2:L483,L483,$K$2:K483,K483,$N$2:N483,1,$S$2:S483,1)=1),1,0)</f>
        <v>0</v>
      </c>
      <c r="R483" s="1" t="n">
        <f aca="false">IF(AND(N483=1,COUNTIFS($K$2:K483,K483,$L$2:L483,L483,$J$2:J483,J483,$N$2:N483,1)=1),1,0)</f>
        <v>1</v>
      </c>
      <c r="S483" s="1" t="n">
        <f aca="false">IF(AND(K483&lt;&gt;"Context and provider model",K483&lt;&gt;"Motivation"),1,0)</f>
        <v>1</v>
      </c>
    </row>
    <row r="484" customFormat="false" ht="15" hidden="false" customHeight="true" outlineLevel="0" collapsed="false">
      <c r="J484" s="1" t="str">
        <f aca="false">'Raw Atomic Data (Pro)'!A484</f>
        <v>Andrew</v>
      </c>
      <c r="K484" s="1" t="str">
        <f aca="false">'Raw Atomic Data (Pro)'!C484</f>
        <v>Service delivery</v>
      </c>
      <c r="L484" s="1" t="str">
        <f aca="false">'Raw Atomic Data (Pro)'!D484</f>
        <v>messaging-platform-mechanics</v>
      </c>
      <c r="M484" s="1" t="str">
        <f aca="false">'Raw Atomic Data (Pro)'!E484</f>
        <v>friction</v>
      </c>
      <c r="N484" s="1" t="n">
        <f aca="false">IF(OR(M484="friction",M484="need",M484="workaround"),1,0)</f>
        <v>1</v>
      </c>
      <c r="O484" s="1" t="n">
        <f aca="false">IF(COUNTIFS($K$2:K484,K484,$L$2:L484,L484,$M$2:M484,M484,$J$2:J484,J484)=1,1,0)</f>
        <v>0</v>
      </c>
      <c r="P484" s="1" t="n">
        <f aca="false">IF(AND(N484=1,S484=1,COUNTIFS($L$2:L484,L484,$J$2:J484,J484,$N$2:N484,1,$S$2:S484,1)=1),1,0)</f>
        <v>0</v>
      </c>
      <c r="Q484" s="1" t="n">
        <f aca="false">IF(AND(N484=1,S484=1,COUNTIFS($L$2:L484,L484,$K$2:K484,K484,$N$2:N484,1,$S$2:S484,1)=1),1,0)</f>
        <v>0</v>
      </c>
      <c r="R484" s="1" t="n">
        <f aca="false">IF(AND(N484=1,COUNTIFS($K$2:K484,K484,$L$2:L484,L484,$J$2:J484,J484,$N$2:N484,1)=1),1,0)</f>
        <v>0</v>
      </c>
      <c r="S484" s="1" t="n">
        <f aca="false">IF(AND(K484&lt;&gt;"Context and provider model",K484&lt;&gt;"Motivation"),1,0)</f>
        <v>1</v>
      </c>
    </row>
    <row r="485" customFormat="false" ht="15" hidden="false" customHeight="true" outlineLevel="0" collapsed="false">
      <c r="J485" s="1" t="str">
        <f aca="false">'Raw Atomic Data (Pro)'!A485</f>
        <v>Andrew</v>
      </c>
      <c r="K485" s="1" t="str">
        <f aca="false">'Raw Atomic Data (Pro)'!C485</f>
        <v>Service delivery</v>
      </c>
      <c r="L485" s="1" t="str">
        <f aca="false">'Raw Atomic Data (Pro)'!D485</f>
        <v>in-sit-updates-media</v>
      </c>
      <c r="M485" s="1" t="str">
        <f aca="false">'Raw Atomic Data (Pro)'!E485</f>
        <v>need</v>
      </c>
      <c r="N485" s="1" t="n">
        <f aca="false">IF(OR(M485="friction",M485="need",M485="workaround"),1,0)</f>
        <v>1</v>
      </c>
      <c r="O485" s="1" t="n">
        <f aca="false">IF(COUNTIFS($K$2:K485,K485,$L$2:L485,L485,$M$2:M485,M485,$J$2:J485,J485)=1,1,0)</f>
        <v>1</v>
      </c>
      <c r="P485" s="1" t="n">
        <f aca="false">IF(AND(N485=1,S485=1,COUNTIFS($L$2:L485,L485,$J$2:J485,J485,$N$2:N485,1,$S$2:S485,1)=1),1,0)</f>
        <v>1</v>
      </c>
      <c r="Q485" s="1" t="n">
        <f aca="false">IF(AND(N485=1,S485=1,COUNTIFS($L$2:L485,L485,$K$2:K485,K485,$N$2:N485,1,$S$2:S485,1)=1),1,0)</f>
        <v>1</v>
      </c>
      <c r="R485" s="1" t="n">
        <f aca="false">IF(AND(N485=1,COUNTIFS($K$2:K485,K485,$L$2:L485,L485,$J$2:J485,J485,$N$2:N485,1)=1),1,0)</f>
        <v>1</v>
      </c>
      <c r="S485" s="1" t="n">
        <f aca="false">IF(AND(K485&lt;&gt;"Context and provider model",K485&lt;&gt;"Motivation"),1,0)</f>
        <v>1</v>
      </c>
    </row>
    <row r="486" customFormat="false" ht="15" hidden="false" customHeight="true" outlineLevel="0" collapsed="false">
      <c r="J486" s="1" t="str">
        <f aca="false">'Raw Atomic Data (Pro)'!A486</f>
        <v>Anita</v>
      </c>
      <c r="K486" s="1" t="str">
        <f aca="false">'Raw Atomic Data (Pro)'!C486</f>
        <v>Service delivery</v>
      </c>
      <c r="L486" s="1" t="str">
        <f aca="false">'Raw Atomic Data (Pro)'!D486</f>
        <v>in-sit-updates-media</v>
      </c>
      <c r="M486" s="1" t="str">
        <f aca="false">'Raw Atomic Data (Pro)'!E486</f>
        <v>fact</v>
      </c>
      <c r="N486" s="1" t="n">
        <f aca="false">IF(OR(M486="friction",M486="need",M486="workaround"),1,0)</f>
        <v>0</v>
      </c>
      <c r="O486" s="1" t="n">
        <f aca="false">IF(COUNTIFS($K$2:K486,K486,$L$2:L486,L486,$M$2:M486,M486,$J$2:J486,J486)=1,1,0)</f>
        <v>1</v>
      </c>
      <c r="P486" s="1" t="n">
        <f aca="false">IF(AND(N486=1,S486=1,COUNTIFS($L$2:L486,L486,$J$2:J486,J486,$N$2:N486,1,$S$2:S486,1)=1),1,0)</f>
        <v>0</v>
      </c>
      <c r="Q486" s="1" t="n">
        <f aca="false">IF(AND(N486=1,S486=1,COUNTIFS($L$2:L486,L486,$K$2:K486,K486,$N$2:N486,1,$S$2:S486,1)=1),1,0)</f>
        <v>0</v>
      </c>
      <c r="R486" s="1" t="n">
        <f aca="false">IF(AND(N486=1,COUNTIFS($K$2:K486,K486,$L$2:L486,L486,$J$2:J486,J486,$N$2:N486,1)=1),1,0)</f>
        <v>0</v>
      </c>
      <c r="S486" s="1" t="n">
        <f aca="false">IF(AND(K486&lt;&gt;"Context and provider model",K486&lt;&gt;"Motivation"),1,0)</f>
        <v>1</v>
      </c>
    </row>
    <row r="487" customFormat="false" ht="15" hidden="false" customHeight="true" outlineLevel="0" collapsed="false">
      <c r="J487" s="1" t="str">
        <f aca="false">'Raw Atomic Data (Pro)'!A487</f>
        <v>Anita</v>
      </c>
      <c r="K487" s="1" t="str">
        <f aca="false">'Raw Atomic Data (Pro)'!C487</f>
        <v>Service delivery</v>
      </c>
      <c r="L487" s="1" t="str">
        <f aca="false">'Raw Atomic Data (Pro)'!D487</f>
        <v>in-sit-updates-media</v>
      </c>
      <c r="M487" s="1" t="str">
        <f aca="false">'Raw Atomic Data (Pro)'!E487</f>
        <v>fact</v>
      </c>
      <c r="N487" s="1" t="n">
        <f aca="false">IF(OR(M487="friction",M487="need",M487="workaround"),1,0)</f>
        <v>0</v>
      </c>
      <c r="O487" s="1" t="n">
        <f aca="false">IF(COUNTIFS($K$2:K487,K487,$L$2:L487,L487,$M$2:M487,M487,$J$2:J487,J487)=1,1,0)</f>
        <v>0</v>
      </c>
      <c r="P487" s="1" t="n">
        <f aca="false">IF(AND(N487=1,S487=1,COUNTIFS($L$2:L487,L487,$J$2:J487,J487,$N$2:N487,1,$S$2:S487,1)=1),1,0)</f>
        <v>0</v>
      </c>
      <c r="Q487" s="1" t="n">
        <f aca="false">IF(AND(N487=1,S487=1,COUNTIFS($L$2:L487,L487,$K$2:K487,K487,$N$2:N487,1,$S$2:S487,1)=1),1,0)</f>
        <v>0</v>
      </c>
      <c r="R487" s="1" t="n">
        <f aca="false">IF(AND(N487=1,COUNTIFS($K$2:K487,K487,$L$2:L487,L487,$J$2:J487,J487,$N$2:N487,1)=1),1,0)</f>
        <v>0</v>
      </c>
      <c r="S487" s="1" t="n">
        <f aca="false">IF(AND(K487&lt;&gt;"Context and provider model",K487&lt;&gt;"Motivation"),1,0)</f>
        <v>1</v>
      </c>
    </row>
    <row r="488" customFormat="false" ht="15" hidden="false" customHeight="true" outlineLevel="0" collapsed="false">
      <c r="J488" s="1" t="str">
        <f aca="false">'Raw Atomic Data (Pro)'!A488</f>
        <v>Anita</v>
      </c>
      <c r="K488" s="1" t="str">
        <f aca="false">'Raw Atomic Data (Pro)'!C488</f>
        <v>Service delivery</v>
      </c>
      <c r="L488" s="1" t="str">
        <f aca="false">'Raw Atomic Data (Pro)'!D488</f>
        <v>messaging-platform-mechanics</v>
      </c>
      <c r="M488" s="1" t="str">
        <f aca="false">'Raw Atomic Data (Pro)'!E488</f>
        <v>fact</v>
      </c>
      <c r="N488" s="1" t="n">
        <f aca="false">IF(OR(M488="friction",M488="need",M488="workaround"),1,0)</f>
        <v>0</v>
      </c>
      <c r="O488" s="1" t="n">
        <f aca="false">IF(COUNTIFS($K$2:K488,K488,$L$2:L488,L488,$M$2:M488,M488,$J$2:J488,J488)=1,1,0)</f>
        <v>1</v>
      </c>
      <c r="P488" s="1" t="n">
        <f aca="false">IF(AND(N488=1,S488=1,COUNTIFS($L$2:L488,L488,$J$2:J488,J488,$N$2:N488,1,$S$2:S488,1)=1),1,0)</f>
        <v>0</v>
      </c>
      <c r="Q488" s="1" t="n">
        <f aca="false">IF(AND(N488=1,S488=1,COUNTIFS($L$2:L488,L488,$K$2:K488,K488,$N$2:N488,1,$S$2:S488,1)=1),1,0)</f>
        <v>0</v>
      </c>
      <c r="R488" s="1" t="n">
        <f aca="false">IF(AND(N488=1,COUNTIFS($K$2:K488,K488,$L$2:L488,L488,$J$2:J488,J488,$N$2:N488,1)=1),1,0)</f>
        <v>0</v>
      </c>
      <c r="S488" s="1" t="n">
        <f aca="false">IF(AND(K488&lt;&gt;"Context and provider model",K488&lt;&gt;"Motivation"),1,0)</f>
        <v>1</v>
      </c>
    </row>
    <row r="489" customFormat="false" ht="15" hidden="false" customHeight="true" outlineLevel="0" collapsed="false">
      <c r="J489" s="1" t="str">
        <f aca="false">'Raw Atomic Data (Pro)'!A489</f>
        <v>Anita</v>
      </c>
      <c r="K489" s="1" t="str">
        <f aca="false">'Raw Atomic Data (Pro)'!C489</f>
        <v>Service delivery</v>
      </c>
      <c r="L489" s="1" t="str">
        <f aca="false">'Raw Atomic Data (Pro)'!D489</f>
        <v>daily-care-tasks</v>
      </c>
      <c r="M489" s="1" t="str">
        <f aca="false">'Raw Atomic Data (Pro)'!E489</f>
        <v>fact</v>
      </c>
      <c r="N489" s="1" t="n">
        <f aca="false">IF(OR(M489="friction",M489="need",M489="workaround"),1,0)</f>
        <v>0</v>
      </c>
      <c r="O489" s="1" t="n">
        <f aca="false">IF(COUNTIFS($K$2:K489,K489,$L$2:L489,L489,$M$2:M489,M489,$J$2:J489,J489)=1,1,0)</f>
        <v>1</v>
      </c>
      <c r="P489" s="1" t="n">
        <f aca="false">IF(AND(N489=1,S489=1,COUNTIFS($L$2:L489,L489,$J$2:J489,J489,$N$2:N489,1,$S$2:S489,1)=1),1,0)</f>
        <v>0</v>
      </c>
      <c r="Q489" s="1" t="n">
        <f aca="false">IF(AND(N489=1,S489=1,COUNTIFS($L$2:L489,L489,$K$2:K489,K489,$N$2:N489,1,$S$2:S489,1)=1),1,0)</f>
        <v>0</v>
      </c>
      <c r="R489" s="1" t="n">
        <f aca="false">IF(AND(N489=1,COUNTIFS($K$2:K489,K489,$L$2:L489,L489,$J$2:J489,J489,$N$2:N489,1)=1),1,0)</f>
        <v>0</v>
      </c>
      <c r="S489" s="1" t="n">
        <f aca="false">IF(AND(K489&lt;&gt;"Context and provider model",K489&lt;&gt;"Motivation"),1,0)</f>
        <v>1</v>
      </c>
    </row>
    <row r="490" customFormat="false" ht="15" hidden="false" customHeight="true" outlineLevel="0" collapsed="false">
      <c r="J490" s="1" t="str">
        <f aca="false">'Raw Atomic Data (Pro)'!A490</f>
        <v>Anita</v>
      </c>
      <c r="K490" s="1" t="str">
        <f aca="false">'Raw Atomic Data (Pro)'!C490</f>
        <v>Service delivery</v>
      </c>
      <c r="L490" s="1" t="str">
        <f aca="false">'Raw Atomic Data (Pro)'!D490</f>
        <v>daily-care-tasks</v>
      </c>
      <c r="M490" s="1" t="str">
        <f aca="false">'Raw Atomic Data (Pro)'!E490</f>
        <v>workaround</v>
      </c>
      <c r="N490" s="1" t="n">
        <f aca="false">IF(OR(M490="friction",M490="need",M490="workaround"),1,0)</f>
        <v>1</v>
      </c>
      <c r="O490" s="1" t="n">
        <f aca="false">IF(COUNTIFS($K$2:K490,K490,$L$2:L490,L490,$M$2:M490,M490,$J$2:J490,J490)=1,1,0)</f>
        <v>1</v>
      </c>
      <c r="P490" s="1" t="n">
        <f aca="false">IF(AND(N490=1,S490=1,COUNTIFS($L$2:L490,L490,$J$2:J490,J490,$N$2:N490,1,$S$2:S490,1)=1),1,0)</f>
        <v>1</v>
      </c>
      <c r="Q490" s="1" t="n">
        <f aca="false">IF(AND(N490=1,S490=1,COUNTIFS($L$2:L490,L490,$K$2:K490,K490,$N$2:N490,1,$S$2:S490,1)=1),1,0)</f>
        <v>1</v>
      </c>
      <c r="R490" s="1" t="n">
        <f aca="false">IF(AND(N490=1,COUNTIFS($K$2:K490,K490,$L$2:L490,L490,$J$2:J490,J490,$N$2:N490,1)=1),1,0)</f>
        <v>1</v>
      </c>
      <c r="S490" s="1" t="n">
        <f aca="false">IF(AND(K490&lt;&gt;"Context and provider model",K490&lt;&gt;"Motivation"),1,0)</f>
        <v>1</v>
      </c>
    </row>
    <row r="491" customFormat="false" ht="15" hidden="false" customHeight="true" outlineLevel="0" collapsed="false">
      <c r="J491" s="1" t="str">
        <f aca="false">'Raw Atomic Data (Pro)'!A491</f>
        <v>Anita</v>
      </c>
      <c r="K491" s="1" t="str">
        <f aca="false">'Raw Atomic Data (Pro)'!C491</f>
        <v>Service delivery</v>
      </c>
      <c r="L491" s="1" t="str">
        <f aca="false">'Raw Atomic Data (Pro)'!D491</f>
        <v>daily-care-tasks</v>
      </c>
      <c r="M491" s="1" t="str">
        <f aca="false">'Raw Atomic Data (Pro)'!E491</f>
        <v>workaround</v>
      </c>
      <c r="N491" s="1" t="n">
        <f aca="false">IF(OR(M491="friction",M491="need",M491="workaround"),1,0)</f>
        <v>1</v>
      </c>
      <c r="O491" s="1" t="n">
        <f aca="false">IF(COUNTIFS($K$2:K491,K491,$L$2:L491,L491,$M$2:M491,M491,$J$2:J491,J491)=1,1,0)</f>
        <v>0</v>
      </c>
      <c r="P491" s="1" t="n">
        <f aca="false">IF(AND(N491=1,S491=1,COUNTIFS($L$2:L491,L491,$J$2:J491,J491,$N$2:N491,1,$S$2:S491,1)=1),1,0)</f>
        <v>0</v>
      </c>
      <c r="Q491" s="1" t="n">
        <f aca="false">IF(AND(N491=1,S491=1,COUNTIFS($L$2:L491,L491,$K$2:K491,K491,$N$2:N491,1,$S$2:S491,1)=1),1,0)</f>
        <v>0</v>
      </c>
      <c r="R491" s="1" t="n">
        <f aca="false">IF(AND(N491=1,COUNTIFS($K$2:K491,K491,$L$2:L491,L491,$J$2:J491,J491,$N$2:N491,1)=1),1,0)</f>
        <v>0</v>
      </c>
      <c r="S491" s="1" t="n">
        <f aca="false">IF(AND(K491&lt;&gt;"Context and provider model",K491&lt;&gt;"Motivation"),1,0)</f>
        <v>1</v>
      </c>
    </row>
    <row r="492" customFormat="false" ht="15" hidden="false" customHeight="true" outlineLevel="0" collapsed="false">
      <c r="J492" s="1" t="str">
        <f aca="false">'Raw Atomic Data (Pro)'!A492</f>
        <v>Anita</v>
      </c>
      <c r="K492" s="1" t="str">
        <f aca="false">'Raw Atomic Data (Pro)'!C492</f>
        <v>Service delivery</v>
      </c>
      <c r="L492" s="1" t="str">
        <f aca="false">'Raw Atomic Data (Pro)'!D492</f>
        <v>daily-care-tasks</v>
      </c>
      <c r="M492" s="1" t="str">
        <f aca="false">'Raw Atomic Data (Pro)'!E492</f>
        <v>friction</v>
      </c>
      <c r="N492" s="1" t="n">
        <f aca="false">IF(OR(M492="friction",M492="need",M492="workaround"),1,0)</f>
        <v>1</v>
      </c>
      <c r="O492" s="1" t="n">
        <f aca="false">IF(COUNTIFS($K$2:K492,K492,$L$2:L492,L492,$M$2:M492,M492,$J$2:J492,J492)=1,1,0)</f>
        <v>1</v>
      </c>
      <c r="P492" s="1" t="n">
        <f aca="false">IF(AND(N492=1,S492=1,COUNTIFS($L$2:L492,L492,$J$2:J492,J492,$N$2:N492,1,$S$2:S492,1)=1),1,0)</f>
        <v>0</v>
      </c>
      <c r="Q492" s="1" t="n">
        <f aca="false">IF(AND(N492=1,S492=1,COUNTIFS($L$2:L492,L492,$K$2:K492,K492,$N$2:N492,1,$S$2:S492,1)=1),1,0)</f>
        <v>0</v>
      </c>
      <c r="R492" s="1" t="n">
        <f aca="false">IF(AND(N492=1,COUNTIFS($K$2:K492,K492,$L$2:L492,L492,$J$2:J492,J492,$N$2:N492,1)=1),1,0)</f>
        <v>0</v>
      </c>
      <c r="S492" s="1" t="n">
        <f aca="false">IF(AND(K492&lt;&gt;"Context and provider model",K492&lt;&gt;"Motivation"),1,0)</f>
        <v>1</v>
      </c>
    </row>
    <row r="493" customFormat="false" ht="15" hidden="false" customHeight="true" outlineLevel="0" collapsed="false">
      <c r="J493" s="1" t="str">
        <f aca="false">'Raw Atomic Data (Pro)'!A493</f>
        <v>Anita</v>
      </c>
      <c r="K493" s="1" t="str">
        <f aca="false">'Raw Atomic Data (Pro)'!C493</f>
        <v>Service delivery</v>
      </c>
      <c r="L493" s="1" t="str">
        <f aca="false">'Raw Atomic Data (Pro)'!D493</f>
        <v>daily-care-tasks</v>
      </c>
      <c r="M493" s="1" t="str">
        <f aca="false">'Raw Atomic Data (Pro)'!E493</f>
        <v>fact</v>
      </c>
      <c r="N493" s="1" t="n">
        <f aca="false">IF(OR(M493="friction",M493="need",M493="workaround"),1,0)</f>
        <v>0</v>
      </c>
      <c r="O493" s="1" t="n">
        <f aca="false">IF(COUNTIFS($K$2:K493,K493,$L$2:L493,L493,$M$2:M493,M493,$J$2:J493,J493)=1,1,0)</f>
        <v>0</v>
      </c>
      <c r="P493" s="1" t="n">
        <f aca="false">IF(AND(N493=1,S493=1,COUNTIFS($L$2:L493,L493,$J$2:J493,J493,$N$2:N493,1,$S$2:S493,1)=1),1,0)</f>
        <v>0</v>
      </c>
      <c r="Q493" s="1" t="n">
        <f aca="false">IF(AND(N493=1,S493=1,COUNTIFS($L$2:L493,L493,$K$2:K493,K493,$N$2:N493,1,$S$2:S493,1)=1),1,0)</f>
        <v>0</v>
      </c>
      <c r="R493" s="1" t="n">
        <f aca="false">IF(AND(N493=1,COUNTIFS($K$2:K493,K493,$L$2:L493,L493,$J$2:J493,J493,$N$2:N493,1)=1),1,0)</f>
        <v>0</v>
      </c>
      <c r="S493" s="1" t="n">
        <f aca="false">IF(AND(K493&lt;&gt;"Context and provider model",K493&lt;&gt;"Motivation"),1,0)</f>
        <v>1</v>
      </c>
    </row>
    <row r="494" customFormat="false" ht="15" hidden="false" customHeight="true" outlineLevel="0" collapsed="false">
      <c r="J494" s="1" t="str">
        <f aca="false">'Raw Atomic Data (Pro)'!A494</f>
        <v>Becky</v>
      </c>
      <c r="K494" s="1" t="str">
        <f aca="false">'Raw Atomic Data (Pro)'!C494</f>
        <v>Service delivery</v>
      </c>
      <c r="L494" s="1" t="str">
        <f aca="false">'Raw Atomic Data (Pro)'!D494</f>
        <v>daily-care-tasks</v>
      </c>
      <c r="M494" s="1" t="str">
        <f aca="false">'Raw Atomic Data (Pro)'!E494</f>
        <v>fact</v>
      </c>
      <c r="N494" s="1" t="n">
        <f aca="false">IF(OR(M494="friction",M494="need",M494="workaround"),1,0)</f>
        <v>0</v>
      </c>
      <c r="O494" s="1" t="n">
        <f aca="false">IF(COUNTIFS($K$2:K494,K494,$L$2:L494,L494,$M$2:M494,M494,$J$2:J494,J494)=1,1,0)</f>
        <v>1</v>
      </c>
      <c r="P494" s="1" t="n">
        <f aca="false">IF(AND(N494=1,S494=1,COUNTIFS($L$2:L494,L494,$J$2:J494,J494,$N$2:N494,1,$S$2:S494,1)=1),1,0)</f>
        <v>0</v>
      </c>
      <c r="Q494" s="1" t="n">
        <f aca="false">IF(AND(N494=1,S494=1,COUNTIFS($L$2:L494,L494,$K$2:K494,K494,$N$2:N494,1,$S$2:S494,1)=1),1,0)</f>
        <v>0</v>
      </c>
      <c r="R494" s="1" t="n">
        <f aca="false">IF(AND(N494=1,COUNTIFS($K$2:K494,K494,$L$2:L494,L494,$J$2:J494,J494,$N$2:N494,1)=1),1,0)</f>
        <v>0</v>
      </c>
      <c r="S494" s="1" t="n">
        <f aca="false">IF(AND(K494&lt;&gt;"Context and provider model",K494&lt;&gt;"Motivation"),1,0)</f>
        <v>1</v>
      </c>
    </row>
    <row r="495" customFormat="false" ht="15" hidden="false" customHeight="true" outlineLevel="0" collapsed="false">
      <c r="J495" s="1" t="str">
        <f aca="false">'Raw Atomic Data (Pro)'!A495</f>
        <v>Becky</v>
      </c>
      <c r="K495" s="1" t="str">
        <f aca="false">'Raw Atomic Data (Pro)'!C495</f>
        <v>Service delivery</v>
      </c>
      <c r="L495" s="1" t="str">
        <f aca="false">'Raw Atomic Data (Pro)'!D495</f>
        <v>daily-care-tasks</v>
      </c>
      <c r="M495" s="1" t="str">
        <f aca="false">'Raw Atomic Data (Pro)'!E495</f>
        <v>fact</v>
      </c>
      <c r="N495" s="1" t="n">
        <f aca="false">IF(OR(M495="friction",M495="need",M495="workaround"),1,0)</f>
        <v>0</v>
      </c>
      <c r="O495" s="1" t="n">
        <f aca="false">IF(COUNTIFS($K$2:K495,K495,$L$2:L495,L495,$M$2:M495,M495,$J$2:J495,J495)=1,1,0)</f>
        <v>0</v>
      </c>
      <c r="P495" s="1" t="n">
        <f aca="false">IF(AND(N495=1,S495=1,COUNTIFS($L$2:L495,L495,$J$2:J495,J495,$N$2:N495,1,$S$2:S495,1)=1),1,0)</f>
        <v>0</v>
      </c>
      <c r="Q495" s="1" t="n">
        <f aca="false">IF(AND(N495=1,S495=1,COUNTIFS($L$2:L495,L495,$K$2:K495,K495,$N$2:N495,1,$S$2:S495,1)=1),1,0)</f>
        <v>0</v>
      </c>
      <c r="R495" s="1" t="n">
        <f aca="false">IF(AND(N495=1,COUNTIFS($K$2:K495,K495,$L$2:L495,L495,$J$2:J495,J495,$N$2:N495,1)=1),1,0)</f>
        <v>0</v>
      </c>
      <c r="S495" s="1" t="n">
        <f aca="false">IF(AND(K495&lt;&gt;"Context and provider model",K495&lt;&gt;"Motivation"),1,0)</f>
        <v>1</v>
      </c>
    </row>
    <row r="496" customFormat="false" ht="15" hidden="false" customHeight="true" outlineLevel="0" collapsed="false">
      <c r="J496" s="1" t="str">
        <f aca="false">'Raw Atomic Data (Pro)'!A496</f>
        <v>Becky</v>
      </c>
      <c r="K496" s="1" t="str">
        <f aca="false">'Raw Atomic Data (Pro)'!C496</f>
        <v>Service delivery</v>
      </c>
      <c r="L496" s="1" t="str">
        <f aca="false">'Raw Atomic Data (Pro)'!D496</f>
        <v>in-sit-updates-media</v>
      </c>
      <c r="M496" s="1" t="str">
        <f aca="false">'Raw Atomic Data (Pro)'!E496</f>
        <v>fact</v>
      </c>
      <c r="N496" s="1" t="n">
        <f aca="false">IF(OR(M496="friction",M496="need",M496="workaround"),1,0)</f>
        <v>0</v>
      </c>
      <c r="O496" s="1" t="n">
        <f aca="false">IF(COUNTIFS($K$2:K496,K496,$L$2:L496,L496,$M$2:M496,M496,$J$2:J496,J496)=1,1,0)</f>
        <v>1</v>
      </c>
      <c r="P496" s="1" t="n">
        <f aca="false">IF(AND(N496=1,S496=1,COUNTIFS($L$2:L496,L496,$J$2:J496,J496,$N$2:N496,1,$S$2:S496,1)=1),1,0)</f>
        <v>0</v>
      </c>
      <c r="Q496" s="1" t="n">
        <f aca="false">IF(AND(N496=1,S496=1,COUNTIFS($L$2:L496,L496,$K$2:K496,K496,$N$2:N496,1,$S$2:S496,1)=1),1,0)</f>
        <v>0</v>
      </c>
      <c r="R496" s="1" t="n">
        <f aca="false">IF(AND(N496=1,COUNTIFS($K$2:K496,K496,$L$2:L496,L496,$J$2:J496,J496,$N$2:N496,1)=1),1,0)</f>
        <v>0</v>
      </c>
      <c r="S496" s="1" t="n">
        <f aca="false">IF(AND(K496&lt;&gt;"Context and provider model",K496&lt;&gt;"Motivation"),1,0)</f>
        <v>1</v>
      </c>
    </row>
    <row r="497" customFormat="false" ht="15" hidden="false" customHeight="true" outlineLevel="0" collapsed="false">
      <c r="J497" s="1" t="str">
        <f aca="false">'Raw Atomic Data (Pro)'!A497</f>
        <v>Becky</v>
      </c>
      <c r="K497" s="1" t="str">
        <f aca="false">'Raw Atomic Data (Pro)'!C497</f>
        <v>Service delivery</v>
      </c>
      <c r="L497" s="1" t="str">
        <f aca="false">'Raw Atomic Data (Pro)'!D497</f>
        <v>in-sit-updates-media</v>
      </c>
      <c r="M497" s="1" t="str">
        <f aca="false">'Raw Atomic Data (Pro)'!E497</f>
        <v>value-statement</v>
      </c>
      <c r="N497" s="1" t="n">
        <f aca="false">IF(OR(M497="friction",M497="need",M497="workaround"),1,0)</f>
        <v>0</v>
      </c>
      <c r="O497" s="1" t="n">
        <f aca="false">IF(COUNTIFS($K$2:K497,K497,$L$2:L497,L497,$M$2:M497,M497,$J$2:J497,J497)=1,1,0)</f>
        <v>1</v>
      </c>
      <c r="P497" s="1" t="n">
        <f aca="false">IF(AND(N497=1,S497=1,COUNTIFS($L$2:L497,L497,$J$2:J497,J497,$N$2:N497,1,$S$2:S497,1)=1),1,0)</f>
        <v>0</v>
      </c>
      <c r="Q497" s="1" t="n">
        <f aca="false">IF(AND(N497=1,S497=1,COUNTIFS($L$2:L497,L497,$K$2:K497,K497,$N$2:N497,1,$S$2:S497,1)=1),1,0)</f>
        <v>0</v>
      </c>
      <c r="R497" s="1" t="n">
        <f aca="false">IF(AND(N497=1,COUNTIFS($K$2:K497,K497,$L$2:L497,L497,$J$2:J497,J497,$N$2:N497,1)=1),1,0)</f>
        <v>0</v>
      </c>
      <c r="S497" s="1" t="n">
        <f aca="false">IF(AND(K497&lt;&gt;"Context and provider model",K497&lt;&gt;"Motivation"),1,0)</f>
        <v>1</v>
      </c>
    </row>
    <row r="498" customFormat="false" ht="15" hidden="false" customHeight="true" outlineLevel="0" collapsed="false">
      <c r="J498" s="1" t="str">
        <f aca="false">'Raw Atomic Data (Pro)'!A498</f>
        <v>Becky</v>
      </c>
      <c r="K498" s="1" t="str">
        <f aca="false">'Raw Atomic Data (Pro)'!C498</f>
        <v>Service delivery</v>
      </c>
      <c r="L498" s="1" t="str">
        <f aca="false">'Raw Atomic Data (Pro)'!D498</f>
        <v>in-sit-updates-media</v>
      </c>
      <c r="M498" s="1" t="str">
        <f aca="false">'Raw Atomic Data (Pro)'!E498</f>
        <v>fact</v>
      </c>
      <c r="N498" s="1" t="n">
        <f aca="false">IF(OR(M498="friction",M498="need",M498="workaround"),1,0)</f>
        <v>0</v>
      </c>
      <c r="O498" s="1" t="n">
        <f aca="false">IF(COUNTIFS($K$2:K498,K498,$L$2:L498,L498,$M$2:M498,M498,$J$2:J498,J498)=1,1,0)</f>
        <v>0</v>
      </c>
      <c r="P498" s="1" t="n">
        <f aca="false">IF(AND(N498=1,S498=1,COUNTIFS($L$2:L498,L498,$J$2:J498,J498,$N$2:N498,1,$S$2:S498,1)=1),1,0)</f>
        <v>0</v>
      </c>
      <c r="Q498" s="1" t="n">
        <f aca="false">IF(AND(N498=1,S498=1,COUNTIFS($L$2:L498,L498,$K$2:K498,K498,$N$2:N498,1,$S$2:S498,1)=1),1,0)</f>
        <v>0</v>
      </c>
      <c r="R498" s="1" t="n">
        <f aca="false">IF(AND(N498=1,COUNTIFS($K$2:K498,K498,$L$2:L498,L498,$J$2:J498,J498,$N$2:N498,1)=1),1,0)</f>
        <v>0</v>
      </c>
      <c r="S498" s="1" t="n">
        <f aca="false">IF(AND(K498&lt;&gt;"Context and provider model",K498&lt;&gt;"Motivation"),1,0)</f>
        <v>1</v>
      </c>
    </row>
    <row r="499" customFormat="false" ht="15" hidden="false" customHeight="true" outlineLevel="0" collapsed="false">
      <c r="J499" s="1" t="str">
        <f aca="false">'Raw Atomic Data (Pro)'!A499</f>
        <v>Becky</v>
      </c>
      <c r="K499" s="1" t="str">
        <f aca="false">'Raw Atomic Data (Pro)'!C499</f>
        <v>Service delivery</v>
      </c>
      <c r="L499" s="1" t="str">
        <f aca="false">'Raw Atomic Data (Pro)'!D499</f>
        <v>in-sit-updates-media</v>
      </c>
      <c r="M499" s="1" t="str">
        <f aca="false">'Raw Atomic Data (Pro)'!E499</f>
        <v>friction</v>
      </c>
      <c r="N499" s="1" t="n">
        <f aca="false">IF(OR(M499="friction",M499="need",M499="workaround"),1,0)</f>
        <v>1</v>
      </c>
      <c r="O499" s="1" t="n">
        <f aca="false">IF(COUNTIFS($K$2:K499,K499,$L$2:L499,L499,$M$2:M499,M499,$J$2:J499,J499)=1,1,0)</f>
        <v>1</v>
      </c>
      <c r="P499" s="1" t="n">
        <f aca="false">IF(AND(N499=1,S499=1,COUNTIFS($L$2:L499,L499,$J$2:J499,J499,$N$2:N499,1,$S$2:S499,1)=1),1,0)</f>
        <v>1</v>
      </c>
      <c r="Q499" s="1" t="n">
        <f aca="false">IF(AND(N499=1,S499=1,COUNTIFS($L$2:L499,L499,$K$2:K499,K499,$N$2:N499,1,$S$2:S499,1)=1),1,0)</f>
        <v>0</v>
      </c>
      <c r="R499" s="1" t="n">
        <f aca="false">IF(AND(N499=1,COUNTIFS($K$2:K499,K499,$L$2:L499,L499,$J$2:J499,J499,$N$2:N499,1)=1),1,0)</f>
        <v>1</v>
      </c>
      <c r="S499" s="1" t="n">
        <f aca="false">IF(AND(K499&lt;&gt;"Context and provider model",K499&lt;&gt;"Motivation"),1,0)</f>
        <v>1</v>
      </c>
    </row>
    <row r="500" customFormat="false" ht="15" hidden="false" customHeight="true" outlineLevel="0" collapsed="false">
      <c r="J500" s="1" t="str">
        <f aca="false">'Raw Atomic Data (Pro)'!A500</f>
        <v>Becky</v>
      </c>
      <c r="K500" s="1" t="str">
        <f aca="false">'Raw Atomic Data (Pro)'!C500</f>
        <v>Service delivery</v>
      </c>
      <c r="L500" s="1" t="str">
        <f aca="false">'Raw Atomic Data (Pro)'!D500</f>
        <v>in-sit-updates-media</v>
      </c>
      <c r="M500" s="1" t="str">
        <f aca="false">'Raw Atomic Data (Pro)'!E500</f>
        <v>workaround</v>
      </c>
      <c r="N500" s="1" t="n">
        <f aca="false">IF(OR(M500="friction",M500="need",M500="workaround"),1,0)</f>
        <v>1</v>
      </c>
      <c r="O500" s="1" t="n">
        <f aca="false">IF(COUNTIFS($K$2:K500,K500,$L$2:L500,L500,$M$2:M500,M500,$J$2:J500,J500)=1,1,0)</f>
        <v>1</v>
      </c>
      <c r="P500" s="1" t="n">
        <f aca="false">IF(AND(N500=1,S500=1,COUNTIFS($L$2:L500,L500,$J$2:J500,J500,$N$2:N500,1,$S$2:S500,1)=1),1,0)</f>
        <v>0</v>
      </c>
      <c r="Q500" s="1" t="n">
        <f aca="false">IF(AND(N500=1,S500=1,COUNTIFS($L$2:L500,L500,$K$2:K500,K500,$N$2:N500,1,$S$2:S500,1)=1),1,0)</f>
        <v>0</v>
      </c>
      <c r="R500" s="1" t="n">
        <f aca="false">IF(AND(N500=1,COUNTIFS($K$2:K500,K500,$L$2:L500,L500,$J$2:J500,J500,$N$2:N500,1)=1),1,0)</f>
        <v>0</v>
      </c>
      <c r="S500" s="1" t="n">
        <f aca="false">IF(AND(K500&lt;&gt;"Context and provider model",K500&lt;&gt;"Motivation"),1,0)</f>
        <v>1</v>
      </c>
    </row>
    <row r="501" customFormat="false" ht="15" hidden="false" customHeight="true" outlineLevel="0" collapsed="false">
      <c r="J501" s="1" t="str">
        <f aca="false">'Raw Atomic Data (Pro)'!A501</f>
        <v>Becky</v>
      </c>
      <c r="K501" s="1" t="str">
        <f aca="false">'Raw Atomic Data (Pro)'!C501</f>
        <v>Service delivery</v>
      </c>
      <c r="L501" s="1" t="str">
        <f aca="false">'Raw Atomic Data (Pro)'!D501</f>
        <v>in-sit-updates-media</v>
      </c>
      <c r="M501" s="1" t="str">
        <f aca="false">'Raw Atomic Data (Pro)'!E501</f>
        <v>fact</v>
      </c>
      <c r="N501" s="1" t="n">
        <f aca="false">IF(OR(M501="friction",M501="need",M501="workaround"),1,0)</f>
        <v>0</v>
      </c>
      <c r="O501" s="1" t="n">
        <f aca="false">IF(COUNTIFS($K$2:K501,K501,$L$2:L501,L501,$M$2:M501,M501,$J$2:J501,J501)=1,1,0)</f>
        <v>0</v>
      </c>
      <c r="P501" s="1" t="n">
        <f aca="false">IF(AND(N501=1,S501=1,COUNTIFS($L$2:L501,L501,$J$2:J501,J501,$N$2:N501,1,$S$2:S501,1)=1),1,0)</f>
        <v>0</v>
      </c>
      <c r="Q501" s="1" t="n">
        <f aca="false">IF(AND(N501=1,S501=1,COUNTIFS($L$2:L501,L501,$K$2:K501,K501,$N$2:N501,1,$S$2:S501,1)=1),1,0)</f>
        <v>0</v>
      </c>
      <c r="R501" s="1" t="n">
        <f aca="false">IF(AND(N501=1,COUNTIFS($K$2:K501,K501,$L$2:L501,L501,$J$2:J501,J501,$N$2:N501,1)=1),1,0)</f>
        <v>0</v>
      </c>
      <c r="S501" s="1" t="n">
        <f aca="false">IF(AND(K501&lt;&gt;"Context and provider model",K501&lt;&gt;"Motivation"),1,0)</f>
        <v>1</v>
      </c>
    </row>
    <row r="502" customFormat="false" ht="15" hidden="false" customHeight="true" outlineLevel="0" collapsed="false">
      <c r="J502" s="1" t="str">
        <f aca="false">'Raw Atomic Data (Pro)'!A502</f>
        <v>Bruna</v>
      </c>
      <c r="K502" s="1" t="str">
        <f aca="false">'Raw Atomic Data (Pro)'!C502</f>
        <v>Service delivery</v>
      </c>
      <c r="L502" s="1" t="str">
        <f aca="false">'Raw Atomic Data (Pro)'!D502</f>
        <v>in-sit-updates-media</v>
      </c>
      <c r="M502" s="1" t="str">
        <f aca="false">'Raw Atomic Data (Pro)'!E502</f>
        <v>fact</v>
      </c>
      <c r="N502" s="1" t="n">
        <f aca="false">IF(OR(M502="friction",M502="need",M502="workaround"),1,0)</f>
        <v>0</v>
      </c>
      <c r="O502" s="1" t="n">
        <f aca="false">IF(COUNTIFS($K$2:K502,K502,$L$2:L502,L502,$M$2:M502,M502,$J$2:J502,J502)=1,1,0)</f>
        <v>1</v>
      </c>
      <c r="P502" s="1" t="n">
        <f aca="false">IF(AND(N502=1,S502=1,COUNTIFS($L$2:L502,L502,$J$2:J502,J502,$N$2:N502,1,$S$2:S502,1)=1),1,0)</f>
        <v>0</v>
      </c>
      <c r="Q502" s="1" t="n">
        <f aca="false">IF(AND(N502=1,S502=1,COUNTIFS($L$2:L502,L502,$K$2:K502,K502,$N$2:N502,1,$S$2:S502,1)=1),1,0)</f>
        <v>0</v>
      </c>
      <c r="R502" s="1" t="n">
        <f aca="false">IF(AND(N502=1,COUNTIFS($K$2:K502,K502,$L$2:L502,L502,$J$2:J502,J502,$N$2:N502,1)=1),1,0)</f>
        <v>0</v>
      </c>
      <c r="S502" s="1" t="n">
        <f aca="false">IF(AND(K502&lt;&gt;"Context and provider model",K502&lt;&gt;"Motivation"),1,0)</f>
        <v>1</v>
      </c>
    </row>
    <row r="503" customFormat="false" ht="15" hidden="false" customHeight="true" outlineLevel="0" collapsed="false">
      <c r="J503" s="1" t="str">
        <f aca="false">'Raw Atomic Data (Pro)'!A503</f>
        <v>Bruna</v>
      </c>
      <c r="K503" s="1" t="str">
        <f aca="false">'Raw Atomic Data (Pro)'!C503</f>
        <v>Service delivery</v>
      </c>
      <c r="L503" s="1" t="str">
        <f aca="false">'Raw Atomic Data (Pro)'!D503</f>
        <v>safety-risk-incidents</v>
      </c>
      <c r="M503" s="1" t="str">
        <f aca="false">'Raw Atomic Data (Pro)'!E503</f>
        <v>friction</v>
      </c>
      <c r="N503" s="1" t="n">
        <f aca="false">IF(OR(M503="friction",M503="need",M503="workaround"),1,0)</f>
        <v>1</v>
      </c>
      <c r="O503" s="1" t="n">
        <f aca="false">IF(COUNTIFS($K$2:K503,K503,$L$2:L503,L503,$M$2:M503,M503,$J$2:J503,J503)=1,1,0)</f>
        <v>1</v>
      </c>
      <c r="P503" s="1" t="n">
        <f aca="false">IF(AND(N503=1,S503=1,COUNTIFS($L$2:L503,L503,$J$2:J503,J503,$N$2:N503,1,$S$2:S503,1)=1),1,0)</f>
        <v>1</v>
      </c>
      <c r="Q503" s="1" t="n">
        <f aca="false">IF(AND(N503=1,S503=1,COUNTIFS($L$2:L503,L503,$K$2:K503,K503,$N$2:N503,1,$S$2:S503,1)=1),1,0)</f>
        <v>1</v>
      </c>
      <c r="R503" s="1" t="n">
        <f aca="false">IF(AND(N503=1,COUNTIFS($K$2:K503,K503,$L$2:L503,L503,$J$2:J503,J503,$N$2:N503,1)=1),1,0)</f>
        <v>1</v>
      </c>
      <c r="S503" s="1" t="n">
        <f aca="false">IF(AND(K503&lt;&gt;"Context and provider model",K503&lt;&gt;"Motivation"),1,0)</f>
        <v>1</v>
      </c>
    </row>
    <row r="504" customFormat="false" ht="15" hidden="false" customHeight="true" outlineLevel="0" collapsed="false">
      <c r="J504" s="1" t="str">
        <f aca="false">'Raw Atomic Data (Pro)'!A504</f>
        <v>Bruna</v>
      </c>
      <c r="K504" s="1" t="str">
        <f aca="false">'Raw Atomic Data (Pro)'!C504</f>
        <v>Service delivery</v>
      </c>
      <c r="L504" s="1" t="str">
        <f aca="false">'Raw Atomic Data (Pro)'!D504</f>
        <v>sitter-support-resources</v>
      </c>
      <c r="M504" s="1" t="str">
        <f aca="false">'Raw Atomic Data (Pro)'!E504</f>
        <v>friction</v>
      </c>
      <c r="N504" s="1" t="n">
        <f aca="false">IF(OR(M504="friction",M504="need",M504="workaround"),1,0)</f>
        <v>1</v>
      </c>
      <c r="O504" s="1" t="n">
        <f aca="false">IF(COUNTIFS($K$2:K504,K504,$L$2:L504,L504,$M$2:M504,M504,$J$2:J504,J504)=1,1,0)</f>
        <v>1</v>
      </c>
      <c r="P504" s="1" t="n">
        <f aca="false">IF(AND(N504=1,S504=1,COUNTIFS($L$2:L504,L504,$J$2:J504,J504,$N$2:N504,1,$S$2:S504,1)=1),1,0)</f>
        <v>1</v>
      </c>
      <c r="Q504" s="1" t="n">
        <f aca="false">IF(AND(N504=1,S504=1,COUNTIFS($L$2:L504,L504,$K$2:K504,K504,$N$2:N504,1,$S$2:S504,1)=1),1,0)</f>
        <v>1</v>
      </c>
      <c r="R504" s="1" t="n">
        <f aca="false">IF(AND(N504=1,COUNTIFS($K$2:K504,K504,$L$2:L504,L504,$J$2:J504,J504,$N$2:N504,1)=1),1,0)</f>
        <v>1</v>
      </c>
      <c r="S504" s="1" t="n">
        <f aca="false">IF(AND(K504&lt;&gt;"Context and provider model",K504&lt;&gt;"Motivation"),1,0)</f>
        <v>1</v>
      </c>
    </row>
    <row r="505" customFormat="false" ht="15" hidden="false" customHeight="true" outlineLevel="0" collapsed="false">
      <c r="J505" s="1" t="str">
        <f aca="false">'Raw Atomic Data (Pro)'!A505</f>
        <v>Bruna</v>
      </c>
      <c r="K505" s="1" t="str">
        <f aca="false">'Raw Atomic Data (Pro)'!C505</f>
        <v>Service delivery</v>
      </c>
      <c r="L505" s="1" t="str">
        <f aca="false">'Raw Atomic Data (Pro)'!D505</f>
        <v>sitter-support-resources</v>
      </c>
      <c r="M505" s="1" t="str">
        <f aca="false">'Raw Atomic Data (Pro)'!E505</f>
        <v>need</v>
      </c>
      <c r="N505" s="1" t="n">
        <f aca="false">IF(OR(M505="friction",M505="need",M505="workaround"),1,0)</f>
        <v>1</v>
      </c>
      <c r="O505" s="1" t="n">
        <f aca="false">IF(COUNTIFS($K$2:K505,K505,$L$2:L505,L505,$M$2:M505,M505,$J$2:J505,J505)=1,1,0)</f>
        <v>1</v>
      </c>
      <c r="P505" s="1" t="n">
        <f aca="false">IF(AND(N505=1,S505=1,COUNTIFS($L$2:L505,L505,$J$2:J505,J505,$N$2:N505,1,$S$2:S505,1)=1),1,0)</f>
        <v>0</v>
      </c>
      <c r="Q505" s="1" t="n">
        <f aca="false">IF(AND(N505=1,S505=1,COUNTIFS($L$2:L505,L505,$K$2:K505,K505,$N$2:N505,1,$S$2:S505,1)=1),1,0)</f>
        <v>0</v>
      </c>
      <c r="R505" s="1" t="n">
        <f aca="false">IF(AND(N505=1,COUNTIFS($K$2:K505,K505,$L$2:L505,L505,$J$2:J505,J505,$N$2:N505,1)=1),1,0)</f>
        <v>0</v>
      </c>
      <c r="S505" s="1" t="n">
        <f aca="false">IF(AND(K505&lt;&gt;"Context and provider model",K505&lt;&gt;"Motivation"),1,0)</f>
        <v>1</v>
      </c>
    </row>
    <row r="506" customFormat="false" ht="15" hidden="false" customHeight="true" outlineLevel="0" collapsed="false">
      <c r="J506" s="1" t="str">
        <f aca="false">'Raw Atomic Data (Pro)'!A506</f>
        <v>Bruna</v>
      </c>
      <c r="K506" s="1" t="str">
        <f aca="false">'Raw Atomic Data (Pro)'!C506</f>
        <v>Service delivery</v>
      </c>
      <c r="L506" s="1" t="str">
        <f aca="false">'Raw Atomic Data (Pro)'!D506</f>
        <v>safety-risk-incidents</v>
      </c>
      <c r="M506" s="1" t="str">
        <f aca="false">'Raw Atomic Data (Pro)'!E506</f>
        <v>fact</v>
      </c>
      <c r="N506" s="1" t="n">
        <f aca="false">IF(OR(M506="friction",M506="need",M506="workaround"),1,0)</f>
        <v>0</v>
      </c>
      <c r="O506" s="1" t="n">
        <f aca="false">IF(COUNTIFS($K$2:K506,K506,$L$2:L506,L506,$M$2:M506,M506,$J$2:J506,J506)=1,1,0)</f>
        <v>1</v>
      </c>
      <c r="P506" s="1" t="n">
        <f aca="false">IF(AND(N506=1,S506=1,COUNTIFS($L$2:L506,L506,$J$2:J506,J506,$N$2:N506,1,$S$2:S506,1)=1),1,0)</f>
        <v>0</v>
      </c>
      <c r="Q506" s="1" t="n">
        <f aca="false">IF(AND(N506=1,S506=1,COUNTIFS($L$2:L506,L506,$K$2:K506,K506,$N$2:N506,1,$S$2:S506,1)=1),1,0)</f>
        <v>0</v>
      </c>
      <c r="R506" s="1" t="n">
        <f aca="false">IF(AND(N506=1,COUNTIFS($K$2:K506,K506,$L$2:L506,L506,$J$2:J506,J506,$N$2:N506,1)=1),1,0)</f>
        <v>0</v>
      </c>
      <c r="S506" s="1" t="n">
        <f aca="false">IF(AND(K506&lt;&gt;"Context and provider model",K506&lt;&gt;"Motivation"),1,0)</f>
        <v>1</v>
      </c>
    </row>
    <row r="507" customFormat="false" ht="15" hidden="false" customHeight="true" outlineLevel="0" collapsed="false">
      <c r="J507" s="1" t="str">
        <f aca="false">'Raw Atomic Data (Pro)'!A507</f>
        <v>Bruna</v>
      </c>
      <c r="K507" s="1" t="str">
        <f aca="false">'Raw Atomic Data (Pro)'!C507</f>
        <v>Service delivery</v>
      </c>
      <c r="L507" s="1" t="str">
        <f aca="false">'Raw Atomic Data (Pro)'!D507</f>
        <v>messaging-platform-mechanics</v>
      </c>
      <c r="M507" s="1" t="str">
        <f aca="false">'Raw Atomic Data (Pro)'!E507</f>
        <v>value-statement</v>
      </c>
      <c r="N507" s="1" t="n">
        <f aca="false">IF(OR(M507="friction",M507="need",M507="workaround"),1,0)</f>
        <v>0</v>
      </c>
      <c r="O507" s="1" t="n">
        <f aca="false">IF(COUNTIFS($K$2:K507,K507,$L$2:L507,L507,$M$2:M507,M507,$J$2:J507,J507)=1,1,0)</f>
        <v>1</v>
      </c>
      <c r="P507" s="1" t="n">
        <f aca="false">IF(AND(N507=1,S507=1,COUNTIFS($L$2:L507,L507,$J$2:J507,J507,$N$2:N507,1,$S$2:S507,1)=1),1,0)</f>
        <v>0</v>
      </c>
      <c r="Q507" s="1" t="n">
        <f aca="false">IF(AND(N507=1,S507=1,COUNTIFS($L$2:L507,L507,$K$2:K507,K507,$N$2:N507,1,$S$2:S507,1)=1),1,0)</f>
        <v>0</v>
      </c>
      <c r="R507" s="1" t="n">
        <f aca="false">IF(AND(N507=1,COUNTIFS($K$2:K507,K507,$L$2:L507,L507,$J$2:J507,J507,$N$2:N507,1)=1),1,0)</f>
        <v>0</v>
      </c>
      <c r="S507" s="1" t="n">
        <f aca="false">IF(AND(K507&lt;&gt;"Context and provider model",K507&lt;&gt;"Motivation"),1,0)</f>
        <v>1</v>
      </c>
    </row>
    <row r="508" customFormat="false" ht="15" hidden="false" customHeight="true" outlineLevel="0" collapsed="false">
      <c r="J508" s="1" t="str">
        <f aca="false">'Raw Atomic Data (Pro)'!A508</f>
        <v>Colin</v>
      </c>
      <c r="K508" s="1" t="str">
        <f aca="false">'Raw Atomic Data (Pro)'!C508</f>
        <v>Service delivery</v>
      </c>
      <c r="L508" s="1" t="str">
        <f aca="false">'Raw Atomic Data (Pro)'!D508</f>
        <v>daily-care-tasks</v>
      </c>
      <c r="M508" s="1" t="str">
        <f aca="false">'Raw Atomic Data (Pro)'!E508</f>
        <v>fact</v>
      </c>
      <c r="N508" s="1" t="n">
        <f aca="false">IF(OR(M508="friction",M508="need",M508="workaround"),1,0)</f>
        <v>0</v>
      </c>
      <c r="O508" s="1" t="n">
        <f aca="false">IF(COUNTIFS($K$2:K508,K508,$L$2:L508,L508,$M$2:M508,M508,$J$2:J508,J508)=1,1,0)</f>
        <v>1</v>
      </c>
      <c r="P508" s="1" t="n">
        <f aca="false">IF(AND(N508=1,S508=1,COUNTIFS($L$2:L508,L508,$J$2:J508,J508,$N$2:N508,1,$S$2:S508,1)=1),1,0)</f>
        <v>0</v>
      </c>
      <c r="Q508" s="1" t="n">
        <f aca="false">IF(AND(N508=1,S508=1,COUNTIFS($L$2:L508,L508,$K$2:K508,K508,$N$2:N508,1,$S$2:S508,1)=1),1,0)</f>
        <v>0</v>
      </c>
      <c r="R508" s="1" t="n">
        <f aca="false">IF(AND(N508=1,COUNTIFS($K$2:K508,K508,$L$2:L508,L508,$J$2:J508,J508,$N$2:N508,1)=1),1,0)</f>
        <v>0</v>
      </c>
      <c r="S508" s="1" t="n">
        <f aca="false">IF(AND(K508&lt;&gt;"Context and provider model",K508&lt;&gt;"Motivation"),1,0)</f>
        <v>1</v>
      </c>
    </row>
    <row r="509" customFormat="false" ht="15" hidden="false" customHeight="true" outlineLevel="0" collapsed="false">
      <c r="J509" s="1" t="str">
        <f aca="false">'Raw Atomic Data (Pro)'!A509</f>
        <v>Colin</v>
      </c>
      <c r="K509" s="1" t="str">
        <f aca="false">'Raw Atomic Data (Pro)'!C509</f>
        <v>Service delivery</v>
      </c>
      <c r="L509" s="1" t="str">
        <f aca="false">'Raw Atomic Data (Pro)'!D509</f>
        <v>in-sit-updates-media</v>
      </c>
      <c r="M509" s="1" t="str">
        <f aca="false">'Raw Atomic Data (Pro)'!E509</f>
        <v>fact</v>
      </c>
      <c r="N509" s="1" t="n">
        <f aca="false">IF(OR(M509="friction",M509="need",M509="workaround"),1,0)</f>
        <v>0</v>
      </c>
      <c r="O509" s="1" t="n">
        <f aca="false">IF(COUNTIFS($K$2:K509,K509,$L$2:L509,L509,$M$2:M509,M509,$J$2:J509,J509)=1,1,0)</f>
        <v>1</v>
      </c>
      <c r="P509" s="1" t="n">
        <f aca="false">IF(AND(N509=1,S509=1,COUNTIFS($L$2:L509,L509,$J$2:J509,J509,$N$2:N509,1,$S$2:S509,1)=1),1,0)</f>
        <v>0</v>
      </c>
      <c r="Q509" s="1" t="n">
        <f aca="false">IF(AND(N509=1,S509=1,COUNTIFS($L$2:L509,L509,$K$2:K509,K509,$N$2:N509,1,$S$2:S509,1)=1),1,0)</f>
        <v>0</v>
      </c>
      <c r="R509" s="1" t="n">
        <f aca="false">IF(AND(N509=1,COUNTIFS($K$2:K509,K509,$L$2:L509,L509,$J$2:J509,J509,$N$2:N509,1)=1),1,0)</f>
        <v>0</v>
      </c>
      <c r="S509" s="1" t="n">
        <f aca="false">IF(AND(K509&lt;&gt;"Context and provider model",K509&lt;&gt;"Motivation"),1,0)</f>
        <v>1</v>
      </c>
    </row>
    <row r="510" customFormat="false" ht="15" hidden="false" customHeight="true" outlineLevel="0" collapsed="false">
      <c r="J510" s="1" t="str">
        <f aca="false">'Raw Atomic Data (Pro)'!A510</f>
        <v>Colin</v>
      </c>
      <c r="K510" s="1" t="str">
        <f aca="false">'Raw Atomic Data (Pro)'!C510</f>
        <v>Service delivery</v>
      </c>
      <c r="L510" s="1" t="str">
        <f aca="false">'Raw Atomic Data (Pro)'!D510</f>
        <v>in-sit-updates-media</v>
      </c>
      <c r="M510" s="1" t="str">
        <f aca="false">'Raw Atomic Data (Pro)'!E510</f>
        <v>fact</v>
      </c>
      <c r="N510" s="1" t="n">
        <f aca="false">IF(OR(M510="friction",M510="need",M510="workaround"),1,0)</f>
        <v>0</v>
      </c>
      <c r="O510" s="1" t="n">
        <f aca="false">IF(COUNTIFS($K$2:K510,K510,$L$2:L510,L510,$M$2:M510,M510,$J$2:J510,J510)=1,1,0)</f>
        <v>0</v>
      </c>
      <c r="P510" s="1" t="n">
        <f aca="false">IF(AND(N510=1,S510=1,COUNTIFS($L$2:L510,L510,$J$2:J510,J510,$N$2:N510,1,$S$2:S510,1)=1),1,0)</f>
        <v>0</v>
      </c>
      <c r="Q510" s="1" t="n">
        <f aca="false">IF(AND(N510=1,S510=1,COUNTIFS($L$2:L510,L510,$K$2:K510,K510,$N$2:N510,1,$S$2:S510,1)=1),1,0)</f>
        <v>0</v>
      </c>
      <c r="R510" s="1" t="n">
        <f aca="false">IF(AND(N510=1,COUNTIFS($K$2:K510,K510,$L$2:L510,L510,$J$2:J510,J510,$N$2:N510,1)=1),1,0)</f>
        <v>0</v>
      </c>
      <c r="S510" s="1" t="n">
        <f aca="false">IF(AND(K510&lt;&gt;"Context and provider model",K510&lt;&gt;"Motivation"),1,0)</f>
        <v>1</v>
      </c>
    </row>
    <row r="511" customFormat="false" ht="15" hidden="false" customHeight="true" outlineLevel="0" collapsed="false">
      <c r="J511" s="1" t="str">
        <f aca="false">'Raw Atomic Data (Pro)'!A511</f>
        <v>Colin</v>
      </c>
      <c r="K511" s="1" t="str">
        <f aca="false">'Raw Atomic Data (Pro)'!C511</f>
        <v>Service delivery</v>
      </c>
      <c r="L511" s="1" t="str">
        <f aca="false">'Raw Atomic Data (Pro)'!D511</f>
        <v>in-sit-updates-media</v>
      </c>
      <c r="M511" s="1" t="str">
        <f aca="false">'Raw Atomic Data (Pro)'!E511</f>
        <v>fact</v>
      </c>
      <c r="N511" s="1" t="n">
        <f aca="false">IF(OR(M511="friction",M511="need",M511="workaround"),1,0)</f>
        <v>0</v>
      </c>
      <c r="O511" s="1" t="n">
        <f aca="false">IF(COUNTIFS($K$2:K511,K511,$L$2:L511,L511,$M$2:M511,M511,$J$2:J511,J511)=1,1,0)</f>
        <v>0</v>
      </c>
      <c r="P511" s="1" t="n">
        <f aca="false">IF(AND(N511=1,S511=1,COUNTIFS($L$2:L511,L511,$J$2:J511,J511,$N$2:N511,1,$S$2:S511,1)=1),1,0)</f>
        <v>0</v>
      </c>
      <c r="Q511" s="1" t="n">
        <f aca="false">IF(AND(N511=1,S511=1,COUNTIFS($L$2:L511,L511,$K$2:K511,K511,$N$2:N511,1,$S$2:S511,1)=1),1,0)</f>
        <v>0</v>
      </c>
      <c r="R511" s="1" t="n">
        <f aca="false">IF(AND(N511=1,COUNTIFS($K$2:K511,K511,$L$2:L511,L511,$J$2:J511,J511,$N$2:N511,1)=1),1,0)</f>
        <v>0</v>
      </c>
      <c r="S511" s="1" t="n">
        <f aca="false">IF(AND(K511&lt;&gt;"Context and provider model",K511&lt;&gt;"Motivation"),1,0)</f>
        <v>1</v>
      </c>
    </row>
    <row r="512" customFormat="false" ht="15" hidden="false" customHeight="true" outlineLevel="0" collapsed="false">
      <c r="J512" s="1" t="str">
        <f aca="false">'Raw Atomic Data (Pro)'!A512</f>
        <v>Colin</v>
      </c>
      <c r="K512" s="1" t="str">
        <f aca="false">'Raw Atomic Data (Pro)'!C512</f>
        <v>Service delivery</v>
      </c>
      <c r="L512" s="1" t="str">
        <f aca="false">'Raw Atomic Data (Pro)'!D512</f>
        <v>in-sit-updates-media</v>
      </c>
      <c r="M512" s="1" t="str">
        <f aca="false">'Raw Atomic Data (Pro)'!E512</f>
        <v>value-statement</v>
      </c>
      <c r="N512" s="1" t="n">
        <f aca="false">IF(OR(M512="friction",M512="need",M512="workaround"),1,0)</f>
        <v>0</v>
      </c>
      <c r="O512" s="1" t="n">
        <f aca="false">IF(COUNTIFS($K$2:K512,K512,$L$2:L512,L512,$M$2:M512,M512,$J$2:J512,J512)=1,1,0)</f>
        <v>1</v>
      </c>
      <c r="P512" s="1" t="n">
        <f aca="false">IF(AND(N512=1,S512=1,COUNTIFS($L$2:L512,L512,$J$2:J512,J512,$N$2:N512,1,$S$2:S512,1)=1),1,0)</f>
        <v>0</v>
      </c>
      <c r="Q512" s="1" t="n">
        <f aca="false">IF(AND(N512=1,S512=1,COUNTIFS($L$2:L512,L512,$K$2:K512,K512,$N$2:N512,1,$S$2:S512,1)=1),1,0)</f>
        <v>0</v>
      </c>
      <c r="R512" s="1" t="n">
        <f aca="false">IF(AND(N512=1,COUNTIFS($K$2:K512,K512,$L$2:L512,L512,$J$2:J512,J512,$N$2:N512,1)=1),1,0)</f>
        <v>0</v>
      </c>
      <c r="S512" s="1" t="n">
        <f aca="false">IF(AND(K512&lt;&gt;"Context and provider model",K512&lt;&gt;"Motivation"),1,0)</f>
        <v>1</v>
      </c>
    </row>
    <row r="513" customFormat="false" ht="15" hidden="false" customHeight="true" outlineLevel="0" collapsed="false">
      <c r="J513" s="1" t="str">
        <f aca="false">'Raw Atomic Data (Pro)'!A513</f>
        <v>Colin</v>
      </c>
      <c r="K513" s="1" t="str">
        <f aca="false">'Raw Atomic Data (Pro)'!C513</f>
        <v>Service delivery</v>
      </c>
      <c r="L513" s="1" t="str">
        <f aca="false">'Raw Atomic Data (Pro)'!D513</f>
        <v>in-sit-updates-media</v>
      </c>
      <c r="M513" s="1" t="str">
        <f aca="false">'Raw Atomic Data (Pro)'!E513</f>
        <v>fact</v>
      </c>
      <c r="N513" s="1" t="n">
        <f aca="false">IF(OR(M513="friction",M513="need",M513="workaround"),1,0)</f>
        <v>0</v>
      </c>
      <c r="O513" s="1" t="n">
        <f aca="false">IF(COUNTIFS($K$2:K513,K513,$L$2:L513,L513,$M$2:M513,M513,$J$2:J513,J513)=1,1,0)</f>
        <v>0</v>
      </c>
      <c r="P513" s="1" t="n">
        <f aca="false">IF(AND(N513=1,S513=1,COUNTIFS($L$2:L513,L513,$J$2:J513,J513,$N$2:N513,1,$S$2:S513,1)=1),1,0)</f>
        <v>0</v>
      </c>
      <c r="Q513" s="1" t="n">
        <f aca="false">IF(AND(N513=1,S513=1,COUNTIFS($L$2:L513,L513,$K$2:K513,K513,$N$2:N513,1,$S$2:S513,1)=1),1,0)</f>
        <v>0</v>
      </c>
      <c r="R513" s="1" t="n">
        <f aca="false">IF(AND(N513=1,COUNTIFS($K$2:K513,K513,$L$2:L513,L513,$J$2:J513,J513,$N$2:N513,1)=1),1,0)</f>
        <v>0</v>
      </c>
      <c r="S513" s="1" t="n">
        <f aca="false">IF(AND(K513&lt;&gt;"Context and provider model",K513&lt;&gt;"Motivation"),1,0)</f>
        <v>1</v>
      </c>
    </row>
    <row r="514" customFormat="false" ht="15" hidden="false" customHeight="true" outlineLevel="0" collapsed="false">
      <c r="J514" s="1" t="str">
        <f aca="false">'Raw Atomic Data (Pro)'!A514</f>
        <v>Colin</v>
      </c>
      <c r="K514" s="1" t="str">
        <f aca="false">'Raw Atomic Data (Pro)'!C514</f>
        <v>Service delivery</v>
      </c>
      <c r="L514" s="1" t="str">
        <f aca="false">'Raw Atomic Data (Pro)'!D514</f>
        <v>in-sit-updates-media</v>
      </c>
      <c r="M514" s="1" t="str">
        <f aca="false">'Raw Atomic Data (Pro)'!E514</f>
        <v>friction</v>
      </c>
      <c r="N514" s="1" t="n">
        <f aca="false">IF(OR(M514="friction",M514="need",M514="workaround"),1,0)</f>
        <v>1</v>
      </c>
      <c r="O514" s="1" t="n">
        <f aca="false">IF(COUNTIFS($K$2:K514,K514,$L$2:L514,L514,$M$2:M514,M514,$J$2:J514,J514)=1,1,0)</f>
        <v>1</v>
      </c>
      <c r="P514" s="1" t="n">
        <f aca="false">IF(AND(N514=1,S514=1,COUNTIFS($L$2:L514,L514,$J$2:J514,J514,$N$2:N514,1,$S$2:S514,1)=1),1,0)</f>
        <v>1</v>
      </c>
      <c r="Q514" s="1" t="n">
        <f aca="false">IF(AND(N514=1,S514=1,COUNTIFS($L$2:L514,L514,$K$2:K514,K514,$N$2:N514,1,$S$2:S514,1)=1),1,0)</f>
        <v>0</v>
      </c>
      <c r="R514" s="1" t="n">
        <f aca="false">IF(AND(N514=1,COUNTIFS($K$2:K514,K514,$L$2:L514,L514,$J$2:J514,J514,$N$2:N514,1)=1),1,0)</f>
        <v>1</v>
      </c>
      <c r="S514" s="1" t="n">
        <f aca="false">IF(AND(K514&lt;&gt;"Context and provider model",K514&lt;&gt;"Motivation"),1,0)</f>
        <v>1</v>
      </c>
    </row>
    <row r="515" customFormat="false" ht="15" hidden="false" customHeight="true" outlineLevel="0" collapsed="false">
      <c r="J515" s="1" t="str">
        <f aca="false">'Raw Atomic Data (Pro)'!A515</f>
        <v>Dawn</v>
      </c>
      <c r="K515" s="1" t="str">
        <f aca="false">'Raw Atomic Data (Pro)'!C515</f>
        <v>Service delivery</v>
      </c>
      <c r="L515" s="1" t="str">
        <f aca="false">'Raw Atomic Data (Pro)'!D515</f>
        <v>in-sit-updates-media</v>
      </c>
      <c r="M515" s="1" t="str">
        <f aca="false">'Raw Atomic Data (Pro)'!E515</f>
        <v>fact</v>
      </c>
      <c r="N515" s="1" t="n">
        <f aca="false">IF(OR(M515="friction",M515="need",M515="workaround"),1,0)</f>
        <v>0</v>
      </c>
      <c r="O515" s="1" t="n">
        <f aca="false">IF(COUNTIFS($K$2:K515,K515,$L$2:L515,L515,$M$2:M515,M515,$J$2:J515,J515)=1,1,0)</f>
        <v>1</v>
      </c>
      <c r="P515" s="1" t="n">
        <f aca="false">IF(AND(N515=1,S515=1,COUNTIFS($L$2:L515,L515,$J$2:J515,J515,$N$2:N515,1,$S$2:S515,1)=1),1,0)</f>
        <v>0</v>
      </c>
      <c r="Q515" s="1" t="n">
        <f aca="false">IF(AND(N515=1,S515=1,COUNTIFS($L$2:L515,L515,$K$2:K515,K515,$N$2:N515,1,$S$2:S515,1)=1),1,0)</f>
        <v>0</v>
      </c>
      <c r="R515" s="1" t="n">
        <f aca="false">IF(AND(N515=1,COUNTIFS($K$2:K515,K515,$L$2:L515,L515,$J$2:J515,J515,$N$2:N515,1)=1),1,0)</f>
        <v>0</v>
      </c>
      <c r="S515" s="1" t="n">
        <f aca="false">IF(AND(K515&lt;&gt;"Context and provider model",K515&lt;&gt;"Motivation"),1,0)</f>
        <v>1</v>
      </c>
    </row>
    <row r="516" customFormat="false" ht="15" hidden="false" customHeight="true" outlineLevel="0" collapsed="false">
      <c r="J516" s="1" t="str">
        <f aca="false">'Raw Atomic Data (Pro)'!A516</f>
        <v>Dawn</v>
      </c>
      <c r="K516" s="1" t="str">
        <f aca="false">'Raw Atomic Data (Pro)'!C516</f>
        <v>Service delivery</v>
      </c>
      <c r="L516" s="1" t="str">
        <f aca="false">'Raw Atomic Data (Pro)'!D516</f>
        <v>in-sit-updates-media</v>
      </c>
      <c r="M516" s="1" t="str">
        <f aca="false">'Raw Atomic Data (Pro)'!E516</f>
        <v>fact</v>
      </c>
      <c r="N516" s="1" t="n">
        <f aca="false">IF(OR(M516="friction",M516="need",M516="workaround"),1,0)</f>
        <v>0</v>
      </c>
      <c r="O516" s="1" t="n">
        <f aca="false">IF(COUNTIFS($K$2:K516,K516,$L$2:L516,L516,$M$2:M516,M516,$J$2:J516,J516)=1,1,0)</f>
        <v>0</v>
      </c>
      <c r="P516" s="1" t="n">
        <f aca="false">IF(AND(N516=1,S516=1,COUNTIFS($L$2:L516,L516,$J$2:J516,J516,$N$2:N516,1,$S$2:S516,1)=1),1,0)</f>
        <v>0</v>
      </c>
      <c r="Q516" s="1" t="n">
        <f aca="false">IF(AND(N516=1,S516=1,COUNTIFS($L$2:L516,L516,$K$2:K516,K516,$N$2:N516,1,$S$2:S516,1)=1),1,0)</f>
        <v>0</v>
      </c>
      <c r="R516" s="1" t="n">
        <f aca="false">IF(AND(N516=1,COUNTIFS($K$2:K516,K516,$L$2:L516,L516,$J$2:J516,J516,$N$2:N516,1)=1),1,0)</f>
        <v>0</v>
      </c>
      <c r="S516" s="1" t="n">
        <f aca="false">IF(AND(K516&lt;&gt;"Context and provider model",K516&lt;&gt;"Motivation"),1,0)</f>
        <v>1</v>
      </c>
    </row>
    <row r="517" customFormat="false" ht="15" hidden="false" customHeight="true" outlineLevel="0" collapsed="false">
      <c r="J517" s="1" t="str">
        <f aca="false">'Raw Atomic Data (Pro)'!A517</f>
        <v>Erika</v>
      </c>
      <c r="K517" s="1" t="str">
        <f aca="false">'Raw Atomic Data (Pro)'!C517</f>
        <v>Service delivery</v>
      </c>
      <c r="L517" s="1" t="str">
        <f aca="false">'Raw Atomic Data (Pro)'!D517</f>
        <v>daily-care-tasks</v>
      </c>
      <c r="M517" s="1" t="str">
        <f aca="false">'Raw Atomic Data (Pro)'!E517</f>
        <v>fact</v>
      </c>
      <c r="N517" s="1" t="n">
        <f aca="false">IF(OR(M517="friction",M517="need",M517="workaround"),1,0)</f>
        <v>0</v>
      </c>
      <c r="O517" s="1" t="n">
        <f aca="false">IF(COUNTIFS($K$2:K517,K517,$L$2:L517,L517,$M$2:M517,M517,$J$2:J517,J517)=1,1,0)</f>
        <v>1</v>
      </c>
      <c r="P517" s="1" t="n">
        <f aca="false">IF(AND(N517=1,S517=1,COUNTIFS($L$2:L517,L517,$J$2:J517,J517,$N$2:N517,1,$S$2:S517,1)=1),1,0)</f>
        <v>0</v>
      </c>
      <c r="Q517" s="1" t="n">
        <f aca="false">IF(AND(N517=1,S517=1,COUNTIFS($L$2:L517,L517,$K$2:K517,K517,$N$2:N517,1,$S$2:S517,1)=1),1,0)</f>
        <v>0</v>
      </c>
      <c r="R517" s="1" t="n">
        <f aca="false">IF(AND(N517=1,COUNTIFS($K$2:K517,K517,$L$2:L517,L517,$J$2:J517,J517,$N$2:N517,1)=1),1,0)</f>
        <v>0</v>
      </c>
      <c r="S517" s="1" t="n">
        <f aca="false">IF(AND(K517&lt;&gt;"Context and provider model",K517&lt;&gt;"Motivation"),1,0)</f>
        <v>1</v>
      </c>
    </row>
    <row r="518" customFormat="false" ht="15" hidden="false" customHeight="true" outlineLevel="0" collapsed="false">
      <c r="J518" s="1" t="str">
        <f aca="false">'Raw Atomic Data (Pro)'!A518</f>
        <v>Erika</v>
      </c>
      <c r="K518" s="1" t="str">
        <f aca="false">'Raw Atomic Data (Pro)'!C518</f>
        <v>Service delivery</v>
      </c>
      <c r="L518" s="1" t="str">
        <f aca="false">'Raw Atomic Data (Pro)'!D518</f>
        <v>daily-care-tasks</v>
      </c>
      <c r="M518" s="1" t="str">
        <f aca="false">'Raw Atomic Data (Pro)'!E518</f>
        <v>fact</v>
      </c>
      <c r="N518" s="1" t="n">
        <f aca="false">IF(OR(M518="friction",M518="need",M518="workaround"),1,0)</f>
        <v>0</v>
      </c>
      <c r="O518" s="1" t="n">
        <f aca="false">IF(COUNTIFS($K$2:K518,K518,$L$2:L518,L518,$M$2:M518,M518,$J$2:J518,J518)=1,1,0)</f>
        <v>0</v>
      </c>
      <c r="P518" s="1" t="n">
        <f aca="false">IF(AND(N518=1,S518=1,COUNTIFS($L$2:L518,L518,$J$2:J518,J518,$N$2:N518,1,$S$2:S518,1)=1),1,0)</f>
        <v>0</v>
      </c>
      <c r="Q518" s="1" t="n">
        <f aca="false">IF(AND(N518=1,S518=1,COUNTIFS($L$2:L518,L518,$K$2:K518,K518,$N$2:N518,1,$S$2:S518,1)=1),1,0)</f>
        <v>0</v>
      </c>
      <c r="R518" s="1" t="n">
        <f aca="false">IF(AND(N518=1,COUNTIFS($K$2:K518,K518,$L$2:L518,L518,$J$2:J518,J518,$N$2:N518,1)=1),1,0)</f>
        <v>0</v>
      </c>
      <c r="S518" s="1" t="n">
        <f aca="false">IF(AND(K518&lt;&gt;"Context and provider model",K518&lt;&gt;"Motivation"),1,0)</f>
        <v>1</v>
      </c>
    </row>
    <row r="519" customFormat="false" ht="15" hidden="false" customHeight="true" outlineLevel="0" collapsed="false">
      <c r="J519" s="1" t="str">
        <f aca="false">'Raw Atomic Data (Pro)'!A519</f>
        <v>Erika</v>
      </c>
      <c r="K519" s="1" t="str">
        <f aca="false">'Raw Atomic Data (Pro)'!C519</f>
        <v>Service delivery</v>
      </c>
      <c r="L519" s="1" t="str">
        <f aca="false">'Raw Atomic Data (Pro)'!D519</f>
        <v>daily-care-tasks</v>
      </c>
      <c r="M519" s="1" t="str">
        <f aca="false">'Raw Atomic Data (Pro)'!E519</f>
        <v>fact</v>
      </c>
      <c r="N519" s="1" t="n">
        <f aca="false">IF(OR(M519="friction",M519="need",M519="workaround"),1,0)</f>
        <v>0</v>
      </c>
      <c r="O519" s="1" t="n">
        <f aca="false">IF(COUNTIFS($K$2:K519,K519,$L$2:L519,L519,$M$2:M519,M519,$J$2:J519,J519)=1,1,0)</f>
        <v>0</v>
      </c>
      <c r="P519" s="1" t="n">
        <f aca="false">IF(AND(N519=1,S519=1,COUNTIFS($L$2:L519,L519,$J$2:J519,J519,$N$2:N519,1,$S$2:S519,1)=1),1,0)</f>
        <v>0</v>
      </c>
      <c r="Q519" s="1" t="n">
        <f aca="false">IF(AND(N519=1,S519=1,COUNTIFS($L$2:L519,L519,$K$2:K519,K519,$N$2:N519,1,$S$2:S519,1)=1),1,0)</f>
        <v>0</v>
      </c>
      <c r="R519" s="1" t="n">
        <f aca="false">IF(AND(N519=1,COUNTIFS($K$2:K519,K519,$L$2:L519,L519,$J$2:J519,J519,$N$2:N519,1)=1),1,0)</f>
        <v>0</v>
      </c>
      <c r="S519" s="1" t="n">
        <f aca="false">IF(AND(K519&lt;&gt;"Context and provider model",K519&lt;&gt;"Motivation"),1,0)</f>
        <v>1</v>
      </c>
    </row>
    <row r="520" customFormat="false" ht="15" hidden="false" customHeight="true" outlineLevel="0" collapsed="false">
      <c r="J520" s="1" t="str">
        <f aca="false">'Raw Atomic Data (Pro)'!A520</f>
        <v>Erika</v>
      </c>
      <c r="K520" s="1" t="str">
        <f aca="false">'Raw Atomic Data (Pro)'!C520</f>
        <v>Service delivery</v>
      </c>
      <c r="L520" s="1" t="str">
        <f aca="false">'Raw Atomic Data (Pro)'!D520</f>
        <v>daily-care-tasks</v>
      </c>
      <c r="M520" s="1" t="str">
        <f aca="false">'Raw Atomic Data (Pro)'!E520</f>
        <v>fact</v>
      </c>
      <c r="N520" s="1" t="n">
        <f aca="false">IF(OR(M520="friction",M520="need",M520="workaround"),1,0)</f>
        <v>0</v>
      </c>
      <c r="O520" s="1" t="n">
        <f aca="false">IF(COUNTIFS($K$2:K520,K520,$L$2:L520,L520,$M$2:M520,M520,$J$2:J520,J520)=1,1,0)</f>
        <v>0</v>
      </c>
      <c r="P520" s="1" t="n">
        <f aca="false">IF(AND(N520=1,S520=1,COUNTIFS($L$2:L520,L520,$J$2:J520,J520,$N$2:N520,1,$S$2:S520,1)=1),1,0)</f>
        <v>0</v>
      </c>
      <c r="Q520" s="1" t="n">
        <f aca="false">IF(AND(N520=1,S520=1,COUNTIFS($L$2:L520,L520,$K$2:K520,K520,$N$2:N520,1,$S$2:S520,1)=1),1,0)</f>
        <v>0</v>
      </c>
      <c r="R520" s="1" t="n">
        <f aca="false">IF(AND(N520=1,COUNTIFS($K$2:K520,K520,$L$2:L520,L520,$J$2:J520,J520,$N$2:N520,1)=1),1,0)</f>
        <v>0</v>
      </c>
      <c r="S520" s="1" t="n">
        <f aca="false">IF(AND(K520&lt;&gt;"Context and provider model",K520&lt;&gt;"Motivation"),1,0)</f>
        <v>1</v>
      </c>
    </row>
    <row r="521" customFormat="false" ht="15" hidden="false" customHeight="true" outlineLevel="0" collapsed="false">
      <c r="J521" s="1" t="str">
        <f aca="false">'Raw Atomic Data (Pro)'!A521</f>
        <v>Erika</v>
      </c>
      <c r="K521" s="1" t="str">
        <f aca="false">'Raw Atomic Data (Pro)'!C521</f>
        <v>Service delivery</v>
      </c>
      <c r="L521" s="1" t="str">
        <f aca="false">'Raw Atomic Data (Pro)'!D521</f>
        <v>business-model-fit</v>
      </c>
      <c r="M521" s="1" t="str">
        <f aca="false">'Raw Atomic Data (Pro)'!E521</f>
        <v>friction</v>
      </c>
      <c r="N521" s="1" t="n">
        <f aca="false">IF(OR(M521="friction",M521="need",M521="workaround"),1,0)</f>
        <v>1</v>
      </c>
      <c r="O521" s="1" t="n">
        <f aca="false">IF(COUNTIFS($K$2:K521,K521,$L$2:L521,L521,$M$2:M521,M521,$J$2:J521,J521)=1,1,0)</f>
        <v>1</v>
      </c>
      <c r="P521" s="1" t="n">
        <f aca="false">IF(AND(N521=1,S521=1,COUNTIFS($L$2:L521,L521,$J$2:J521,J521,$N$2:N521,1,$S$2:S521,1)=1),1,0)</f>
        <v>1</v>
      </c>
      <c r="Q521" s="1" t="n">
        <f aca="false">IF(AND(N521=1,S521=1,COUNTIFS($L$2:L521,L521,$K$2:K521,K521,$N$2:N521,1,$S$2:S521,1)=1),1,0)</f>
        <v>1</v>
      </c>
      <c r="R521" s="1" t="n">
        <f aca="false">IF(AND(N521=1,COUNTIFS($K$2:K521,K521,$L$2:L521,L521,$J$2:J521,J521,$N$2:N521,1)=1),1,0)</f>
        <v>1</v>
      </c>
      <c r="S521" s="1" t="n">
        <f aca="false">IF(AND(K521&lt;&gt;"Context and provider model",K521&lt;&gt;"Motivation"),1,0)</f>
        <v>1</v>
      </c>
    </row>
    <row r="522" customFormat="false" ht="15" hidden="false" customHeight="true" outlineLevel="0" collapsed="false">
      <c r="J522" s="1" t="str">
        <f aca="false">'Raw Atomic Data (Pro)'!A522</f>
        <v>Kristin</v>
      </c>
      <c r="K522" s="1" t="str">
        <f aca="false">'Raw Atomic Data (Pro)'!C522</f>
        <v>Service delivery</v>
      </c>
      <c r="L522" s="1" t="str">
        <f aca="false">'Raw Atomic Data (Pro)'!D522</f>
        <v>business-model-fit</v>
      </c>
      <c r="M522" s="1" t="str">
        <f aca="false">'Raw Atomic Data (Pro)'!E522</f>
        <v>fact</v>
      </c>
      <c r="N522" s="1" t="n">
        <f aca="false">IF(OR(M522="friction",M522="need",M522="workaround"),1,0)</f>
        <v>0</v>
      </c>
      <c r="O522" s="1" t="n">
        <f aca="false">IF(COUNTIFS($K$2:K522,K522,$L$2:L522,L522,$M$2:M522,M522,$J$2:J522,J522)=1,1,0)</f>
        <v>1</v>
      </c>
      <c r="P522" s="1" t="n">
        <f aca="false">IF(AND(N522=1,S522=1,COUNTIFS($L$2:L522,L522,$J$2:J522,J522,$N$2:N522,1,$S$2:S522,1)=1),1,0)</f>
        <v>0</v>
      </c>
      <c r="Q522" s="1" t="n">
        <f aca="false">IF(AND(N522=1,S522=1,COUNTIFS($L$2:L522,L522,$K$2:K522,K522,$N$2:N522,1,$S$2:S522,1)=1),1,0)</f>
        <v>0</v>
      </c>
      <c r="R522" s="1" t="n">
        <f aca="false">IF(AND(N522=1,COUNTIFS($K$2:K522,K522,$L$2:L522,L522,$J$2:J522,J522,$N$2:N522,1)=1),1,0)</f>
        <v>0</v>
      </c>
      <c r="S522" s="1" t="n">
        <f aca="false">IF(AND(K522&lt;&gt;"Context and provider model",K522&lt;&gt;"Motivation"),1,0)</f>
        <v>1</v>
      </c>
    </row>
    <row r="523" customFormat="false" ht="15" hidden="false" customHeight="true" outlineLevel="0" collapsed="false">
      <c r="J523" s="1" t="str">
        <f aca="false">'Raw Atomic Data (Pro)'!A523</f>
        <v>Kristin</v>
      </c>
      <c r="K523" s="1" t="str">
        <f aca="false">'Raw Atomic Data (Pro)'!C523</f>
        <v>Service delivery</v>
      </c>
      <c r="L523" s="1" t="str">
        <f aca="false">'Raw Atomic Data (Pro)'!D523</f>
        <v>in-sit-updates-media</v>
      </c>
      <c r="M523" s="1" t="str">
        <f aca="false">'Raw Atomic Data (Pro)'!E523</f>
        <v>fact</v>
      </c>
      <c r="N523" s="1" t="n">
        <f aca="false">IF(OR(M523="friction",M523="need",M523="workaround"),1,0)</f>
        <v>0</v>
      </c>
      <c r="O523" s="1" t="n">
        <f aca="false">IF(COUNTIFS($K$2:K523,K523,$L$2:L523,L523,$M$2:M523,M523,$J$2:J523,J523)=1,1,0)</f>
        <v>1</v>
      </c>
      <c r="P523" s="1" t="n">
        <f aca="false">IF(AND(N523=1,S523=1,COUNTIFS($L$2:L523,L523,$J$2:J523,J523,$N$2:N523,1,$S$2:S523,1)=1),1,0)</f>
        <v>0</v>
      </c>
      <c r="Q523" s="1" t="n">
        <f aca="false">IF(AND(N523=1,S523=1,COUNTIFS($L$2:L523,L523,$K$2:K523,K523,$N$2:N523,1,$S$2:S523,1)=1),1,0)</f>
        <v>0</v>
      </c>
      <c r="R523" s="1" t="n">
        <f aca="false">IF(AND(N523=1,COUNTIFS($K$2:K523,K523,$L$2:L523,L523,$J$2:J523,J523,$N$2:N523,1)=1),1,0)</f>
        <v>0</v>
      </c>
      <c r="S523" s="1" t="n">
        <f aca="false">IF(AND(K523&lt;&gt;"Context and provider model",K523&lt;&gt;"Motivation"),1,0)</f>
        <v>1</v>
      </c>
    </row>
    <row r="524" customFormat="false" ht="15" hidden="false" customHeight="true" outlineLevel="0" collapsed="false">
      <c r="J524" s="1" t="str">
        <f aca="false">'Raw Atomic Data (Pro)'!A524</f>
        <v>Kristin</v>
      </c>
      <c r="K524" s="1" t="str">
        <f aca="false">'Raw Atomic Data (Pro)'!C524</f>
        <v>Service delivery</v>
      </c>
      <c r="L524" s="1" t="str">
        <f aca="false">'Raw Atomic Data (Pro)'!D524</f>
        <v>in-sit-updates-media</v>
      </c>
      <c r="M524" s="1" t="str">
        <f aca="false">'Raw Atomic Data (Pro)'!E524</f>
        <v>need</v>
      </c>
      <c r="N524" s="1" t="n">
        <f aca="false">IF(OR(M524="friction",M524="need",M524="workaround"),1,0)</f>
        <v>1</v>
      </c>
      <c r="O524" s="1" t="n">
        <f aca="false">IF(COUNTIFS($K$2:K524,K524,$L$2:L524,L524,$M$2:M524,M524,$J$2:J524,J524)=1,1,0)</f>
        <v>1</v>
      </c>
      <c r="P524" s="1" t="n">
        <f aca="false">IF(AND(N524=1,S524=1,COUNTIFS($L$2:L524,L524,$J$2:J524,J524,$N$2:N524,1,$S$2:S524,1)=1),1,0)</f>
        <v>1</v>
      </c>
      <c r="Q524" s="1" t="n">
        <f aca="false">IF(AND(N524=1,S524=1,COUNTIFS($L$2:L524,L524,$K$2:K524,K524,$N$2:N524,1,$S$2:S524,1)=1),1,0)</f>
        <v>0</v>
      </c>
      <c r="R524" s="1" t="n">
        <f aca="false">IF(AND(N524=1,COUNTIFS($K$2:K524,K524,$L$2:L524,L524,$J$2:J524,J524,$N$2:N524,1)=1),1,0)</f>
        <v>1</v>
      </c>
      <c r="S524" s="1" t="n">
        <f aca="false">IF(AND(K524&lt;&gt;"Context and provider model",K524&lt;&gt;"Motivation"),1,0)</f>
        <v>1</v>
      </c>
    </row>
    <row r="525" customFormat="false" ht="15" hidden="false" customHeight="true" outlineLevel="0" collapsed="false">
      <c r="J525" s="1" t="str">
        <f aca="false">'Raw Atomic Data (Pro)'!A525</f>
        <v>Kristin</v>
      </c>
      <c r="K525" s="1" t="str">
        <f aca="false">'Raw Atomic Data (Pro)'!C525</f>
        <v>Service delivery</v>
      </c>
      <c r="L525" s="1" t="str">
        <f aca="false">'Raw Atomic Data (Pro)'!D525</f>
        <v>safety-risk-incidents</v>
      </c>
      <c r="M525" s="1" t="str">
        <f aca="false">'Raw Atomic Data (Pro)'!E525</f>
        <v>fact</v>
      </c>
      <c r="N525" s="1" t="n">
        <f aca="false">IF(OR(M525="friction",M525="need",M525="workaround"),1,0)</f>
        <v>0</v>
      </c>
      <c r="O525" s="1" t="n">
        <f aca="false">IF(COUNTIFS($K$2:K525,K525,$L$2:L525,L525,$M$2:M525,M525,$J$2:J525,J525)=1,1,0)</f>
        <v>1</v>
      </c>
      <c r="P525" s="1" t="n">
        <f aca="false">IF(AND(N525=1,S525=1,COUNTIFS($L$2:L525,L525,$J$2:J525,J525,$N$2:N525,1,$S$2:S525,1)=1),1,0)</f>
        <v>0</v>
      </c>
      <c r="Q525" s="1" t="n">
        <f aca="false">IF(AND(N525=1,S525=1,COUNTIFS($L$2:L525,L525,$K$2:K525,K525,$N$2:N525,1,$S$2:S525,1)=1),1,0)</f>
        <v>0</v>
      </c>
      <c r="R525" s="1" t="n">
        <f aca="false">IF(AND(N525=1,COUNTIFS($K$2:K525,K525,$L$2:L525,L525,$J$2:J525,J525,$N$2:N525,1)=1),1,0)</f>
        <v>0</v>
      </c>
      <c r="S525" s="1" t="n">
        <f aca="false">IF(AND(K525&lt;&gt;"Context and provider model",K525&lt;&gt;"Motivation"),1,0)</f>
        <v>1</v>
      </c>
    </row>
    <row r="526" customFormat="false" ht="15" hidden="false" customHeight="true" outlineLevel="0" collapsed="false">
      <c r="J526" s="1" t="str">
        <f aca="false">'Raw Atomic Data (Pro)'!A526</f>
        <v>Kristin</v>
      </c>
      <c r="K526" s="1" t="str">
        <f aca="false">'Raw Atomic Data (Pro)'!C526</f>
        <v>Service delivery</v>
      </c>
      <c r="L526" s="1" t="str">
        <f aca="false">'Raw Atomic Data (Pro)'!D526</f>
        <v>safety-risk-incidents</v>
      </c>
      <c r="M526" s="1" t="str">
        <f aca="false">'Raw Atomic Data (Pro)'!E526</f>
        <v>fact</v>
      </c>
      <c r="N526" s="1" t="n">
        <f aca="false">IF(OR(M526="friction",M526="need",M526="workaround"),1,0)</f>
        <v>0</v>
      </c>
      <c r="O526" s="1" t="n">
        <f aca="false">IF(COUNTIFS($K$2:K526,K526,$L$2:L526,L526,$M$2:M526,M526,$J$2:J526,J526)=1,1,0)</f>
        <v>0</v>
      </c>
      <c r="P526" s="1" t="n">
        <f aca="false">IF(AND(N526=1,S526=1,COUNTIFS($L$2:L526,L526,$J$2:J526,J526,$N$2:N526,1,$S$2:S526,1)=1),1,0)</f>
        <v>0</v>
      </c>
      <c r="Q526" s="1" t="n">
        <f aca="false">IF(AND(N526=1,S526=1,COUNTIFS($L$2:L526,L526,$K$2:K526,K526,$N$2:N526,1,$S$2:S526,1)=1),1,0)</f>
        <v>0</v>
      </c>
      <c r="R526" s="1" t="n">
        <f aca="false">IF(AND(N526=1,COUNTIFS($K$2:K526,K526,$L$2:L526,L526,$J$2:J526,J526,$N$2:N526,1)=1),1,0)</f>
        <v>0</v>
      </c>
      <c r="S526" s="1" t="n">
        <f aca="false">IF(AND(K526&lt;&gt;"Context and provider model",K526&lt;&gt;"Motivation"),1,0)</f>
        <v>1</v>
      </c>
    </row>
    <row r="527" customFormat="false" ht="15" hidden="false" customHeight="true" outlineLevel="0" collapsed="false">
      <c r="J527" s="1" t="str">
        <f aca="false">'Raw Atomic Data (Pro)'!A527</f>
        <v>Naomi</v>
      </c>
      <c r="K527" s="1" t="str">
        <f aca="false">'Raw Atomic Data (Pro)'!C527</f>
        <v>Service delivery</v>
      </c>
      <c r="L527" s="1" t="str">
        <f aca="false">'Raw Atomic Data (Pro)'!D527</f>
        <v>business-growth-plans</v>
      </c>
      <c r="M527" s="1" t="str">
        <f aca="false">'Raw Atomic Data (Pro)'!E527</f>
        <v>fact</v>
      </c>
      <c r="N527" s="1" t="n">
        <f aca="false">IF(OR(M527="friction",M527="need",M527="workaround"),1,0)</f>
        <v>0</v>
      </c>
      <c r="O527" s="1" t="n">
        <f aca="false">IF(COUNTIFS($K$2:K527,K527,$L$2:L527,L527,$M$2:M527,M527,$J$2:J527,J527)=1,1,0)</f>
        <v>1</v>
      </c>
      <c r="P527" s="1" t="n">
        <f aca="false">IF(AND(N527=1,S527=1,COUNTIFS($L$2:L527,L527,$J$2:J527,J527,$N$2:N527,1,$S$2:S527,1)=1),1,0)</f>
        <v>0</v>
      </c>
      <c r="Q527" s="1" t="n">
        <f aca="false">IF(AND(N527=1,S527=1,COUNTIFS($L$2:L527,L527,$K$2:K527,K527,$N$2:N527,1,$S$2:S527,1)=1),1,0)</f>
        <v>0</v>
      </c>
      <c r="R527" s="1" t="n">
        <f aca="false">IF(AND(N527=1,COUNTIFS($K$2:K527,K527,$L$2:L527,L527,$J$2:J527,J527,$N$2:N527,1)=1),1,0)</f>
        <v>0</v>
      </c>
      <c r="S527" s="1" t="n">
        <f aca="false">IF(AND(K527&lt;&gt;"Context and provider model",K527&lt;&gt;"Motivation"),1,0)</f>
        <v>1</v>
      </c>
    </row>
    <row r="528" customFormat="false" ht="15" hidden="false" customHeight="true" outlineLevel="0" collapsed="false">
      <c r="J528" s="1" t="str">
        <f aca="false">'Raw Atomic Data (Pro)'!A528</f>
        <v>Naomi</v>
      </c>
      <c r="K528" s="1" t="str">
        <f aca="false">'Raw Atomic Data (Pro)'!C528</f>
        <v>Service delivery</v>
      </c>
      <c r="L528" s="1" t="str">
        <f aca="false">'Raw Atomic Data (Pro)'!D528</f>
        <v>business-growth-plans</v>
      </c>
      <c r="M528" s="1" t="str">
        <f aca="false">'Raw Atomic Data (Pro)'!E528</f>
        <v>fact</v>
      </c>
      <c r="N528" s="1" t="n">
        <f aca="false">IF(OR(M528="friction",M528="need",M528="workaround"),1,0)</f>
        <v>0</v>
      </c>
      <c r="O528" s="1" t="n">
        <f aca="false">IF(COUNTIFS($K$2:K528,K528,$L$2:L528,L528,$M$2:M528,M528,$J$2:J528,J528)=1,1,0)</f>
        <v>0</v>
      </c>
      <c r="P528" s="1" t="n">
        <f aca="false">IF(AND(N528=1,S528=1,COUNTIFS($L$2:L528,L528,$J$2:J528,J528,$N$2:N528,1,$S$2:S528,1)=1),1,0)</f>
        <v>0</v>
      </c>
      <c r="Q528" s="1" t="n">
        <f aca="false">IF(AND(N528=1,S528=1,COUNTIFS($L$2:L528,L528,$K$2:K528,K528,$N$2:N528,1,$S$2:S528,1)=1),1,0)</f>
        <v>0</v>
      </c>
      <c r="R528" s="1" t="n">
        <f aca="false">IF(AND(N528=1,COUNTIFS($K$2:K528,K528,$L$2:L528,L528,$J$2:J528,J528,$N$2:N528,1)=1),1,0)</f>
        <v>0</v>
      </c>
      <c r="S528" s="1" t="n">
        <f aca="false">IF(AND(K528&lt;&gt;"Context and provider model",K528&lt;&gt;"Motivation"),1,0)</f>
        <v>1</v>
      </c>
    </row>
    <row r="529" customFormat="false" ht="15" hidden="false" customHeight="true" outlineLevel="0" collapsed="false">
      <c r="J529" s="1" t="str">
        <f aca="false">'Raw Atomic Data (Pro)'!A529</f>
        <v>Naomi</v>
      </c>
      <c r="K529" s="1" t="str">
        <f aca="false">'Raw Atomic Data (Pro)'!C529</f>
        <v>Service delivery</v>
      </c>
      <c r="L529" s="1" t="str">
        <f aca="false">'Raw Atomic Data (Pro)'!D529</f>
        <v>capacity-multi-pet-management</v>
      </c>
      <c r="M529" s="1" t="str">
        <f aca="false">'Raw Atomic Data (Pro)'!E529</f>
        <v>fact</v>
      </c>
      <c r="N529" s="1" t="n">
        <f aca="false">IF(OR(M529="friction",M529="need",M529="workaround"),1,0)</f>
        <v>0</v>
      </c>
      <c r="O529" s="1" t="n">
        <f aca="false">IF(COUNTIFS($K$2:K529,K529,$L$2:L529,L529,$M$2:M529,M529,$J$2:J529,J529)=1,1,0)</f>
        <v>1</v>
      </c>
      <c r="P529" s="1" t="n">
        <f aca="false">IF(AND(N529=1,S529=1,COUNTIFS($L$2:L529,L529,$J$2:J529,J529,$N$2:N529,1,$S$2:S529,1)=1),1,0)</f>
        <v>0</v>
      </c>
      <c r="Q529" s="1" t="n">
        <f aca="false">IF(AND(N529=1,S529=1,COUNTIFS($L$2:L529,L529,$K$2:K529,K529,$N$2:N529,1,$S$2:S529,1)=1),1,0)</f>
        <v>0</v>
      </c>
      <c r="R529" s="1" t="n">
        <f aca="false">IF(AND(N529=1,COUNTIFS($K$2:K529,K529,$L$2:L529,L529,$J$2:J529,J529,$N$2:N529,1)=1),1,0)</f>
        <v>0</v>
      </c>
      <c r="S529" s="1" t="n">
        <f aca="false">IF(AND(K529&lt;&gt;"Context and provider model",K529&lt;&gt;"Motivation"),1,0)</f>
        <v>1</v>
      </c>
    </row>
    <row r="530" customFormat="false" ht="15" hidden="false" customHeight="true" outlineLevel="0" collapsed="false">
      <c r="J530" s="1" t="str">
        <f aca="false">'Raw Atomic Data (Pro)'!A530</f>
        <v>Naomi</v>
      </c>
      <c r="K530" s="1" t="str">
        <f aca="false">'Raw Atomic Data (Pro)'!C530</f>
        <v>Service delivery</v>
      </c>
      <c r="L530" s="1" t="str">
        <f aca="false">'Raw Atomic Data (Pro)'!D530</f>
        <v>safety-risk-incidents</v>
      </c>
      <c r="M530" s="1" t="str">
        <f aca="false">'Raw Atomic Data (Pro)'!E530</f>
        <v>fact</v>
      </c>
      <c r="N530" s="1" t="n">
        <f aca="false">IF(OR(M530="friction",M530="need",M530="workaround"),1,0)</f>
        <v>0</v>
      </c>
      <c r="O530" s="1" t="n">
        <f aca="false">IF(COUNTIFS($K$2:K530,K530,$L$2:L530,L530,$M$2:M530,M530,$J$2:J530,J530)=1,1,0)</f>
        <v>1</v>
      </c>
      <c r="P530" s="1" t="n">
        <f aca="false">IF(AND(N530=1,S530=1,COUNTIFS($L$2:L530,L530,$J$2:J530,J530,$N$2:N530,1,$S$2:S530,1)=1),1,0)</f>
        <v>0</v>
      </c>
      <c r="Q530" s="1" t="n">
        <f aca="false">IF(AND(N530=1,S530=1,COUNTIFS($L$2:L530,L530,$K$2:K530,K530,$N$2:N530,1,$S$2:S530,1)=1),1,0)</f>
        <v>0</v>
      </c>
      <c r="R530" s="1" t="n">
        <f aca="false">IF(AND(N530=1,COUNTIFS($K$2:K530,K530,$L$2:L530,L530,$J$2:J530,J530,$N$2:N530,1)=1),1,0)</f>
        <v>0</v>
      </c>
      <c r="S530" s="1" t="n">
        <f aca="false">IF(AND(K530&lt;&gt;"Context and provider model",K530&lt;&gt;"Motivation"),1,0)</f>
        <v>1</v>
      </c>
    </row>
    <row r="531" customFormat="false" ht="15" hidden="false" customHeight="true" outlineLevel="0" collapsed="false">
      <c r="J531" s="1" t="str">
        <f aca="false">'Raw Atomic Data (Pro)'!A531</f>
        <v>Naomi</v>
      </c>
      <c r="K531" s="1" t="str">
        <f aca="false">'Raw Atomic Data (Pro)'!C531</f>
        <v>Service delivery</v>
      </c>
      <c r="L531" s="1" t="str">
        <f aca="false">'Raw Atomic Data (Pro)'!D531</f>
        <v>daily-care-tasks</v>
      </c>
      <c r="M531" s="1" t="str">
        <f aca="false">'Raw Atomic Data (Pro)'!E531</f>
        <v>fact</v>
      </c>
      <c r="N531" s="1" t="n">
        <f aca="false">IF(OR(M531="friction",M531="need",M531="workaround"),1,0)</f>
        <v>0</v>
      </c>
      <c r="O531" s="1" t="n">
        <f aca="false">IF(COUNTIFS($K$2:K531,K531,$L$2:L531,L531,$M$2:M531,M531,$J$2:J531,J531)=1,1,0)</f>
        <v>1</v>
      </c>
      <c r="P531" s="1" t="n">
        <f aca="false">IF(AND(N531=1,S531=1,COUNTIFS($L$2:L531,L531,$J$2:J531,J531,$N$2:N531,1,$S$2:S531,1)=1),1,0)</f>
        <v>0</v>
      </c>
      <c r="Q531" s="1" t="n">
        <f aca="false">IF(AND(N531=1,S531=1,COUNTIFS($L$2:L531,L531,$K$2:K531,K531,$N$2:N531,1,$S$2:S531,1)=1),1,0)</f>
        <v>0</v>
      </c>
      <c r="R531" s="1" t="n">
        <f aca="false">IF(AND(N531=1,COUNTIFS($K$2:K531,K531,$L$2:L531,L531,$J$2:J531,J531,$N$2:N531,1)=1),1,0)</f>
        <v>0</v>
      </c>
      <c r="S531" s="1" t="n">
        <f aca="false">IF(AND(K531&lt;&gt;"Context and provider model",K531&lt;&gt;"Motivation"),1,0)</f>
        <v>1</v>
      </c>
    </row>
    <row r="532" customFormat="false" ht="15" hidden="false" customHeight="true" outlineLevel="0" collapsed="false">
      <c r="J532" s="1" t="str">
        <f aca="false">'Raw Atomic Data (Pro)'!A532</f>
        <v>Shania</v>
      </c>
      <c r="K532" s="1" t="str">
        <f aca="false">'Raw Atomic Data (Pro)'!C532</f>
        <v>Service delivery</v>
      </c>
      <c r="L532" s="1" t="str">
        <f aca="false">'Raw Atomic Data (Pro)'!D532</f>
        <v>provider-background</v>
      </c>
      <c r="M532" s="1" t="str">
        <f aca="false">'Raw Atomic Data (Pro)'!E532</f>
        <v>fact</v>
      </c>
      <c r="N532" s="1" t="n">
        <f aca="false">IF(OR(M532="friction",M532="need",M532="workaround"),1,0)</f>
        <v>0</v>
      </c>
      <c r="O532" s="1" t="n">
        <f aca="false">IF(COUNTIFS($K$2:K532,K532,$L$2:L532,L532,$M$2:M532,M532,$J$2:J532,J532)=1,1,0)</f>
        <v>1</v>
      </c>
      <c r="P532" s="1" t="n">
        <f aca="false">IF(AND(N532=1,S532=1,COUNTIFS($L$2:L532,L532,$J$2:J532,J532,$N$2:N532,1,$S$2:S532,1)=1),1,0)</f>
        <v>0</v>
      </c>
      <c r="Q532" s="1" t="n">
        <f aca="false">IF(AND(N532=1,S532=1,COUNTIFS($L$2:L532,L532,$K$2:K532,K532,$N$2:N532,1,$S$2:S532,1)=1),1,0)</f>
        <v>0</v>
      </c>
      <c r="R532" s="1" t="n">
        <f aca="false">IF(AND(N532=1,COUNTIFS($K$2:K532,K532,$L$2:L532,L532,$J$2:J532,J532,$N$2:N532,1)=1),1,0)</f>
        <v>0</v>
      </c>
      <c r="S532" s="1" t="n">
        <f aca="false">IF(AND(K532&lt;&gt;"Context and provider model",K532&lt;&gt;"Motivation"),1,0)</f>
        <v>1</v>
      </c>
    </row>
    <row r="533" customFormat="false" ht="15" hidden="false" customHeight="true" outlineLevel="0" collapsed="false">
      <c r="J533" s="1" t="str">
        <f aca="false">'Raw Atomic Data (Pro)'!A533</f>
        <v>Shania</v>
      </c>
      <c r="K533" s="1" t="str">
        <f aca="false">'Raw Atomic Data (Pro)'!C533</f>
        <v>Service delivery</v>
      </c>
      <c r="L533" s="1" t="str">
        <f aca="false">'Raw Atomic Data (Pro)'!D533</f>
        <v>daily-care-tasks</v>
      </c>
      <c r="M533" s="1" t="str">
        <f aca="false">'Raw Atomic Data (Pro)'!E533</f>
        <v>workaround</v>
      </c>
      <c r="N533" s="1" t="n">
        <f aca="false">IF(OR(M533="friction",M533="need",M533="workaround"),1,0)</f>
        <v>1</v>
      </c>
      <c r="O533" s="1" t="n">
        <f aca="false">IF(COUNTIFS($K$2:K533,K533,$L$2:L533,L533,$M$2:M533,M533,$J$2:J533,J533)=1,1,0)</f>
        <v>1</v>
      </c>
      <c r="P533" s="1" t="n">
        <f aca="false">IF(AND(N533=1,S533=1,COUNTIFS($L$2:L533,L533,$J$2:J533,J533,$N$2:N533,1,$S$2:S533,1)=1),1,0)</f>
        <v>1</v>
      </c>
      <c r="Q533" s="1" t="n">
        <f aca="false">IF(AND(N533=1,S533=1,COUNTIFS($L$2:L533,L533,$K$2:K533,K533,$N$2:N533,1,$S$2:S533,1)=1),1,0)</f>
        <v>0</v>
      </c>
      <c r="R533" s="1" t="n">
        <f aca="false">IF(AND(N533=1,COUNTIFS($K$2:K533,K533,$L$2:L533,L533,$J$2:J533,J533,$N$2:N533,1)=1),1,0)</f>
        <v>1</v>
      </c>
      <c r="S533" s="1" t="n">
        <f aca="false">IF(AND(K533&lt;&gt;"Context and provider model",K533&lt;&gt;"Motivation"),1,0)</f>
        <v>1</v>
      </c>
    </row>
    <row r="534" customFormat="false" ht="15" hidden="false" customHeight="true" outlineLevel="0" collapsed="false">
      <c r="J534" s="1" t="str">
        <f aca="false">'Raw Atomic Data (Pro)'!A534</f>
        <v>Shania</v>
      </c>
      <c r="K534" s="1" t="str">
        <f aca="false">'Raw Atomic Data (Pro)'!C534</f>
        <v>Service delivery</v>
      </c>
      <c r="L534" s="1" t="str">
        <f aca="false">'Raw Atomic Data (Pro)'!D534</f>
        <v>repeat-client-relationships</v>
      </c>
      <c r="M534" s="1" t="str">
        <f aca="false">'Raw Atomic Data (Pro)'!E534</f>
        <v>friction</v>
      </c>
      <c r="N534" s="1" t="n">
        <f aca="false">IF(OR(M534="friction",M534="need",M534="workaround"),1,0)</f>
        <v>1</v>
      </c>
      <c r="O534" s="1" t="n">
        <f aca="false">IF(COUNTIFS($K$2:K534,K534,$L$2:L534,L534,$M$2:M534,M534,$J$2:J534,J534)=1,1,0)</f>
        <v>1</v>
      </c>
      <c r="P534" s="1" t="n">
        <f aca="false">IF(AND(N534=1,S534=1,COUNTIFS($L$2:L534,L534,$J$2:J534,J534,$N$2:N534,1,$S$2:S534,1)=1),1,0)</f>
        <v>1</v>
      </c>
      <c r="Q534" s="1" t="n">
        <f aca="false">IF(AND(N534=1,S534=1,COUNTIFS($L$2:L534,L534,$K$2:K534,K534,$N$2:N534,1,$S$2:S534,1)=1),1,0)</f>
        <v>1</v>
      </c>
      <c r="R534" s="1" t="n">
        <f aca="false">IF(AND(N534=1,COUNTIFS($K$2:K534,K534,$L$2:L534,L534,$J$2:J534,J534,$N$2:N534,1)=1),1,0)</f>
        <v>1</v>
      </c>
      <c r="S534" s="1" t="n">
        <f aca="false">IF(AND(K534&lt;&gt;"Context and provider model",K534&lt;&gt;"Motivation"),1,0)</f>
        <v>1</v>
      </c>
    </row>
    <row r="535" customFormat="false" ht="15" hidden="false" customHeight="true" outlineLevel="0" collapsed="false">
      <c r="J535" s="1" t="str">
        <f aca="false">'Raw Atomic Data (Pro)'!A535</f>
        <v>Shania</v>
      </c>
      <c r="K535" s="1" t="str">
        <f aca="false">'Raw Atomic Data (Pro)'!C535</f>
        <v>Service delivery</v>
      </c>
      <c r="L535" s="1" t="str">
        <f aca="false">'Raw Atomic Data (Pro)'!D535</f>
        <v>sitter-support-resources</v>
      </c>
      <c r="M535" s="1" t="str">
        <f aca="false">'Raw Atomic Data (Pro)'!E535</f>
        <v>fact</v>
      </c>
      <c r="N535" s="1" t="n">
        <f aca="false">IF(OR(M535="friction",M535="need",M535="workaround"),1,0)</f>
        <v>0</v>
      </c>
      <c r="O535" s="1" t="n">
        <f aca="false">IF(COUNTIFS($K$2:K535,K535,$L$2:L535,L535,$M$2:M535,M535,$J$2:J535,J535)=1,1,0)</f>
        <v>1</v>
      </c>
      <c r="P535" s="1" t="n">
        <f aca="false">IF(AND(N535=1,S535=1,COUNTIFS($L$2:L535,L535,$J$2:J535,J535,$N$2:N535,1,$S$2:S535,1)=1),1,0)</f>
        <v>0</v>
      </c>
      <c r="Q535" s="1" t="n">
        <f aca="false">IF(AND(N535=1,S535=1,COUNTIFS($L$2:L535,L535,$K$2:K535,K535,$N$2:N535,1,$S$2:S535,1)=1),1,0)</f>
        <v>0</v>
      </c>
      <c r="R535" s="1" t="n">
        <f aca="false">IF(AND(N535=1,COUNTIFS($K$2:K535,K535,$L$2:L535,L535,$J$2:J535,J535,$N$2:N535,1)=1),1,0)</f>
        <v>0</v>
      </c>
      <c r="S535" s="1" t="n">
        <f aca="false">IF(AND(K535&lt;&gt;"Context and provider model",K535&lt;&gt;"Motivation"),1,0)</f>
        <v>1</v>
      </c>
    </row>
    <row r="536" customFormat="false" ht="15" hidden="false" customHeight="true" outlineLevel="0" collapsed="false">
      <c r="J536" s="1" t="str">
        <f aca="false">'Raw Atomic Data (Pro)'!A536</f>
        <v>Shania</v>
      </c>
      <c r="K536" s="1" t="str">
        <f aca="false">'Raw Atomic Data (Pro)'!C536</f>
        <v>Service delivery</v>
      </c>
      <c r="L536" s="1" t="str">
        <f aca="false">'Raw Atomic Data (Pro)'!D536</f>
        <v>repeat-client-relationships</v>
      </c>
      <c r="M536" s="1" t="str">
        <f aca="false">'Raw Atomic Data (Pro)'!E536</f>
        <v>fact</v>
      </c>
      <c r="N536" s="1" t="n">
        <f aca="false">IF(OR(M536="friction",M536="need",M536="workaround"),1,0)</f>
        <v>0</v>
      </c>
      <c r="O536" s="1" t="n">
        <f aca="false">IF(COUNTIFS($K$2:K536,K536,$L$2:L536,L536,$M$2:M536,M536,$J$2:J536,J536)=1,1,0)</f>
        <v>1</v>
      </c>
      <c r="P536" s="1" t="n">
        <f aca="false">IF(AND(N536=1,S536=1,COUNTIFS($L$2:L536,L536,$J$2:J536,J536,$N$2:N536,1,$S$2:S536,1)=1),1,0)</f>
        <v>0</v>
      </c>
      <c r="Q536" s="1" t="n">
        <f aca="false">IF(AND(N536=1,S536=1,COUNTIFS($L$2:L536,L536,$K$2:K536,K536,$N$2:N536,1,$S$2:S536,1)=1),1,0)</f>
        <v>0</v>
      </c>
      <c r="R536" s="1" t="n">
        <f aca="false">IF(AND(N536=1,COUNTIFS($K$2:K536,K536,$L$2:L536,L536,$J$2:J536,J536,$N$2:N536,1)=1),1,0)</f>
        <v>0</v>
      </c>
      <c r="S536" s="1" t="n">
        <f aca="false">IF(AND(K536&lt;&gt;"Context and provider model",K536&lt;&gt;"Motivation"),1,0)</f>
        <v>1</v>
      </c>
    </row>
    <row r="537" customFormat="false" ht="15" hidden="false" customHeight="true" outlineLevel="0" collapsed="false">
      <c r="J537" s="1" t="str">
        <f aca="false">'Raw Atomic Data (Pro)'!A537</f>
        <v>Shania</v>
      </c>
      <c r="K537" s="1" t="str">
        <f aca="false">'Raw Atomic Data (Pro)'!C537</f>
        <v>Service delivery</v>
      </c>
      <c r="L537" s="1" t="str">
        <f aca="false">'Raw Atomic Data (Pro)'!D537</f>
        <v>sitter-support-resources</v>
      </c>
      <c r="M537" s="1" t="str">
        <f aca="false">'Raw Atomic Data (Pro)'!E537</f>
        <v>value-statement</v>
      </c>
      <c r="N537" s="1" t="n">
        <f aca="false">IF(OR(M537="friction",M537="need",M537="workaround"),1,0)</f>
        <v>0</v>
      </c>
      <c r="O537" s="1" t="n">
        <f aca="false">IF(COUNTIFS($K$2:K537,K537,$L$2:L537,L537,$M$2:M537,M537,$J$2:J537,J537)=1,1,0)</f>
        <v>1</v>
      </c>
      <c r="P537" s="1" t="n">
        <f aca="false">IF(AND(N537=1,S537=1,COUNTIFS($L$2:L537,L537,$J$2:J537,J537,$N$2:N537,1,$S$2:S537,1)=1),1,0)</f>
        <v>0</v>
      </c>
      <c r="Q537" s="1" t="n">
        <f aca="false">IF(AND(N537=1,S537=1,COUNTIFS($L$2:L537,L537,$K$2:K537,K537,$N$2:N537,1,$S$2:S537,1)=1),1,0)</f>
        <v>0</v>
      </c>
      <c r="R537" s="1" t="n">
        <f aca="false">IF(AND(N537=1,COUNTIFS($K$2:K537,K537,$L$2:L537,L537,$J$2:J537,J537,$N$2:N537,1)=1),1,0)</f>
        <v>0</v>
      </c>
      <c r="S537" s="1" t="n">
        <f aca="false">IF(AND(K537&lt;&gt;"Context and provider model",K537&lt;&gt;"Motivation"),1,0)</f>
        <v>1</v>
      </c>
    </row>
    <row r="538" customFormat="false" ht="15" hidden="false" customHeight="true" outlineLevel="0" collapsed="false">
      <c r="J538" s="1" t="str">
        <f aca="false">'Raw Atomic Data (Pro)'!A538</f>
        <v>Shania</v>
      </c>
      <c r="K538" s="1" t="str">
        <f aca="false">'Raw Atomic Data (Pro)'!C538</f>
        <v>Service delivery</v>
      </c>
      <c r="L538" s="1" t="str">
        <f aca="false">'Raw Atomic Data (Pro)'!D538</f>
        <v>sitter-support-resources</v>
      </c>
      <c r="M538" s="1" t="str">
        <f aca="false">'Raw Atomic Data (Pro)'!E538</f>
        <v>fact</v>
      </c>
      <c r="N538" s="1" t="n">
        <f aca="false">IF(OR(M538="friction",M538="need",M538="workaround"),1,0)</f>
        <v>0</v>
      </c>
      <c r="O538" s="1" t="n">
        <f aca="false">IF(COUNTIFS($K$2:K538,K538,$L$2:L538,L538,$M$2:M538,M538,$J$2:J538,J538)=1,1,0)</f>
        <v>0</v>
      </c>
      <c r="P538" s="1" t="n">
        <f aca="false">IF(AND(N538=1,S538=1,COUNTIFS($L$2:L538,L538,$J$2:J538,J538,$N$2:N538,1,$S$2:S538,1)=1),1,0)</f>
        <v>0</v>
      </c>
      <c r="Q538" s="1" t="n">
        <f aca="false">IF(AND(N538=1,S538=1,COUNTIFS($L$2:L538,L538,$K$2:K538,K538,$N$2:N538,1,$S$2:S538,1)=1),1,0)</f>
        <v>0</v>
      </c>
      <c r="R538" s="1" t="n">
        <f aca="false">IF(AND(N538=1,COUNTIFS($K$2:K538,K538,$L$2:L538,L538,$J$2:J538,J538,$N$2:N538,1)=1),1,0)</f>
        <v>0</v>
      </c>
      <c r="S538" s="1" t="n">
        <f aca="false">IF(AND(K538&lt;&gt;"Context and provider model",K538&lt;&gt;"Motivation"),1,0)</f>
        <v>1</v>
      </c>
    </row>
    <row r="539" customFormat="false" ht="15" hidden="false" customHeight="true" outlineLevel="0" collapsed="false">
      <c r="J539" s="1" t="str">
        <f aca="false">'Raw Atomic Data (Pro)'!A539</f>
        <v>Shania</v>
      </c>
      <c r="K539" s="1" t="str">
        <f aca="false">'Raw Atomic Data (Pro)'!C539</f>
        <v>Service delivery</v>
      </c>
      <c r="L539" s="1" t="str">
        <f aca="false">'Raw Atomic Data (Pro)'!D539</f>
        <v>sitter-support-resources</v>
      </c>
      <c r="M539" s="1" t="str">
        <f aca="false">'Raw Atomic Data (Pro)'!E539</f>
        <v>value-statement</v>
      </c>
      <c r="N539" s="1" t="n">
        <f aca="false">IF(OR(M539="friction",M539="need",M539="workaround"),1,0)</f>
        <v>0</v>
      </c>
      <c r="O539" s="1" t="n">
        <f aca="false">IF(COUNTIFS($K$2:K539,K539,$L$2:L539,L539,$M$2:M539,M539,$J$2:J539,J539)=1,1,0)</f>
        <v>0</v>
      </c>
      <c r="P539" s="1" t="n">
        <f aca="false">IF(AND(N539=1,S539=1,COUNTIFS($L$2:L539,L539,$J$2:J539,J539,$N$2:N539,1,$S$2:S539,1)=1),1,0)</f>
        <v>0</v>
      </c>
      <c r="Q539" s="1" t="n">
        <f aca="false">IF(AND(N539=1,S539=1,COUNTIFS($L$2:L539,L539,$K$2:K539,K539,$N$2:N539,1,$S$2:S539,1)=1),1,0)</f>
        <v>0</v>
      </c>
      <c r="R539" s="1" t="n">
        <f aca="false">IF(AND(N539=1,COUNTIFS($K$2:K539,K539,$L$2:L539,L539,$J$2:J539,J539,$N$2:N539,1)=1),1,0)</f>
        <v>0</v>
      </c>
      <c r="S539" s="1" t="n">
        <f aca="false">IF(AND(K539&lt;&gt;"Context and provider model",K539&lt;&gt;"Motivation"),1,0)</f>
        <v>1</v>
      </c>
    </row>
    <row r="540" customFormat="false" ht="15" hidden="false" customHeight="true" outlineLevel="0" collapsed="false">
      <c r="J540" s="1" t="str">
        <f aca="false">'Raw Atomic Data (Pro)'!A540</f>
        <v>Tianrui</v>
      </c>
      <c r="K540" s="1" t="str">
        <f aca="false">'Raw Atomic Data (Pro)'!C540</f>
        <v>Service delivery</v>
      </c>
      <c r="L540" s="1" t="str">
        <f aca="false">'Raw Atomic Data (Pro)'!D540</f>
        <v>in-sit-updates-media</v>
      </c>
      <c r="M540" s="1" t="str">
        <f aca="false">'Raw Atomic Data (Pro)'!E540</f>
        <v>fact</v>
      </c>
      <c r="N540" s="1" t="n">
        <f aca="false">IF(OR(M540="friction",M540="need",M540="workaround"),1,0)</f>
        <v>0</v>
      </c>
      <c r="O540" s="1" t="n">
        <f aca="false">IF(COUNTIFS($K$2:K540,K540,$L$2:L540,L540,$M$2:M540,M540,$J$2:J540,J540)=1,1,0)</f>
        <v>1</v>
      </c>
      <c r="P540" s="1" t="n">
        <f aca="false">IF(AND(N540=1,S540=1,COUNTIFS($L$2:L540,L540,$J$2:J540,J540,$N$2:N540,1,$S$2:S540,1)=1),1,0)</f>
        <v>0</v>
      </c>
      <c r="Q540" s="1" t="n">
        <f aca="false">IF(AND(N540=1,S540=1,COUNTIFS($L$2:L540,L540,$K$2:K540,K540,$N$2:N540,1,$S$2:S540,1)=1),1,0)</f>
        <v>0</v>
      </c>
      <c r="R540" s="1" t="n">
        <f aca="false">IF(AND(N540=1,COUNTIFS($K$2:K540,K540,$L$2:L540,L540,$J$2:J540,J540,$N$2:N540,1)=1),1,0)</f>
        <v>0</v>
      </c>
      <c r="S540" s="1" t="n">
        <f aca="false">IF(AND(K540&lt;&gt;"Context and provider model",K540&lt;&gt;"Motivation"),1,0)</f>
        <v>1</v>
      </c>
    </row>
    <row r="541" customFormat="false" ht="15" hidden="false" customHeight="true" outlineLevel="0" collapsed="false">
      <c r="J541" s="1" t="str">
        <f aca="false">'Raw Atomic Data (Pro)'!A541</f>
        <v>Tianrui</v>
      </c>
      <c r="K541" s="1" t="str">
        <f aca="false">'Raw Atomic Data (Pro)'!C541</f>
        <v>Service delivery</v>
      </c>
      <c r="L541" s="1" t="str">
        <f aca="false">'Raw Atomic Data (Pro)'!D541</f>
        <v>in-sit-updates-media</v>
      </c>
      <c r="M541" s="1" t="str">
        <f aca="false">'Raw Atomic Data (Pro)'!E541</f>
        <v>fact</v>
      </c>
      <c r="N541" s="1" t="n">
        <f aca="false">IF(OR(M541="friction",M541="need",M541="workaround"),1,0)</f>
        <v>0</v>
      </c>
      <c r="O541" s="1" t="n">
        <f aca="false">IF(COUNTIFS($K$2:K541,K541,$L$2:L541,L541,$M$2:M541,M541,$J$2:J541,J541)=1,1,0)</f>
        <v>0</v>
      </c>
      <c r="P541" s="1" t="n">
        <f aca="false">IF(AND(N541=1,S541=1,COUNTIFS($L$2:L541,L541,$J$2:J541,J541,$N$2:N541,1,$S$2:S541,1)=1),1,0)</f>
        <v>0</v>
      </c>
      <c r="Q541" s="1" t="n">
        <f aca="false">IF(AND(N541=1,S541=1,COUNTIFS($L$2:L541,L541,$K$2:K541,K541,$N$2:N541,1,$S$2:S541,1)=1),1,0)</f>
        <v>0</v>
      </c>
      <c r="R541" s="1" t="n">
        <f aca="false">IF(AND(N541=1,COUNTIFS($K$2:K541,K541,$L$2:L541,L541,$J$2:J541,J541,$N$2:N541,1)=1),1,0)</f>
        <v>0</v>
      </c>
      <c r="S541" s="1" t="n">
        <f aca="false">IF(AND(K541&lt;&gt;"Context and provider model",K541&lt;&gt;"Motivation"),1,0)</f>
        <v>1</v>
      </c>
    </row>
    <row r="542" customFormat="false" ht="15" hidden="false" customHeight="true" outlineLevel="0" collapsed="false">
      <c r="J542" s="1" t="str">
        <f aca="false">'Raw Atomic Data (Pro)'!A542</f>
        <v>Tianrui</v>
      </c>
      <c r="K542" s="1" t="str">
        <f aca="false">'Raw Atomic Data (Pro)'!C542</f>
        <v>Service delivery</v>
      </c>
      <c r="L542" s="1" t="str">
        <f aca="false">'Raw Atomic Data (Pro)'!D542</f>
        <v>off-platform-communication-channels</v>
      </c>
      <c r="M542" s="1" t="str">
        <f aca="false">'Raw Atomic Data (Pro)'!E542</f>
        <v>fact</v>
      </c>
      <c r="N542" s="1" t="n">
        <f aca="false">IF(OR(M542="friction",M542="need",M542="workaround"),1,0)</f>
        <v>0</v>
      </c>
      <c r="O542" s="1" t="n">
        <f aca="false">IF(COUNTIFS($K$2:K542,K542,$L$2:L542,L542,$M$2:M542,M542,$J$2:J542,J542)=1,1,0)</f>
        <v>1</v>
      </c>
      <c r="P542" s="1" t="n">
        <f aca="false">IF(AND(N542=1,S542=1,COUNTIFS($L$2:L542,L542,$J$2:J542,J542,$N$2:N542,1,$S$2:S542,1)=1),1,0)</f>
        <v>0</v>
      </c>
      <c r="Q542" s="1" t="n">
        <f aca="false">IF(AND(N542=1,S542=1,COUNTIFS($L$2:L542,L542,$K$2:K542,K542,$N$2:N542,1,$S$2:S542,1)=1),1,0)</f>
        <v>0</v>
      </c>
      <c r="R542" s="1" t="n">
        <f aca="false">IF(AND(N542=1,COUNTIFS($K$2:K542,K542,$L$2:L542,L542,$J$2:J542,J542,$N$2:N542,1)=1),1,0)</f>
        <v>0</v>
      </c>
      <c r="S542" s="1" t="n">
        <f aca="false">IF(AND(K542&lt;&gt;"Context and provider model",K542&lt;&gt;"Motivation"),1,0)</f>
        <v>1</v>
      </c>
    </row>
    <row r="543" customFormat="false" ht="15" hidden="false" customHeight="true" outlineLevel="0" collapsed="false">
      <c r="J543" s="1" t="str">
        <f aca="false">'Raw Atomic Data (Pro)'!A543</f>
        <v>Tianrui</v>
      </c>
      <c r="K543" s="1" t="str">
        <f aca="false">'Raw Atomic Data (Pro)'!C543</f>
        <v>Service delivery</v>
      </c>
      <c r="L543" s="1" t="str">
        <f aca="false">'Raw Atomic Data (Pro)'!D543</f>
        <v>in-sit-updates-media</v>
      </c>
      <c r="M543" s="1" t="str">
        <f aca="false">'Raw Atomic Data (Pro)'!E543</f>
        <v>fact</v>
      </c>
      <c r="N543" s="1" t="n">
        <f aca="false">IF(OR(M543="friction",M543="need",M543="workaround"),1,0)</f>
        <v>0</v>
      </c>
      <c r="O543" s="1" t="n">
        <f aca="false">IF(COUNTIFS($K$2:K543,K543,$L$2:L543,L543,$M$2:M543,M543,$J$2:J543,J543)=1,1,0)</f>
        <v>0</v>
      </c>
      <c r="P543" s="1" t="n">
        <f aca="false">IF(AND(N543=1,S543=1,COUNTIFS($L$2:L543,L543,$J$2:J543,J543,$N$2:N543,1,$S$2:S543,1)=1),1,0)</f>
        <v>0</v>
      </c>
      <c r="Q543" s="1" t="n">
        <f aca="false">IF(AND(N543=1,S543=1,COUNTIFS($L$2:L543,L543,$K$2:K543,K543,$N$2:N543,1,$S$2:S543,1)=1),1,0)</f>
        <v>0</v>
      </c>
      <c r="R543" s="1" t="n">
        <f aca="false">IF(AND(N543=1,COUNTIFS($K$2:K543,K543,$L$2:L543,L543,$J$2:J543,J543,$N$2:N543,1)=1),1,0)</f>
        <v>0</v>
      </c>
      <c r="S543" s="1" t="n">
        <f aca="false">IF(AND(K543&lt;&gt;"Context and provider model",K543&lt;&gt;"Motivation"),1,0)</f>
        <v>1</v>
      </c>
    </row>
    <row r="544" customFormat="false" ht="15" hidden="false" customHeight="true" outlineLevel="0" collapsed="false">
      <c r="J544" s="1" t="str">
        <f aca="false">'Raw Atomic Data (Pro)'!A544</f>
        <v>Tifany</v>
      </c>
      <c r="K544" s="1" t="str">
        <f aca="false">'Raw Atomic Data (Pro)'!C544</f>
        <v>Service delivery</v>
      </c>
      <c r="L544" s="1" t="str">
        <f aca="false">'Raw Atomic Data (Pro)'!D544</f>
        <v>safety-risk-incidents</v>
      </c>
      <c r="M544" s="1" t="str">
        <f aca="false">'Raw Atomic Data (Pro)'!E544</f>
        <v>friction</v>
      </c>
      <c r="N544" s="1" t="n">
        <f aca="false">IF(OR(M544="friction",M544="need",M544="workaround"),1,0)</f>
        <v>1</v>
      </c>
      <c r="O544" s="1" t="n">
        <f aca="false">IF(COUNTIFS($K$2:K544,K544,$L$2:L544,L544,$M$2:M544,M544,$J$2:J544,J544)=1,1,0)</f>
        <v>1</v>
      </c>
      <c r="P544" s="1" t="n">
        <f aca="false">IF(AND(N544=1,S544=1,COUNTIFS($L$2:L544,L544,$J$2:J544,J544,$N$2:N544,1,$S$2:S544,1)=1),1,0)</f>
        <v>0</v>
      </c>
      <c r="Q544" s="1" t="n">
        <f aca="false">IF(AND(N544=1,S544=1,COUNTIFS($L$2:L544,L544,$K$2:K544,K544,$N$2:N544,1,$S$2:S544,1)=1),1,0)</f>
        <v>0</v>
      </c>
      <c r="R544" s="1" t="n">
        <f aca="false">IF(AND(N544=1,COUNTIFS($K$2:K544,K544,$L$2:L544,L544,$J$2:J544,J544,$N$2:N544,1)=1),1,0)</f>
        <v>1</v>
      </c>
      <c r="S544" s="1" t="n">
        <f aca="false">IF(AND(K544&lt;&gt;"Context and provider model",K544&lt;&gt;"Motivation"),1,0)</f>
        <v>1</v>
      </c>
    </row>
    <row r="545" customFormat="false" ht="15" hidden="false" customHeight="true" outlineLevel="0" collapsed="false">
      <c r="J545" s="1" t="str">
        <f aca="false">'Raw Atomic Data (Pro)'!A545</f>
        <v>Tifany</v>
      </c>
      <c r="K545" s="1" t="str">
        <f aca="false">'Raw Atomic Data (Pro)'!C545</f>
        <v>Service delivery</v>
      </c>
      <c r="L545" s="1" t="str">
        <f aca="false">'Raw Atomic Data (Pro)'!D545</f>
        <v>motivation-emotional-connection</v>
      </c>
      <c r="M545" s="1" t="str">
        <f aca="false">'Raw Atomic Data (Pro)'!E545</f>
        <v>value-statement</v>
      </c>
      <c r="N545" s="1" t="n">
        <f aca="false">IF(OR(M545="friction",M545="need",M545="workaround"),1,0)</f>
        <v>0</v>
      </c>
      <c r="O545" s="1" t="n">
        <f aca="false">IF(COUNTIFS($K$2:K545,K545,$L$2:L545,L545,$M$2:M545,M545,$J$2:J545,J545)=1,1,0)</f>
        <v>1</v>
      </c>
      <c r="P545" s="1" t="n">
        <f aca="false">IF(AND(N545=1,S545=1,COUNTIFS($L$2:L545,L545,$J$2:J545,J545,$N$2:N545,1,$S$2:S545,1)=1),1,0)</f>
        <v>0</v>
      </c>
      <c r="Q545" s="1" t="n">
        <f aca="false">IF(AND(N545=1,S545=1,COUNTIFS($L$2:L545,L545,$K$2:K545,K545,$N$2:N545,1,$S$2:S545,1)=1),1,0)</f>
        <v>0</v>
      </c>
      <c r="R545" s="1" t="n">
        <f aca="false">IF(AND(N545=1,COUNTIFS($K$2:K545,K545,$L$2:L545,L545,$J$2:J545,J545,$N$2:N545,1)=1),1,0)</f>
        <v>0</v>
      </c>
      <c r="S545" s="1" t="n">
        <f aca="false">IF(AND(K545&lt;&gt;"Context and provider model",K545&lt;&gt;"Motivation"),1,0)</f>
        <v>1</v>
      </c>
    </row>
    <row r="546" customFormat="false" ht="15" hidden="false" customHeight="true" outlineLevel="0" collapsed="false">
      <c r="J546" s="1" t="str">
        <f aca="false">'Raw Atomic Data (Pro)'!A546</f>
        <v>Tifany</v>
      </c>
      <c r="K546" s="1" t="str">
        <f aca="false">'Raw Atomic Data (Pro)'!C546</f>
        <v>Service delivery</v>
      </c>
      <c r="L546" s="1" t="str">
        <f aca="false">'Raw Atomic Data (Pro)'!D546</f>
        <v>provider-background</v>
      </c>
      <c r="M546" s="1" t="str">
        <f aca="false">'Raw Atomic Data (Pro)'!E546</f>
        <v>fact</v>
      </c>
      <c r="N546" s="1" t="n">
        <f aca="false">IF(OR(M546="friction",M546="need",M546="workaround"),1,0)</f>
        <v>0</v>
      </c>
      <c r="O546" s="1" t="n">
        <f aca="false">IF(COUNTIFS($K$2:K546,K546,$L$2:L546,L546,$M$2:M546,M546,$J$2:J546,J546)=1,1,0)</f>
        <v>1</v>
      </c>
      <c r="P546" s="1" t="n">
        <f aca="false">IF(AND(N546=1,S546=1,COUNTIFS($L$2:L546,L546,$J$2:J546,J546,$N$2:N546,1,$S$2:S546,1)=1),1,0)</f>
        <v>0</v>
      </c>
      <c r="Q546" s="1" t="n">
        <f aca="false">IF(AND(N546=1,S546=1,COUNTIFS($L$2:L546,L546,$K$2:K546,K546,$N$2:N546,1,$S$2:S546,1)=1),1,0)</f>
        <v>0</v>
      </c>
      <c r="R546" s="1" t="n">
        <f aca="false">IF(AND(N546=1,COUNTIFS($K$2:K546,K546,$L$2:L546,L546,$J$2:J546,J546,$N$2:N546,1)=1),1,0)</f>
        <v>0</v>
      </c>
      <c r="S546" s="1" t="n">
        <f aca="false">IF(AND(K546&lt;&gt;"Context and provider model",K546&lt;&gt;"Motivation"),1,0)</f>
        <v>1</v>
      </c>
    </row>
    <row r="547" customFormat="false" ht="15" hidden="false" customHeight="true" outlineLevel="0" collapsed="false">
      <c r="J547" s="1" t="str">
        <f aca="false">'Raw Atomic Data (Pro)'!A547</f>
        <v>Ami</v>
      </c>
      <c r="K547" s="1" t="str">
        <f aca="false">'Raw Atomic Data (Pro)'!C547</f>
        <v>Client communication</v>
      </c>
      <c r="L547" s="1" t="str">
        <f aca="false">'Raw Atomic Data (Pro)'!D547</f>
        <v>off-platform-communication-channels</v>
      </c>
      <c r="M547" s="1" t="str">
        <f aca="false">'Raw Atomic Data (Pro)'!E547</f>
        <v>fact</v>
      </c>
      <c r="N547" s="1" t="n">
        <f aca="false">IF(OR(M547="friction",M547="need",M547="workaround"),1,0)</f>
        <v>0</v>
      </c>
      <c r="O547" s="1" t="n">
        <f aca="false">IF(COUNTIFS($K$2:K547,K547,$L$2:L547,L547,$M$2:M547,M547,$J$2:J547,J547)=1,1,0)</f>
        <v>1</v>
      </c>
      <c r="P547" s="1" t="n">
        <f aca="false">IF(AND(N547=1,S547=1,COUNTIFS($L$2:L547,L547,$J$2:J547,J547,$N$2:N547,1,$S$2:S547,1)=1),1,0)</f>
        <v>0</v>
      </c>
      <c r="Q547" s="1" t="n">
        <f aca="false">IF(AND(N547=1,S547=1,COUNTIFS($L$2:L547,L547,$K$2:K547,K547,$N$2:N547,1,$S$2:S547,1)=1),1,0)</f>
        <v>0</v>
      </c>
      <c r="R547" s="1" t="n">
        <f aca="false">IF(AND(N547=1,COUNTIFS($K$2:K547,K547,$L$2:L547,L547,$J$2:J547,J547,$N$2:N547,1)=1),1,0)</f>
        <v>0</v>
      </c>
      <c r="S547" s="1" t="n">
        <f aca="false">IF(AND(K547&lt;&gt;"Context and provider model",K547&lt;&gt;"Motivation"),1,0)</f>
        <v>1</v>
      </c>
    </row>
    <row r="548" customFormat="false" ht="15" hidden="false" customHeight="true" outlineLevel="0" collapsed="false">
      <c r="J548" s="1" t="str">
        <f aca="false">'Raw Atomic Data (Pro)'!A548</f>
        <v>Ami</v>
      </c>
      <c r="K548" s="1" t="str">
        <f aca="false">'Raw Atomic Data (Pro)'!C548</f>
        <v>Client communication</v>
      </c>
      <c r="L548" s="1" t="str">
        <f aca="false">'Raw Atomic Data (Pro)'!D548</f>
        <v>meet-and-greet-process</v>
      </c>
      <c r="M548" s="1" t="str">
        <f aca="false">'Raw Atomic Data (Pro)'!E548</f>
        <v>fact</v>
      </c>
      <c r="N548" s="1" t="n">
        <f aca="false">IF(OR(M548="friction",M548="need",M548="workaround"),1,0)</f>
        <v>0</v>
      </c>
      <c r="O548" s="1" t="n">
        <f aca="false">IF(COUNTIFS($K$2:K548,K548,$L$2:L548,L548,$M$2:M548,M548,$J$2:J548,J548)=1,1,0)</f>
        <v>1</v>
      </c>
      <c r="P548" s="1" t="n">
        <f aca="false">IF(AND(N548=1,S548=1,COUNTIFS($L$2:L548,L548,$J$2:J548,J548,$N$2:N548,1,$S$2:S548,1)=1),1,0)</f>
        <v>0</v>
      </c>
      <c r="Q548" s="1" t="n">
        <f aca="false">IF(AND(N548=1,S548=1,COUNTIFS($L$2:L548,L548,$K$2:K548,K548,$N$2:N548,1,$S$2:S548,1)=1),1,0)</f>
        <v>0</v>
      </c>
      <c r="R548" s="1" t="n">
        <f aca="false">IF(AND(N548=1,COUNTIFS($K$2:K548,K548,$L$2:L548,L548,$J$2:J548,J548,$N$2:N548,1)=1),1,0)</f>
        <v>0</v>
      </c>
      <c r="S548" s="1" t="n">
        <f aca="false">IF(AND(K548&lt;&gt;"Context and provider model",K548&lt;&gt;"Motivation"),1,0)</f>
        <v>1</v>
      </c>
    </row>
    <row r="549" customFormat="false" ht="15" hidden="false" customHeight="true" outlineLevel="0" collapsed="false">
      <c r="J549" s="1" t="str">
        <f aca="false">'Raw Atomic Data (Pro)'!A549</f>
        <v>Andrew</v>
      </c>
      <c r="K549" s="1" t="str">
        <f aca="false">'Raw Atomic Data (Pro)'!C549</f>
        <v>Client communication</v>
      </c>
      <c r="L549" s="1" t="str">
        <f aca="false">'Raw Atomic Data (Pro)'!D549</f>
        <v>off-platform-communication-channels</v>
      </c>
      <c r="M549" s="1" t="str">
        <f aca="false">'Raw Atomic Data (Pro)'!E549</f>
        <v>fact</v>
      </c>
      <c r="N549" s="1" t="n">
        <f aca="false">IF(OR(M549="friction",M549="need",M549="workaround"),1,0)</f>
        <v>0</v>
      </c>
      <c r="O549" s="1" t="n">
        <f aca="false">IF(COUNTIFS($K$2:K549,K549,$L$2:L549,L549,$M$2:M549,M549,$J$2:J549,J549)=1,1,0)</f>
        <v>1</v>
      </c>
      <c r="P549" s="1" t="n">
        <f aca="false">IF(AND(N549=1,S549=1,COUNTIFS($L$2:L549,L549,$J$2:J549,J549,$N$2:N549,1,$S$2:S549,1)=1),1,0)</f>
        <v>0</v>
      </c>
      <c r="Q549" s="1" t="n">
        <f aca="false">IF(AND(N549=1,S549=1,COUNTIFS($L$2:L549,L549,$K$2:K549,K549,$N$2:N549,1,$S$2:S549,1)=1),1,0)</f>
        <v>0</v>
      </c>
      <c r="R549" s="1" t="n">
        <f aca="false">IF(AND(N549=1,COUNTIFS($K$2:K549,K549,$L$2:L549,L549,$J$2:J549,J549,$N$2:N549,1)=1),1,0)</f>
        <v>0</v>
      </c>
      <c r="S549" s="1" t="n">
        <f aca="false">IF(AND(K549&lt;&gt;"Context and provider model",K549&lt;&gt;"Motivation"),1,0)</f>
        <v>1</v>
      </c>
    </row>
    <row r="550" customFormat="false" ht="15" hidden="false" customHeight="true" outlineLevel="0" collapsed="false">
      <c r="J550" s="1" t="str">
        <f aca="false">'Raw Atomic Data (Pro)'!A550</f>
        <v>Andrew</v>
      </c>
      <c r="K550" s="1" t="str">
        <f aca="false">'Raw Atomic Data (Pro)'!C550</f>
        <v>Client communication</v>
      </c>
      <c r="L550" s="1" t="str">
        <f aca="false">'Raw Atomic Data (Pro)'!D550</f>
        <v>off-platform-communication-channels</v>
      </c>
      <c r="M550" s="1" t="str">
        <f aca="false">'Raw Atomic Data (Pro)'!E550</f>
        <v>value-statement</v>
      </c>
      <c r="N550" s="1" t="n">
        <f aca="false">IF(OR(M550="friction",M550="need",M550="workaround"),1,0)</f>
        <v>0</v>
      </c>
      <c r="O550" s="1" t="n">
        <f aca="false">IF(COUNTIFS($K$2:K550,K550,$L$2:L550,L550,$M$2:M550,M550,$J$2:J550,J550)=1,1,0)</f>
        <v>1</v>
      </c>
      <c r="P550" s="1" t="n">
        <f aca="false">IF(AND(N550=1,S550=1,COUNTIFS($L$2:L550,L550,$J$2:J550,J550,$N$2:N550,1,$S$2:S550,1)=1),1,0)</f>
        <v>0</v>
      </c>
      <c r="Q550" s="1" t="n">
        <f aca="false">IF(AND(N550=1,S550=1,COUNTIFS($L$2:L550,L550,$K$2:K550,K550,$N$2:N550,1,$S$2:S550,1)=1),1,0)</f>
        <v>0</v>
      </c>
      <c r="R550" s="1" t="n">
        <f aca="false">IF(AND(N550=1,COUNTIFS($K$2:K550,K550,$L$2:L550,L550,$J$2:J550,J550,$N$2:N550,1)=1),1,0)</f>
        <v>0</v>
      </c>
      <c r="S550" s="1" t="n">
        <f aca="false">IF(AND(K550&lt;&gt;"Context and provider model",K550&lt;&gt;"Motivation"),1,0)</f>
        <v>1</v>
      </c>
    </row>
    <row r="551" customFormat="false" ht="15" hidden="false" customHeight="true" outlineLevel="0" collapsed="false">
      <c r="J551" s="1" t="str">
        <f aca="false">'Raw Atomic Data (Pro)'!A551</f>
        <v>Andrew</v>
      </c>
      <c r="K551" s="1" t="str">
        <f aca="false">'Raw Atomic Data (Pro)'!C551</f>
        <v>Client communication</v>
      </c>
      <c r="L551" s="1" t="str">
        <f aca="false">'Raw Atomic Data (Pro)'!D551</f>
        <v>repeat-client-relationships</v>
      </c>
      <c r="M551" s="1" t="str">
        <f aca="false">'Raw Atomic Data (Pro)'!E551</f>
        <v>fact</v>
      </c>
      <c r="N551" s="1" t="n">
        <f aca="false">IF(OR(M551="friction",M551="need",M551="workaround"),1,0)</f>
        <v>0</v>
      </c>
      <c r="O551" s="1" t="n">
        <f aca="false">IF(COUNTIFS($K$2:K551,K551,$L$2:L551,L551,$M$2:M551,M551,$J$2:J551,J551)=1,1,0)</f>
        <v>1</v>
      </c>
      <c r="P551" s="1" t="n">
        <f aca="false">IF(AND(N551=1,S551=1,COUNTIFS($L$2:L551,L551,$J$2:J551,J551,$N$2:N551,1,$S$2:S551,1)=1),1,0)</f>
        <v>0</v>
      </c>
      <c r="Q551" s="1" t="n">
        <f aca="false">IF(AND(N551=1,S551=1,COUNTIFS($L$2:L551,L551,$K$2:K551,K551,$N$2:N551,1,$S$2:S551,1)=1),1,0)</f>
        <v>0</v>
      </c>
      <c r="R551" s="1" t="n">
        <f aca="false">IF(AND(N551=1,COUNTIFS($K$2:K551,K551,$L$2:L551,L551,$J$2:J551,J551,$N$2:N551,1)=1),1,0)</f>
        <v>0</v>
      </c>
      <c r="S551" s="1" t="n">
        <f aca="false">IF(AND(K551&lt;&gt;"Context and provider model",K551&lt;&gt;"Motivation"),1,0)</f>
        <v>1</v>
      </c>
    </row>
    <row r="552" customFormat="false" ht="15" hidden="false" customHeight="true" outlineLevel="0" collapsed="false">
      <c r="J552" s="1" t="str">
        <f aca="false">'Raw Atomic Data (Pro)'!A552</f>
        <v>Andrew</v>
      </c>
      <c r="K552" s="1" t="str">
        <f aca="false">'Raw Atomic Data (Pro)'!C552</f>
        <v>Client communication</v>
      </c>
      <c r="L552" s="1" t="str">
        <f aca="false">'Raw Atomic Data (Pro)'!D552</f>
        <v>messaging-platform-mechanics</v>
      </c>
      <c r="M552" s="1" t="str">
        <f aca="false">'Raw Atomic Data (Pro)'!E552</f>
        <v>friction</v>
      </c>
      <c r="N552" s="1" t="n">
        <f aca="false">IF(OR(M552="friction",M552="need",M552="workaround"),1,0)</f>
        <v>1</v>
      </c>
      <c r="O552" s="1" t="n">
        <f aca="false">IF(COUNTIFS($K$2:K552,K552,$L$2:L552,L552,$M$2:M552,M552,$J$2:J552,J552)=1,1,0)</f>
        <v>1</v>
      </c>
      <c r="P552" s="1" t="n">
        <f aca="false">IF(AND(N552=1,S552=1,COUNTIFS($L$2:L552,L552,$J$2:J552,J552,$N$2:N552,1,$S$2:S552,1)=1),1,0)</f>
        <v>0</v>
      </c>
      <c r="Q552" s="1" t="n">
        <f aca="false">IF(AND(N552=1,S552=1,COUNTIFS($L$2:L552,L552,$K$2:K552,K552,$N$2:N552,1,$S$2:S552,1)=1),1,0)</f>
        <v>1</v>
      </c>
      <c r="R552" s="1" t="n">
        <f aca="false">IF(AND(N552=1,COUNTIFS($K$2:K552,K552,$L$2:L552,L552,$J$2:J552,J552,$N$2:N552,1)=1),1,0)</f>
        <v>1</v>
      </c>
      <c r="S552" s="1" t="n">
        <f aca="false">IF(AND(K552&lt;&gt;"Context and provider model",K552&lt;&gt;"Motivation"),1,0)</f>
        <v>1</v>
      </c>
    </row>
    <row r="553" customFormat="false" ht="15" hidden="false" customHeight="true" outlineLevel="0" collapsed="false">
      <c r="J553" s="1" t="str">
        <f aca="false">'Raw Atomic Data (Pro)'!A553</f>
        <v>Anita</v>
      </c>
      <c r="K553" s="1" t="str">
        <f aca="false">'Raw Atomic Data (Pro)'!C553</f>
        <v>Client communication</v>
      </c>
      <c r="L553" s="1" t="str">
        <f aca="false">'Raw Atomic Data (Pro)'!D553</f>
        <v>messaging-platform-mechanics</v>
      </c>
      <c r="M553" s="1" t="str">
        <f aca="false">'Raw Atomic Data (Pro)'!E553</f>
        <v>friction</v>
      </c>
      <c r="N553" s="1" t="n">
        <f aca="false">IF(OR(M553="friction",M553="need",M553="workaround"),1,0)</f>
        <v>1</v>
      </c>
      <c r="O553" s="1" t="n">
        <f aca="false">IF(COUNTIFS($K$2:K553,K553,$L$2:L553,L553,$M$2:M553,M553,$J$2:J553,J553)=1,1,0)</f>
        <v>1</v>
      </c>
      <c r="P553" s="1" t="n">
        <f aca="false">IF(AND(N553=1,S553=1,COUNTIFS($L$2:L553,L553,$J$2:J553,J553,$N$2:N553,1,$S$2:S553,1)=1),1,0)</f>
        <v>1</v>
      </c>
      <c r="Q553" s="1" t="n">
        <f aca="false">IF(AND(N553=1,S553=1,COUNTIFS($L$2:L553,L553,$K$2:K553,K553,$N$2:N553,1,$S$2:S553,1)=1),1,0)</f>
        <v>0</v>
      </c>
      <c r="R553" s="1" t="n">
        <f aca="false">IF(AND(N553=1,COUNTIFS($K$2:K553,K553,$L$2:L553,L553,$J$2:J553,J553,$N$2:N553,1)=1),1,0)</f>
        <v>1</v>
      </c>
      <c r="S553" s="1" t="n">
        <f aca="false">IF(AND(K553&lt;&gt;"Context and provider model",K553&lt;&gt;"Motivation"),1,0)</f>
        <v>1</v>
      </c>
    </row>
    <row r="554" customFormat="false" ht="15" hidden="false" customHeight="true" outlineLevel="0" collapsed="false">
      <c r="J554" s="1" t="str">
        <f aca="false">'Raw Atomic Data (Pro)'!A554</f>
        <v>Anita</v>
      </c>
      <c r="K554" s="1" t="str">
        <f aca="false">'Raw Atomic Data (Pro)'!C554</f>
        <v>Client communication</v>
      </c>
      <c r="L554" s="1" t="str">
        <f aca="false">'Raw Atomic Data (Pro)'!D554</f>
        <v>off-platform-communication-channels</v>
      </c>
      <c r="M554" s="1" t="str">
        <f aca="false">'Raw Atomic Data (Pro)'!E554</f>
        <v>workaround</v>
      </c>
      <c r="N554" s="1" t="n">
        <f aca="false">IF(OR(M554="friction",M554="need",M554="workaround"),1,0)</f>
        <v>1</v>
      </c>
      <c r="O554" s="1" t="n">
        <f aca="false">IF(COUNTIFS($K$2:K554,K554,$L$2:L554,L554,$M$2:M554,M554,$J$2:J554,J554)=1,1,0)</f>
        <v>1</v>
      </c>
      <c r="P554" s="1" t="n">
        <f aca="false">IF(AND(N554=1,S554=1,COUNTIFS($L$2:L554,L554,$J$2:J554,J554,$N$2:N554,1,$S$2:S554,1)=1),1,0)</f>
        <v>1</v>
      </c>
      <c r="Q554" s="1" t="n">
        <f aca="false">IF(AND(N554=1,S554=1,COUNTIFS($L$2:L554,L554,$K$2:K554,K554,$N$2:N554,1,$S$2:S554,1)=1),1,0)</f>
        <v>1</v>
      </c>
      <c r="R554" s="1" t="n">
        <f aca="false">IF(AND(N554=1,COUNTIFS($K$2:K554,K554,$L$2:L554,L554,$J$2:J554,J554,$N$2:N554,1)=1),1,0)</f>
        <v>1</v>
      </c>
      <c r="S554" s="1" t="n">
        <f aca="false">IF(AND(K554&lt;&gt;"Context and provider model",K554&lt;&gt;"Motivation"),1,0)</f>
        <v>1</v>
      </c>
    </row>
    <row r="555" customFormat="false" ht="15" hidden="false" customHeight="true" outlineLevel="0" collapsed="false">
      <c r="J555" s="1" t="str">
        <f aca="false">'Raw Atomic Data (Pro)'!A555</f>
        <v>Anita</v>
      </c>
      <c r="K555" s="1" t="str">
        <f aca="false">'Raw Atomic Data (Pro)'!C555</f>
        <v>Client communication</v>
      </c>
      <c r="L555" s="1" t="str">
        <f aca="false">'Raw Atomic Data (Pro)'!D555</f>
        <v>off-platform-communication-channels</v>
      </c>
      <c r="M555" s="1" t="str">
        <f aca="false">'Raw Atomic Data (Pro)'!E555</f>
        <v>fact</v>
      </c>
      <c r="N555" s="1" t="n">
        <f aca="false">IF(OR(M555="friction",M555="need",M555="workaround"),1,0)</f>
        <v>0</v>
      </c>
      <c r="O555" s="1" t="n">
        <f aca="false">IF(COUNTIFS($K$2:K555,K555,$L$2:L555,L555,$M$2:M555,M555,$J$2:J555,J555)=1,1,0)</f>
        <v>1</v>
      </c>
      <c r="P555" s="1" t="n">
        <f aca="false">IF(AND(N555=1,S555=1,COUNTIFS($L$2:L555,L555,$J$2:J555,J555,$N$2:N555,1,$S$2:S555,1)=1),1,0)</f>
        <v>0</v>
      </c>
      <c r="Q555" s="1" t="n">
        <f aca="false">IF(AND(N555=1,S555=1,COUNTIFS($L$2:L555,L555,$K$2:K555,K555,$N$2:N555,1,$S$2:S555,1)=1),1,0)</f>
        <v>0</v>
      </c>
      <c r="R555" s="1" t="n">
        <f aca="false">IF(AND(N555=1,COUNTIFS($K$2:K555,K555,$L$2:L555,L555,$J$2:J555,J555,$N$2:N555,1)=1),1,0)</f>
        <v>0</v>
      </c>
      <c r="S555" s="1" t="n">
        <f aca="false">IF(AND(K555&lt;&gt;"Context and provider model",K555&lt;&gt;"Motivation"),1,0)</f>
        <v>1</v>
      </c>
    </row>
    <row r="556" customFormat="false" ht="15" hidden="false" customHeight="true" outlineLevel="0" collapsed="false">
      <c r="J556" s="1" t="str">
        <f aca="false">'Raw Atomic Data (Pro)'!A556</f>
        <v>Anita</v>
      </c>
      <c r="K556" s="1" t="str">
        <f aca="false">'Raw Atomic Data (Pro)'!C556</f>
        <v>Client communication</v>
      </c>
      <c r="L556" s="1" t="str">
        <f aca="false">'Raw Atomic Data (Pro)'!D556</f>
        <v>repeat-client-relationships</v>
      </c>
      <c r="M556" s="1" t="str">
        <f aca="false">'Raw Atomic Data (Pro)'!E556</f>
        <v>value-statement</v>
      </c>
      <c r="N556" s="1" t="n">
        <f aca="false">IF(OR(M556="friction",M556="need",M556="workaround"),1,0)</f>
        <v>0</v>
      </c>
      <c r="O556" s="1" t="n">
        <f aca="false">IF(COUNTIFS($K$2:K556,K556,$L$2:L556,L556,$M$2:M556,M556,$J$2:J556,J556)=1,1,0)</f>
        <v>1</v>
      </c>
      <c r="P556" s="1" t="n">
        <f aca="false">IF(AND(N556=1,S556=1,COUNTIFS($L$2:L556,L556,$J$2:J556,J556,$N$2:N556,1,$S$2:S556,1)=1),1,0)</f>
        <v>0</v>
      </c>
      <c r="Q556" s="1" t="n">
        <f aca="false">IF(AND(N556=1,S556=1,COUNTIFS($L$2:L556,L556,$K$2:K556,K556,$N$2:N556,1,$S$2:S556,1)=1),1,0)</f>
        <v>0</v>
      </c>
      <c r="R556" s="1" t="n">
        <f aca="false">IF(AND(N556=1,COUNTIFS($K$2:K556,K556,$L$2:L556,L556,$J$2:J556,J556,$N$2:N556,1)=1),1,0)</f>
        <v>0</v>
      </c>
      <c r="S556" s="1" t="n">
        <f aca="false">IF(AND(K556&lt;&gt;"Context and provider model",K556&lt;&gt;"Motivation"),1,0)</f>
        <v>1</v>
      </c>
    </row>
    <row r="557" customFormat="false" ht="15" hidden="false" customHeight="true" outlineLevel="0" collapsed="false">
      <c r="J557" s="1" t="str">
        <f aca="false">'Raw Atomic Data (Pro)'!A557</f>
        <v>Anita</v>
      </c>
      <c r="K557" s="1" t="str">
        <f aca="false">'Raw Atomic Data (Pro)'!C557</f>
        <v>Client communication</v>
      </c>
      <c r="L557" s="1" t="str">
        <f aca="false">'Raw Atomic Data (Pro)'!D557</f>
        <v>safety-risk-incidents</v>
      </c>
      <c r="M557" s="1" t="str">
        <f aca="false">'Raw Atomic Data (Pro)'!E557</f>
        <v>workaround</v>
      </c>
      <c r="N557" s="1" t="n">
        <f aca="false">IF(OR(M557="friction",M557="need",M557="workaround"),1,0)</f>
        <v>1</v>
      </c>
      <c r="O557" s="1" t="n">
        <f aca="false">IF(COUNTIFS($K$2:K557,K557,$L$2:L557,L557,$M$2:M557,M557,$J$2:J557,J557)=1,1,0)</f>
        <v>1</v>
      </c>
      <c r="P557" s="1" t="n">
        <f aca="false">IF(AND(N557=1,S557=1,COUNTIFS($L$2:L557,L557,$J$2:J557,J557,$N$2:N557,1,$S$2:S557,1)=1),1,0)</f>
        <v>0</v>
      </c>
      <c r="Q557" s="1" t="n">
        <f aca="false">IF(AND(N557=1,S557=1,COUNTIFS($L$2:L557,L557,$K$2:K557,K557,$N$2:N557,1,$S$2:S557,1)=1),1,0)</f>
        <v>1</v>
      </c>
      <c r="R557" s="1" t="n">
        <f aca="false">IF(AND(N557=1,COUNTIFS($K$2:K557,K557,$L$2:L557,L557,$J$2:J557,J557,$N$2:N557,1)=1),1,0)</f>
        <v>1</v>
      </c>
      <c r="S557" s="1" t="n">
        <f aca="false">IF(AND(K557&lt;&gt;"Context and provider model",K557&lt;&gt;"Motivation"),1,0)</f>
        <v>1</v>
      </c>
    </row>
    <row r="558" customFormat="false" ht="15" hidden="false" customHeight="true" outlineLevel="0" collapsed="false">
      <c r="J558" s="1" t="str">
        <f aca="false">'Raw Atomic Data (Pro)'!A558</f>
        <v>Anita</v>
      </c>
      <c r="K558" s="1" t="str">
        <f aca="false">'Raw Atomic Data (Pro)'!C558</f>
        <v>Client communication</v>
      </c>
      <c r="L558" s="1" t="str">
        <f aca="false">'Raw Atomic Data (Pro)'!D558</f>
        <v>repeat-client-relationships</v>
      </c>
      <c r="M558" s="1" t="str">
        <f aca="false">'Raw Atomic Data (Pro)'!E558</f>
        <v>value-statement</v>
      </c>
      <c r="N558" s="1" t="n">
        <f aca="false">IF(OR(M558="friction",M558="need",M558="workaround"),1,0)</f>
        <v>0</v>
      </c>
      <c r="O558" s="1" t="n">
        <f aca="false">IF(COUNTIFS($K$2:K558,K558,$L$2:L558,L558,$M$2:M558,M558,$J$2:J558,J558)=1,1,0)</f>
        <v>0</v>
      </c>
      <c r="P558" s="1" t="n">
        <f aca="false">IF(AND(N558=1,S558=1,COUNTIFS($L$2:L558,L558,$J$2:J558,J558,$N$2:N558,1,$S$2:S558,1)=1),1,0)</f>
        <v>0</v>
      </c>
      <c r="Q558" s="1" t="n">
        <f aca="false">IF(AND(N558=1,S558=1,COUNTIFS($L$2:L558,L558,$K$2:K558,K558,$N$2:N558,1,$S$2:S558,1)=1),1,0)</f>
        <v>0</v>
      </c>
      <c r="R558" s="1" t="n">
        <f aca="false">IF(AND(N558=1,COUNTIFS($K$2:K558,K558,$L$2:L558,L558,$J$2:J558,J558,$N$2:N558,1)=1),1,0)</f>
        <v>0</v>
      </c>
      <c r="S558" s="1" t="n">
        <f aca="false">IF(AND(K558&lt;&gt;"Context and provider model",K558&lt;&gt;"Motivation"),1,0)</f>
        <v>1</v>
      </c>
    </row>
    <row r="559" customFormat="false" ht="15" hidden="false" customHeight="true" outlineLevel="0" collapsed="false">
      <c r="J559" s="1" t="str">
        <f aca="false">'Raw Atomic Data (Pro)'!A559</f>
        <v>Becky</v>
      </c>
      <c r="K559" s="1" t="str">
        <f aca="false">'Raw Atomic Data (Pro)'!C559</f>
        <v>Client communication</v>
      </c>
      <c r="L559" s="1" t="str">
        <f aca="false">'Raw Atomic Data (Pro)'!D559</f>
        <v>messaging-platform-mechanics</v>
      </c>
      <c r="M559" s="1" t="str">
        <f aca="false">'Raw Atomic Data (Pro)'!E559</f>
        <v>fact</v>
      </c>
      <c r="N559" s="1" t="n">
        <f aca="false">IF(OR(M559="friction",M559="need",M559="workaround"),1,0)</f>
        <v>0</v>
      </c>
      <c r="O559" s="1" t="n">
        <f aca="false">IF(COUNTIFS($K$2:K559,K559,$L$2:L559,L559,$M$2:M559,M559,$J$2:J559,J559)=1,1,0)</f>
        <v>1</v>
      </c>
      <c r="P559" s="1" t="n">
        <f aca="false">IF(AND(N559=1,S559=1,COUNTIFS($L$2:L559,L559,$J$2:J559,J559,$N$2:N559,1,$S$2:S559,1)=1),1,0)</f>
        <v>0</v>
      </c>
      <c r="Q559" s="1" t="n">
        <f aca="false">IF(AND(N559=1,S559=1,COUNTIFS($L$2:L559,L559,$K$2:K559,K559,$N$2:N559,1,$S$2:S559,1)=1),1,0)</f>
        <v>0</v>
      </c>
      <c r="R559" s="1" t="n">
        <f aca="false">IF(AND(N559=1,COUNTIFS($K$2:K559,K559,$L$2:L559,L559,$J$2:J559,J559,$N$2:N559,1)=1),1,0)</f>
        <v>0</v>
      </c>
      <c r="S559" s="1" t="n">
        <f aca="false">IF(AND(K559&lt;&gt;"Context and provider model",K559&lt;&gt;"Motivation"),1,0)</f>
        <v>1</v>
      </c>
    </row>
    <row r="560" customFormat="false" ht="15" hidden="false" customHeight="true" outlineLevel="0" collapsed="false">
      <c r="J560" s="1" t="str">
        <f aca="false">'Raw Atomic Data (Pro)'!A560</f>
        <v>Becky</v>
      </c>
      <c r="K560" s="1" t="str">
        <f aca="false">'Raw Atomic Data (Pro)'!C560</f>
        <v>Client communication</v>
      </c>
      <c r="L560" s="1" t="str">
        <f aca="false">'Raw Atomic Data (Pro)'!D560</f>
        <v>messaging-platform-mechanics</v>
      </c>
      <c r="M560" s="1" t="str">
        <f aca="false">'Raw Atomic Data (Pro)'!E560</f>
        <v>workaround</v>
      </c>
      <c r="N560" s="1" t="n">
        <f aca="false">IF(OR(M560="friction",M560="need",M560="workaround"),1,0)</f>
        <v>1</v>
      </c>
      <c r="O560" s="1" t="n">
        <f aca="false">IF(COUNTIFS($K$2:K560,K560,$L$2:L560,L560,$M$2:M560,M560,$J$2:J560,J560)=1,1,0)</f>
        <v>1</v>
      </c>
      <c r="P560" s="1" t="n">
        <f aca="false">IF(AND(N560=1,S560=1,COUNTIFS($L$2:L560,L560,$J$2:J560,J560,$N$2:N560,1,$S$2:S560,1)=1),1,0)</f>
        <v>1</v>
      </c>
      <c r="Q560" s="1" t="n">
        <f aca="false">IF(AND(N560=1,S560=1,COUNTIFS($L$2:L560,L560,$K$2:K560,K560,$N$2:N560,1,$S$2:S560,1)=1),1,0)</f>
        <v>0</v>
      </c>
      <c r="R560" s="1" t="n">
        <f aca="false">IF(AND(N560=1,COUNTIFS($K$2:K560,K560,$L$2:L560,L560,$J$2:J560,J560,$N$2:N560,1)=1),1,0)</f>
        <v>1</v>
      </c>
      <c r="S560" s="1" t="n">
        <f aca="false">IF(AND(K560&lt;&gt;"Context and provider model",K560&lt;&gt;"Motivation"),1,0)</f>
        <v>1</v>
      </c>
    </row>
    <row r="561" customFormat="false" ht="15" hidden="false" customHeight="true" outlineLevel="0" collapsed="false">
      <c r="J561" s="1" t="str">
        <f aca="false">'Raw Atomic Data (Pro)'!A561</f>
        <v>Becky</v>
      </c>
      <c r="K561" s="1" t="str">
        <f aca="false">'Raw Atomic Data (Pro)'!C561</f>
        <v>Client communication</v>
      </c>
      <c r="L561" s="1" t="str">
        <f aca="false">'Raw Atomic Data (Pro)'!D561</f>
        <v>messaging-platform-mechanics</v>
      </c>
      <c r="M561" s="1" t="str">
        <f aca="false">'Raw Atomic Data (Pro)'!E561</f>
        <v>fact</v>
      </c>
      <c r="N561" s="1" t="n">
        <f aca="false">IF(OR(M561="friction",M561="need",M561="workaround"),1,0)</f>
        <v>0</v>
      </c>
      <c r="O561" s="1" t="n">
        <f aca="false">IF(COUNTIFS($K$2:K561,K561,$L$2:L561,L561,$M$2:M561,M561,$J$2:J561,J561)=1,1,0)</f>
        <v>0</v>
      </c>
      <c r="P561" s="1" t="n">
        <f aca="false">IF(AND(N561=1,S561=1,COUNTIFS($L$2:L561,L561,$J$2:J561,J561,$N$2:N561,1,$S$2:S561,1)=1),1,0)</f>
        <v>0</v>
      </c>
      <c r="Q561" s="1" t="n">
        <f aca="false">IF(AND(N561=1,S561=1,COUNTIFS($L$2:L561,L561,$K$2:K561,K561,$N$2:N561,1,$S$2:S561,1)=1),1,0)</f>
        <v>0</v>
      </c>
      <c r="R561" s="1" t="n">
        <f aca="false">IF(AND(N561=1,COUNTIFS($K$2:K561,K561,$L$2:L561,L561,$J$2:J561,J561,$N$2:N561,1)=1),1,0)</f>
        <v>0</v>
      </c>
      <c r="S561" s="1" t="n">
        <f aca="false">IF(AND(K561&lt;&gt;"Context and provider model",K561&lt;&gt;"Motivation"),1,0)</f>
        <v>1</v>
      </c>
    </row>
    <row r="562" customFormat="false" ht="15" hidden="false" customHeight="true" outlineLevel="0" collapsed="false">
      <c r="J562" s="1" t="str">
        <f aca="false">'Raw Atomic Data (Pro)'!A562</f>
        <v>Becky</v>
      </c>
      <c r="K562" s="1" t="str">
        <f aca="false">'Raw Atomic Data (Pro)'!C562</f>
        <v>Client communication</v>
      </c>
      <c r="L562" s="1" t="str">
        <f aca="false">'Raw Atomic Data (Pro)'!D562</f>
        <v>messaging-platform-mechanics</v>
      </c>
      <c r="M562" s="1" t="str">
        <f aca="false">'Raw Atomic Data (Pro)'!E562</f>
        <v>fact</v>
      </c>
      <c r="N562" s="1" t="n">
        <f aca="false">IF(OR(M562="friction",M562="need",M562="workaround"),1,0)</f>
        <v>0</v>
      </c>
      <c r="O562" s="1" t="n">
        <f aca="false">IF(COUNTIFS($K$2:K562,K562,$L$2:L562,L562,$M$2:M562,M562,$J$2:J562,J562)=1,1,0)</f>
        <v>0</v>
      </c>
      <c r="P562" s="1" t="n">
        <f aca="false">IF(AND(N562=1,S562=1,COUNTIFS($L$2:L562,L562,$J$2:J562,J562,$N$2:N562,1,$S$2:S562,1)=1),1,0)</f>
        <v>0</v>
      </c>
      <c r="Q562" s="1" t="n">
        <f aca="false">IF(AND(N562=1,S562=1,COUNTIFS($L$2:L562,L562,$K$2:K562,K562,$N$2:N562,1,$S$2:S562,1)=1),1,0)</f>
        <v>0</v>
      </c>
      <c r="R562" s="1" t="n">
        <f aca="false">IF(AND(N562=1,COUNTIFS($K$2:K562,K562,$L$2:L562,L562,$J$2:J562,J562,$N$2:N562,1)=1),1,0)</f>
        <v>0</v>
      </c>
      <c r="S562" s="1" t="n">
        <f aca="false">IF(AND(K562&lt;&gt;"Context and provider model",K562&lt;&gt;"Motivation"),1,0)</f>
        <v>1</v>
      </c>
    </row>
    <row r="563" customFormat="false" ht="15" hidden="false" customHeight="true" outlineLevel="0" collapsed="false">
      <c r="J563" s="1" t="str">
        <f aca="false">'Raw Atomic Data (Pro)'!A563</f>
        <v>Becky</v>
      </c>
      <c r="K563" s="1" t="str">
        <f aca="false">'Raw Atomic Data (Pro)'!C563</f>
        <v>Client communication</v>
      </c>
      <c r="L563" s="1" t="str">
        <f aca="false">'Raw Atomic Data (Pro)'!D563</f>
        <v>messaging-platform-mechanics</v>
      </c>
      <c r="M563" s="1" t="str">
        <f aca="false">'Raw Atomic Data (Pro)'!E563</f>
        <v>friction</v>
      </c>
      <c r="N563" s="1" t="n">
        <f aca="false">IF(OR(M563="friction",M563="need",M563="workaround"),1,0)</f>
        <v>1</v>
      </c>
      <c r="O563" s="1" t="n">
        <f aca="false">IF(COUNTIFS($K$2:K563,K563,$L$2:L563,L563,$M$2:M563,M563,$J$2:J563,J563)=1,1,0)</f>
        <v>1</v>
      </c>
      <c r="P563" s="1" t="n">
        <f aca="false">IF(AND(N563=1,S563=1,COUNTIFS($L$2:L563,L563,$J$2:J563,J563,$N$2:N563,1,$S$2:S563,1)=1),1,0)</f>
        <v>0</v>
      </c>
      <c r="Q563" s="1" t="n">
        <f aca="false">IF(AND(N563=1,S563=1,COUNTIFS($L$2:L563,L563,$K$2:K563,K563,$N$2:N563,1,$S$2:S563,1)=1),1,0)</f>
        <v>0</v>
      </c>
      <c r="R563" s="1" t="n">
        <f aca="false">IF(AND(N563=1,COUNTIFS($K$2:K563,K563,$L$2:L563,L563,$J$2:J563,J563,$N$2:N563,1)=1),1,0)</f>
        <v>0</v>
      </c>
      <c r="S563" s="1" t="n">
        <f aca="false">IF(AND(K563&lt;&gt;"Context and provider model",K563&lt;&gt;"Motivation"),1,0)</f>
        <v>1</v>
      </c>
    </row>
    <row r="564" customFormat="false" ht="15" hidden="false" customHeight="true" outlineLevel="0" collapsed="false">
      <c r="J564" s="1" t="str">
        <f aca="false">'Raw Atomic Data (Pro)'!A564</f>
        <v>Becky</v>
      </c>
      <c r="K564" s="1" t="str">
        <f aca="false">'Raw Atomic Data (Pro)'!C564</f>
        <v>Client communication</v>
      </c>
      <c r="L564" s="1" t="str">
        <f aca="false">'Raw Atomic Data (Pro)'!D564</f>
        <v>in-sit-updates-media</v>
      </c>
      <c r="M564" s="1" t="str">
        <f aca="false">'Raw Atomic Data (Pro)'!E564</f>
        <v>fact</v>
      </c>
      <c r="N564" s="1" t="n">
        <f aca="false">IF(OR(M564="friction",M564="need",M564="workaround"),1,0)</f>
        <v>0</v>
      </c>
      <c r="O564" s="1" t="n">
        <f aca="false">IF(COUNTIFS($K$2:K564,K564,$L$2:L564,L564,$M$2:M564,M564,$J$2:J564,J564)=1,1,0)</f>
        <v>1</v>
      </c>
      <c r="P564" s="1" t="n">
        <f aca="false">IF(AND(N564=1,S564=1,COUNTIFS($L$2:L564,L564,$J$2:J564,J564,$N$2:N564,1,$S$2:S564,1)=1),1,0)</f>
        <v>0</v>
      </c>
      <c r="Q564" s="1" t="n">
        <f aca="false">IF(AND(N564=1,S564=1,COUNTIFS($L$2:L564,L564,$K$2:K564,K564,$N$2:N564,1,$S$2:S564,1)=1),1,0)</f>
        <v>0</v>
      </c>
      <c r="R564" s="1" t="n">
        <f aca="false">IF(AND(N564=1,COUNTIFS($K$2:K564,K564,$L$2:L564,L564,$J$2:J564,J564,$N$2:N564,1)=1),1,0)</f>
        <v>0</v>
      </c>
      <c r="S564" s="1" t="n">
        <f aca="false">IF(AND(K564&lt;&gt;"Context and provider model",K564&lt;&gt;"Motivation"),1,0)</f>
        <v>1</v>
      </c>
    </row>
    <row r="565" customFormat="false" ht="15" hidden="false" customHeight="true" outlineLevel="0" collapsed="false">
      <c r="J565" s="1" t="str">
        <f aca="false">'Raw Atomic Data (Pro)'!A565</f>
        <v>Becky</v>
      </c>
      <c r="K565" s="1" t="str">
        <f aca="false">'Raw Atomic Data (Pro)'!C565</f>
        <v>Client communication</v>
      </c>
      <c r="L565" s="1" t="str">
        <f aca="false">'Raw Atomic Data (Pro)'!D565</f>
        <v>messaging-platform-mechanics</v>
      </c>
      <c r="M565" s="1" t="str">
        <f aca="false">'Raw Atomic Data (Pro)'!E565</f>
        <v>workaround</v>
      </c>
      <c r="N565" s="1" t="n">
        <f aca="false">IF(OR(M565="friction",M565="need",M565="workaround"),1,0)</f>
        <v>1</v>
      </c>
      <c r="O565" s="1" t="n">
        <f aca="false">IF(COUNTIFS($K$2:K565,K565,$L$2:L565,L565,$M$2:M565,M565,$J$2:J565,J565)=1,1,0)</f>
        <v>0</v>
      </c>
      <c r="P565" s="1" t="n">
        <f aca="false">IF(AND(N565=1,S565=1,COUNTIFS($L$2:L565,L565,$J$2:J565,J565,$N$2:N565,1,$S$2:S565,1)=1),1,0)</f>
        <v>0</v>
      </c>
      <c r="Q565" s="1" t="n">
        <f aca="false">IF(AND(N565=1,S565=1,COUNTIFS($L$2:L565,L565,$K$2:K565,K565,$N$2:N565,1,$S$2:S565,1)=1),1,0)</f>
        <v>0</v>
      </c>
      <c r="R565" s="1" t="n">
        <f aca="false">IF(AND(N565=1,COUNTIFS($K$2:K565,K565,$L$2:L565,L565,$J$2:J565,J565,$N$2:N565,1)=1),1,0)</f>
        <v>0</v>
      </c>
      <c r="S565" s="1" t="n">
        <f aca="false">IF(AND(K565&lt;&gt;"Context and provider model",K565&lt;&gt;"Motivation"),1,0)</f>
        <v>1</v>
      </c>
    </row>
    <row r="566" customFormat="false" ht="15" hidden="false" customHeight="true" outlineLevel="0" collapsed="false">
      <c r="J566" s="1" t="str">
        <f aca="false">'Raw Atomic Data (Pro)'!A566</f>
        <v>Becky</v>
      </c>
      <c r="K566" s="1" t="str">
        <f aca="false">'Raw Atomic Data (Pro)'!C566</f>
        <v>Client communication</v>
      </c>
      <c r="L566" s="1" t="str">
        <f aca="false">'Raw Atomic Data (Pro)'!D566</f>
        <v>in-sit-updates-media</v>
      </c>
      <c r="M566" s="1" t="str">
        <f aca="false">'Raw Atomic Data (Pro)'!E566</f>
        <v>fact</v>
      </c>
      <c r="N566" s="1" t="n">
        <f aca="false">IF(OR(M566="friction",M566="need",M566="workaround"),1,0)</f>
        <v>0</v>
      </c>
      <c r="O566" s="1" t="n">
        <f aca="false">IF(COUNTIFS($K$2:K566,K566,$L$2:L566,L566,$M$2:M566,M566,$J$2:J566,J566)=1,1,0)</f>
        <v>0</v>
      </c>
      <c r="P566" s="1" t="n">
        <f aca="false">IF(AND(N566=1,S566=1,COUNTIFS($L$2:L566,L566,$J$2:J566,J566,$N$2:N566,1,$S$2:S566,1)=1),1,0)</f>
        <v>0</v>
      </c>
      <c r="Q566" s="1" t="n">
        <f aca="false">IF(AND(N566=1,S566=1,COUNTIFS($L$2:L566,L566,$K$2:K566,K566,$N$2:N566,1,$S$2:S566,1)=1),1,0)</f>
        <v>0</v>
      </c>
      <c r="R566" s="1" t="n">
        <f aca="false">IF(AND(N566=1,COUNTIFS($K$2:K566,K566,$L$2:L566,L566,$J$2:J566,J566,$N$2:N566,1)=1),1,0)</f>
        <v>0</v>
      </c>
      <c r="S566" s="1" t="n">
        <f aca="false">IF(AND(K566&lt;&gt;"Context and provider model",K566&lt;&gt;"Motivation"),1,0)</f>
        <v>1</v>
      </c>
    </row>
    <row r="567" customFormat="false" ht="15" hidden="false" customHeight="true" outlineLevel="0" collapsed="false">
      <c r="J567" s="1" t="str">
        <f aca="false">'Raw Atomic Data (Pro)'!A567</f>
        <v>Becky</v>
      </c>
      <c r="K567" s="1" t="str">
        <f aca="false">'Raw Atomic Data (Pro)'!C567</f>
        <v>Client communication</v>
      </c>
      <c r="L567" s="1" t="str">
        <f aca="false">'Raw Atomic Data (Pro)'!D567</f>
        <v>in-sit-updates-media</v>
      </c>
      <c r="M567" s="1" t="str">
        <f aca="false">'Raw Atomic Data (Pro)'!E567</f>
        <v>fact</v>
      </c>
      <c r="N567" s="1" t="n">
        <f aca="false">IF(OR(M567="friction",M567="need",M567="workaround"),1,0)</f>
        <v>0</v>
      </c>
      <c r="O567" s="1" t="n">
        <f aca="false">IF(COUNTIFS($K$2:K567,K567,$L$2:L567,L567,$M$2:M567,M567,$J$2:J567,J567)=1,1,0)</f>
        <v>0</v>
      </c>
      <c r="P567" s="1" t="n">
        <f aca="false">IF(AND(N567=1,S567=1,COUNTIFS($L$2:L567,L567,$J$2:J567,J567,$N$2:N567,1,$S$2:S567,1)=1),1,0)</f>
        <v>0</v>
      </c>
      <c r="Q567" s="1" t="n">
        <f aca="false">IF(AND(N567=1,S567=1,COUNTIFS($L$2:L567,L567,$K$2:K567,K567,$N$2:N567,1,$S$2:S567,1)=1),1,0)</f>
        <v>0</v>
      </c>
      <c r="R567" s="1" t="n">
        <f aca="false">IF(AND(N567=1,COUNTIFS($K$2:K567,K567,$L$2:L567,L567,$J$2:J567,J567,$N$2:N567,1)=1),1,0)</f>
        <v>0</v>
      </c>
      <c r="S567" s="1" t="n">
        <f aca="false">IF(AND(K567&lt;&gt;"Context and provider model",K567&lt;&gt;"Motivation"),1,0)</f>
        <v>1</v>
      </c>
    </row>
    <row r="568" customFormat="false" ht="15" hidden="false" customHeight="true" outlineLevel="0" collapsed="false">
      <c r="J568" s="1" t="str">
        <f aca="false">'Raw Atomic Data (Pro)'!A568</f>
        <v>Becky</v>
      </c>
      <c r="K568" s="1" t="str">
        <f aca="false">'Raw Atomic Data (Pro)'!C568</f>
        <v>Client communication</v>
      </c>
      <c r="L568" s="1" t="str">
        <f aca="false">'Raw Atomic Data (Pro)'!D568</f>
        <v>in-sit-updates-media</v>
      </c>
      <c r="M568" s="1" t="str">
        <f aca="false">'Raw Atomic Data (Pro)'!E568</f>
        <v>fact</v>
      </c>
      <c r="N568" s="1" t="n">
        <f aca="false">IF(OR(M568="friction",M568="need",M568="workaround"),1,0)</f>
        <v>0</v>
      </c>
      <c r="O568" s="1" t="n">
        <f aca="false">IF(COUNTIFS($K$2:K568,K568,$L$2:L568,L568,$M$2:M568,M568,$J$2:J568,J568)=1,1,0)</f>
        <v>0</v>
      </c>
      <c r="P568" s="1" t="n">
        <f aca="false">IF(AND(N568=1,S568=1,COUNTIFS($L$2:L568,L568,$J$2:J568,J568,$N$2:N568,1,$S$2:S568,1)=1),1,0)</f>
        <v>0</v>
      </c>
      <c r="Q568" s="1" t="n">
        <f aca="false">IF(AND(N568=1,S568=1,COUNTIFS($L$2:L568,L568,$K$2:K568,K568,$N$2:N568,1,$S$2:S568,1)=1),1,0)</f>
        <v>0</v>
      </c>
      <c r="R568" s="1" t="n">
        <f aca="false">IF(AND(N568=1,COUNTIFS($K$2:K568,K568,$L$2:L568,L568,$J$2:J568,J568,$N$2:N568,1)=1),1,0)</f>
        <v>0</v>
      </c>
      <c r="S568" s="1" t="n">
        <f aca="false">IF(AND(K568&lt;&gt;"Context and provider model",K568&lt;&gt;"Motivation"),1,0)</f>
        <v>1</v>
      </c>
    </row>
    <row r="569" customFormat="false" ht="15" hidden="false" customHeight="true" outlineLevel="0" collapsed="false">
      <c r="J569" s="1" t="str">
        <f aca="false">'Raw Atomic Data (Pro)'!A569</f>
        <v>Bruna</v>
      </c>
      <c r="K569" s="1" t="str">
        <f aca="false">'Raw Atomic Data (Pro)'!C569</f>
        <v>Client communication</v>
      </c>
      <c r="L569" s="1" t="str">
        <f aca="false">'Raw Atomic Data (Pro)'!D569</f>
        <v>repeat-client-relationships</v>
      </c>
      <c r="M569" s="1" t="str">
        <f aca="false">'Raw Atomic Data (Pro)'!E569</f>
        <v>value-statement</v>
      </c>
      <c r="N569" s="1" t="n">
        <f aca="false">IF(OR(M569="friction",M569="need",M569="workaround"),1,0)</f>
        <v>0</v>
      </c>
      <c r="O569" s="1" t="n">
        <f aca="false">IF(COUNTIFS($K$2:K569,K569,$L$2:L569,L569,$M$2:M569,M569,$J$2:J569,J569)=1,1,0)</f>
        <v>1</v>
      </c>
      <c r="P569" s="1" t="n">
        <f aca="false">IF(AND(N569=1,S569=1,COUNTIFS($L$2:L569,L569,$J$2:J569,J569,$N$2:N569,1,$S$2:S569,1)=1),1,0)</f>
        <v>0</v>
      </c>
      <c r="Q569" s="1" t="n">
        <f aca="false">IF(AND(N569=1,S569=1,COUNTIFS($L$2:L569,L569,$K$2:K569,K569,$N$2:N569,1,$S$2:S569,1)=1),1,0)</f>
        <v>0</v>
      </c>
      <c r="R569" s="1" t="n">
        <f aca="false">IF(AND(N569=1,COUNTIFS($K$2:K569,K569,$L$2:L569,L569,$J$2:J569,J569,$N$2:N569,1)=1),1,0)</f>
        <v>0</v>
      </c>
      <c r="S569" s="1" t="n">
        <f aca="false">IF(AND(K569&lt;&gt;"Context and provider model",K569&lt;&gt;"Motivation"),1,0)</f>
        <v>1</v>
      </c>
    </row>
    <row r="570" customFormat="false" ht="15" hidden="false" customHeight="true" outlineLevel="0" collapsed="false">
      <c r="J570" s="1" t="str">
        <f aca="false">'Raw Atomic Data (Pro)'!A570</f>
        <v>Colin</v>
      </c>
      <c r="K570" s="1" t="str">
        <f aca="false">'Raw Atomic Data (Pro)'!C570</f>
        <v>Client communication</v>
      </c>
      <c r="L570" s="1" t="str">
        <f aca="false">'Raw Atomic Data (Pro)'!D570</f>
        <v>in-sit-updates-media</v>
      </c>
      <c r="M570" s="1" t="str">
        <f aca="false">'Raw Atomic Data (Pro)'!E570</f>
        <v>fact</v>
      </c>
      <c r="N570" s="1" t="n">
        <f aca="false">IF(OR(M570="friction",M570="need",M570="workaround"),1,0)</f>
        <v>0</v>
      </c>
      <c r="O570" s="1" t="n">
        <f aca="false">IF(COUNTIFS($K$2:K570,K570,$L$2:L570,L570,$M$2:M570,M570,$J$2:J570,J570)=1,1,0)</f>
        <v>1</v>
      </c>
      <c r="P570" s="1" t="n">
        <f aca="false">IF(AND(N570=1,S570=1,COUNTIFS($L$2:L570,L570,$J$2:J570,J570,$N$2:N570,1,$S$2:S570,1)=1),1,0)</f>
        <v>0</v>
      </c>
      <c r="Q570" s="1" t="n">
        <f aca="false">IF(AND(N570=1,S570=1,COUNTIFS($L$2:L570,L570,$K$2:K570,K570,$N$2:N570,1,$S$2:S570,1)=1),1,0)</f>
        <v>0</v>
      </c>
      <c r="R570" s="1" t="n">
        <f aca="false">IF(AND(N570=1,COUNTIFS($K$2:K570,K570,$L$2:L570,L570,$J$2:J570,J570,$N$2:N570,1)=1),1,0)</f>
        <v>0</v>
      </c>
      <c r="S570" s="1" t="n">
        <f aca="false">IF(AND(K570&lt;&gt;"Context and provider model",K570&lt;&gt;"Motivation"),1,0)</f>
        <v>1</v>
      </c>
    </row>
    <row r="571" customFormat="false" ht="15" hidden="false" customHeight="true" outlineLevel="0" collapsed="false">
      <c r="J571" s="1" t="str">
        <f aca="false">'Raw Atomic Data (Pro)'!A571</f>
        <v>Colin</v>
      </c>
      <c r="K571" s="1" t="str">
        <f aca="false">'Raw Atomic Data (Pro)'!C571</f>
        <v>Client communication</v>
      </c>
      <c r="L571" s="1" t="str">
        <f aca="false">'Raw Atomic Data (Pro)'!D571</f>
        <v>in-sit-updates-media</v>
      </c>
      <c r="M571" s="1" t="str">
        <f aca="false">'Raw Atomic Data (Pro)'!E571</f>
        <v>fact</v>
      </c>
      <c r="N571" s="1" t="n">
        <f aca="false">IF(OR(M571="friction",M571="need",M571="workaround"),1,0)</f>
        <v>0</v>
      </c>
      <c r="O571" s="1" t="n">
        <f aca="false">IF(COUNTIFS($K$2:K571,K571,$L$2:L571,L571,$M$2:M571,M571,$J$2:J571,J571)=1,1,0)</f>
        <v>0</v>
      </c>
      <c r="P571" s="1" t="n">
        <f aca="false">IF(AND(N571=1,S571=1,COUNTIFS($L$2:L571,L571,$J$2:J571,J571,$N$2:N571,1,$S$2:S571,1)=1),1,0)</f>
        <v>0</v>
      </c>
      <c r="Q571" s="1" t="n">
        <f aca="false">IF(AND(N571=1,S571=1,COUNTIFS($L$2:L571,L571,$K$2:K571,K571,$N$2:N571,1,$S$2:S571,1)=1),1,0)</f>
        <v>0</v>
      </c>
      <c r="R571" s="1" t="n">
        <f aca="false">IF(AND(N571=1,COUNTIFS($K$2:K571,K571,$L$2:L571,L571,$J$2:J571,J571,$N$2:N571,1)=1),1,0)</f>
        <v>0</v>
      </c>
      <c r="S571" s="1" t="n">
        <f aca="false">IF(AND(K571&lt;&gt;"Context and provider model",K571&lt;&gt;"Motivation"),1,0)</f>
        <v>1</v>
      </c>
    </row>
    <row r="572" customFormat="false" ht="15" hidden="false" customHeight="true" outlineLevel="0" collapsed="false">
      <c r="J572" s="1" t="str">
        <f aca="false">'Raw Atomic Data (Pro)'!A572</f>
        <v>Colin</v>
      </c>
      <c r="K572" s="1" t="str">
        <f aca="false">'Raw Atomic Data (Pro)'!C572</f>
        <v>Client communication</v>
      </c>
      <c r="L572" s="1" t="str">
        <f aca="false">'Raw Atomic Data (Pro)'!D572</f>
        <v>messaging-platform-mechanics</v>
      </c>
      <c r="M572" s="1" t="str">
        <f aca="false">'Raw Atomic Data (Pro)'!E572</f>
        <v>friction</v>
      </c>
      <c r="N572" s="1" t="n">
        <f aca="false">IF(OR(M572="friction",M572="need",M572="workaround"),1,0)</f>
        <v>1</v>
      </c>
      <c r="O572" s="1" t="n">
        <f aca="false">IF(COUNTIFS($K$2:K572,K572,$L$2:L572,L572,$M$2:M572,M572,$J$2:J572,J572)=1,1,0)</f>
        <v>1</v>
      </c>
      <c r="P572" s="1" t="n">
        <f aca="false">IF(AND(N572=1,S572=1,COUNTIFS($L$2:L572,L572,$J$2:J572,J572,$N$2:N572,1,$S$2:S572,1)=1),1,0)</f>
        <v>1</v>
      </c>
      <c r="Q572" s="1" t="n">
        <f aca="false">IF(AND(N572=1,S572=1,COUNTIFS($L$2:L572,L572,$K$2:K572,K572,$N$2:N572,1,$S$2:S572,1)=1),1,0)</f>
        <v>0</v>
      </c>
      <c r="R572" s="1" t="n">
        <f aca="false">IF(AND(N572=1,COUNTIFS($K$2:K572,K572,$L$2:L572,L572,$J$2:J572,J572,$N$2:N572,1)=1),1,0)</f>
        <v>1</v>
      </c>
      <c r="S572" s="1" t="n">
        <f aca="false">IF(AND(K572&lt;&gt;"Context and provider model",K572&lt;&gt;"Motivation"),1,0)</f>
        <v>1</v>
      </c>
    </row>
    <row r="573" customFormat="false" ht="15" hidden="false" customHeight="true" outlineLevel="0" collapsed="false">
      <c r="J573" s="1" t="str">
        <f aca="false">'Raw Atomic Data (Pro)'!A573</f>
        <v>Colin</v>
      </c>
      <c r="K573" s="1" t="str">
        <f aca="false">'Raw Atomic Data (Pro)'!C573</f>
        <v>Client communication</v>
      </c>
      <c r="L573" s="1" t="str">
        <f aca="false">'Raw Atomic Data (Pro)'!D573</f>
        <v>messaging-platform-mechanics</v>
      </c>
      <c r="M573" s="1" t="str">
        <f aca="false">'Raw Atomic Data (Pro)'!E573</f>
        <v>friction</v>
      </c>
      <c r="N573" s="1" t="n">
        <f aca="false">IF(OR(M573="friction",M573="need",M573="workaround"),1,0)</f>
        <v>1</v>
      </c>
      <c r="O573" s="1" t="n">
        <f aca="false">IF(COUNTIFS($K$2:K573,K573,$L$2:L573,L573,$M$2:M573,M573,$J$2:J573,J573)=1,1,0)</f>
        <v>0</v>
      </c>
      <c r="P573" s="1" t="n">
        <f aca="false">IF(AND(N573=1,S573=1,COUNTIFS($L$2:L573,L573,$J$2:J573,J573,$N$2:N573,1,$S$2:S573,1)=1),1,0)</f>
        <v>0</v>
      </c>
      <c r="Q573" s="1" t="n">
        <f aca="false">IF(AND(N573=1,S573=1,COUNTIFS($L$2:L573,L573,$K$2:K573,K573,$N$2:N573,1,$S$2:S573,1)=1),1,0)</f>
        <v>0</v>
      </c>
      <c r="R573" s="1" t="n">
        <f aca="false">IF(AND(N573=1,COUNTIFS($K$2:K573,K573,$L$2:L573,L573,$J$2:J573,J573,$N$2:N573,1)=1),1,0)</f>
        <v>0</v>
      </c>
      <c r="S573" s="1" t="n">
        <f aca="false">IF(AND(K573&lt;&gt;"Context and provider model",K573&lt;&gt;"Motivation"),1,0)</f>
        <v>1</v>
      </c>
    </row>
    <row r="574" customFormat="false" ht="15" hidden="false" customHeight="true" outlineLevel="0" collapsed="false">
      <c r="J574" s="1" t="str">
        <f aca="false">'Raw Atomic Data (Pro)'!A574</f>
        <v>Colin</v>
      </c>
      <c r="K574" s="1" t="str">
        <f aca="false">'Raw Atomic Data (Pro)'!C574</f>
        <v>Client communication</v>
      </c>
      <c r="L574" s="1" t="str">
        <f aca="false">'Raw Atomic Data (Pro)'!D574</f>
        <v>messaging-platform-mechanics</v>
      </c>
      <c r="M574" s="1" t="str">
        <f aca="false">'Raw Atomic Data (Pro)'!E574</f>
        <v>friction</v>
      </c>
      <c r="N574" s="1" t="n">
        <f aca="false">IF(OR(M574="friction",M574="need",M574="workaround"),1,0)</f>
        <v>1</v>
      </c>
      <c r="O574" s="1" t="n">
        <f aca="false">IF(COUNTIFS($K$2:K574,K574,$L$2:L574,L574,$M$2:M574,M574,$J$2:J574,J574)=1,1,0)</f>
        <v>0</v>
      </c>
      <c r="P574" s="1" t="n">
        <f aca="false">IF(AND(N574=1,S574=1,COUNTIFS($L$2:L574,L574,$J$2:J574,J574,$N$2:N574,1,$S$2:S574,1)=1),1,0)</f>
        <v>0</v>
      </c>
      <c r="Q574" s="1" t="n">
        <f aca="false">IF(AND(N574=1,S574=1,COUNTIFS($L$2:L574,L574,$K$2:K574,K574,$N$2:N574,1,$S$2:S574,1)=1),1,0)</f>
        <v>0</v>
      </c>
      <c r="R574" s="1" t="n">
        <f aca="false">IF(AND(N574=1,COUNTIFS($K$2:K574,K574,$L$2:L574,L574,$J$2:J574,J574,$N$2:N574,1)=1),1,0)</f>
        <v>0</v>
      </c>
      <c r="S574" s="1" t="n">
        <f aca="false">IF(AND(K574&lt;&gt;"Context and provider model",K574&lt;&gt;"Motivation"),1,0)</f>
        <v>1</v>
      </c>
    </row>
    <row r="575" customFormat="false" ht="15" hidden="false" customHeight="true" outlineLevel="0" collapsed="false">
      <c r="J575" s="1" t="str">
        <f aca="false">'Raw Atomic Data (Pro)'!A575</f>
        <v>Colin</v>
      </c>
      <c r="K575" s="1" t="str">
        <f aca="false">'Raw Atomic Data (Pro)'!C575</f>
        <v>Client communication</v>
      </c>
      <c r="L575" s="1" t="str">
        <f aca="false">'Raw Atomic Data (Pro)'!D575</f>
        <v>messaging-platform-mechanics</v>
      </c>
      <c r="M575" s="1" t="str">
        <f aca="false">'Raw Atomic Data (Pro)'!E575</f>
        <v>friction</v>
      </c>
      <c r="N575" s="1" t="n">
        <f aca="false">IF(OR(M575="friction",M575="need",M575="workaround"),1,0)</f>
        <v>1</v>
      </c>
      <c r="O575" s="1" t="n">
        <f aca="false">IF(COUNTIFS($K$2:K575,K575,$L$2:L575,L575,$M$2:M575,M575,$J$2:J575,J575)=1,1,0)</f>
        <v>0</v>
      </c>
      <c r="P575" s="1" t="n">
        <f aca="false">IF(AND(N575=1,S575=1,COUNTIFS($L$2:L575,L575,$J$2:J575,J575,$N$2:N575,1,$S$2:S575,1)=1),1,0)</f>
        <v>0</v>
      </c>
      <c r="Q575" s="1" t="n">
        <f aca="false">IF(AND(N575=1,S575=1,COUNTIFS($L$2:L575,L575,$K$2:K575,K575,$N$2:N575,1,$S$2:S575,1)=1),1,0)</f>
        <v>0</v>
      </c>
      <c r="R575" s="1" t="n">
        <f aca="false">IF(AND(N575=1,COUNTIFS($K$2:K575,K575,$L$2:L575,L575,$J$2:J575,J575,$N$2:N575,1)=1),1,0)</f>
        <v>0</v>
      </c>
      <c r="S575" s="1" t="n">
        <f aca="false">IF(AND(K575&lt;&gt;"Context and provider model",K575&lt;&gt;"Motivation"),1,0)</f>
        <v>1</v>
      </c>
    </row>
    <row r="576" customFormat="false" ht="15" hidden="false" customHeight="true" outlineLevel="0" collapsed="false">
      <c r="J576" s="1" t="str">
        <f aca="false">'Raw Atomic Data (Pro)'!A576</f>
        <v>Colin</v>
      </c>
      <c r="K576" s="1" t="str">
        <f aca="false">'Raw Atomic Data (Pro)'!C576</f>
        <v>Client communication</v>
      </c>
      <c r="L576" s="1" t="str">
        <f aca="false">'Raw Atomic Data (Pro)'!D576</f>
        <v>off-platform-communication-channels</v>
      </c>
      <c r="M576" s="1" t="str">
        <f aca="false">'Raw Atomic Data (Pro)'!E576</f>
        <v>workaround</v>
      </c>
      <c r="N576" s="1" t="n">
        <f aca="false">IF(OR(M576="friction",M576="need",M576="workaround"),1,0)</f>
        <v>1</v>
      </c>
      <c r="O576" s="1" t="n">
        <f aca="false">IF(COUNTIFS($K$2:K576,K576,$L$2:L576,L576,$M$2:M576,M576,$J$2:J576,J576)=1,1,0)</f>
        <v>1</v>
      </c>
      <c r="P576" s="1" t="n">
        <f aca="false">IF(AND(N576=1,S576=1,COUNTIFS($L$2:L576,L576,$J$2:J576,J576,$N$2:N576,1,$S$2:S576,1)=1),1,0)</f>
        <v>1</v>
      </c>
      <c r="Q576" s="1" t="n">
        <f aca="false">IF(AND(N576=1,S576=1,COUNTIFS($L$2:L576,L576,$K$2:K576,K576,$N$2:N576,1,$S$2:S576,1)=1),1,0)</f>
        <v>0</v>
      </c>
      <c r="R576" s="1" t="n">
        <f aca="false">IF(AND(N576=1,COUNTIFS($K$2:K576,K576,$L$2:L576,L576,$J$2:J576,J576,$N$2:N576,1)=1),1,0)</f>
        <v>1</v>
      </c>
      <c r="S576" s="1" t="n">
        <f aca="false">IF(AND(K576&lt;&gt;"Context and provider model",K576&lt;&gt;"Motivation"),1,0)</f>
        <v>1</v>
      </c>
    </row>
    <row r="577" customFormat="false" ht="15" hidden="false" customHeight="true" outlineLevel="0" collapsed="false">
      <c r="J577" s="1" t="str">
        <f aca="false">'Raw Atomic Data (Pro)'!A577</f>
        <v>Colin</v>
      </c>
      <c r="K577" s="1" t="str">
        <f aca="false">'Raw Atomic Data (Pro)'!C577</f>
        <v>Client communication</v>
      </c>
      <c r="L577" s="1" t="str">
        <f aca="false">'Raw Atomic Data (Pro)'!D577</f>
        <v>off-platform-communication-channels</v>
      </c>
      <c r="M577" s="1" t="str">
        <f aca="false">'Raw Atomic Data (Pro)'!E577</f>
        <v>fact</v>
      </c>
      <c r="N577" s="1" t="n">
        <f aca="false">IF(OR(M577="friction",M577="need",M577="workaround"),1,0)</f>
        <v>0</v>
      </c>
      <c r="O577" s="1" t="n">
        <f aca="false">IF(COUNTIFS($K$2:K577,K577,$L$2:L577,L577,$M$2:M577,M577,$J$2:J577,J577)=1,1,0)</f>
        <v>1</v>
      </c>
      <c r="P577" s="1" t="n">
        <f aca="false">IF(AND(N577=1,S577=1,COUNTIFS($L$2:L577,L577,$J$2:J577,J577,$N$2:N577,1,$S$2:S577,1)=1),1,0)</f>
        <v>0</v>
      </c>
      <c r="Q577" s="1" t="n">
        <f aca="false">IF(AND(N577=1,S577=1,COUNTIFS($L$2:L577,L577,$K$2:K577,K577,$N$2:N577,1,$S$2:S577,1)=1),1,0)</f>
        <v>0</v>
      </c>
      <c r="R577" s="1" t="n">
        <f aca="false">IF(AND(N577=1,COUNTIFS($K$2:K577,K577,$L$2:L577,L577,$J$2:J577,J577,$N$2:N577,1)=1),1,0)</f>
        <v>0</v>
      </c>
      <c r="S577" s="1" t="n">
        <f aca="false">IF(AND(K577&lt;&gt;"Context and provider model",K577&lt;&gt;"Motivation"),1,0)</f>
        <v>1</v>
      </c>
    </row>
    <row r="578" customFormat="false" ht="15" hidden="false" customHeight="true" outlineLevel="0" collapsed="false">
      <c r="J578" s="1" t="str">
        <f aca="false">'Raw Atomic Data (Pro)'!A578</f>
        <v>Colin</v>
      </c>
      <c r="K578" s="1" t="str">
        <f aca="false">'Raw Atomic Data (Pro)'!C578</f>
        <v>Client communication</v>
      </c>
      <c r="L578" s="1" t="str">
        <f aca="false">'Raw Atomic Data (Pro)'!D578</f>
        <v>off-platform-communication-channels</v>
      </c>
      <c r="M578" s="1" t="str">
        <f aca="false">'Raw Atomic Data (Pro)'!E578</f>
        <v>fact</v>
      </c>
      <c r="N578" s="1" t="n">
        <f aca="false">IF(OR(M578="friction",M578="need",M578="workaround"),1,0)</f>
        <v>0</v>
      </c>
      <c r="O578" s="1" t="n">
        <f aca="false">IF(COUNTIFS($K$2:K578,K578,$L$2:L578,L578,$M$2:M578,M578,$J$2:J578,J578)=1,1,0)</f>
        <v>0</v>
      </c>
      <c r="P578" s="1" t="n">
        <f aca="false">IF(AND(N578=1,S578=1,COUNTIFS($L$2:L578,L578,$J$2:J578,J578,$N$2:N578,1,$S$2:S578,1)=1),1,0)</f>
        <v>0</v>
      </c>
      <c r="Q578" s="1" t="n">
        <f aca="false">IF(AND(N578=1,S578=1,COUNTIFS($L$2:L578,L578,$K$2:K578,K578,$N$2:N578,1,$S$2:S578,1)=1),1,0)</f>
        <v>0</v>
      </c>
      <c r="R578" s="1" t="n">
        <f aca="false">IF(AND(N578=1,COUNTIFS($K$2:K578,K578,$L$2:L578,L578,$J$2:J578,J578,$N$2:N578,1)=1),1,0)</f>
        <v>0</v>
      </c>
      <c r="S578" s="1" t="n">
        <f aca="false">IF(AND(K578&lt;&gt;"Context and provider model",K578&lt;&gt;"Motivation"),1,0)</f>
        <v>1</v>
      </c>
    </row>
    <row r="579" customFormat="false" ht="15" hidden="false" customHeight="true" outlineLevel="0" collapsed="false">
      <c r="J579" s="1" t="str">
        <f aca="false">'Raw Atomic Data (Pro)'!A579</f>
        <v>Colin</v>
      </c>
      <c r="K579" s="1" t="str">
        <f aca="false">'Raw Atomic Data (Pro)'!C579</f>
        <v>Client communication</v>
      </c>
      <c r="L579" s="1" t="str">
        <f aca="false">'Raw Atomic Data (Pro)'!D579</f>
        <v>meet-and-greet-process</v>
      </c>
      <c r="M579" s="1" t="str">
        <f aca="false">'Raw Atomic Data (Pro)'!E579</f>
        <v>fact</v>
      </c>
      <c r="N579" s="1" t="n">
        <f aca="false">IF(OR(M579="friction",M579="need",M579="workaround"),1,0)</f>
        <v>0</v>
      </c>
      <c r="O579" s="1" t="n">
        <f aca="false">IF(COUNTIFS($K$2:K579,K579,$L$2:L579,L579,$M$2:M579,M579,$J$2:J579,J579)=1,1,0)</f>
        <v>1</v>
      </c>
      <c r="P579" s="1" t="n">
        <f aca="false">IF(AND(N579=1,S579=1,COUNTIFS($L$2:L579,L579,$J$2:J579,J579,$N$2:N579,1,$S$2:S579,1)=1),1,0)</f>
        <v>0</v>
      </c>
      <c r="Q579" s="1" t="n">
        <f aca="false">IF(AND(N579=1,S579=1,COUNTIFS($L$2:L579,L579,$K$2:K579,K579,$N$2:N579,1,$S$2:S579,1)=1),1,0)</f>
        <v>0</v>
      </c>
      <c r="R579" s="1" t="n">
        <f aca="false">IF(AND(N579=1,COUNTIFS($K$2:K579,K579,$L$2:L579,L579,$J$2:J579,J579,$N$2:N579,1)=1),1,0)</f>
        <v>0</v>
      </c>
      <c r="S579" s="1" t="n">
        <f aca="false">IF(AND(K579&lt;&gt;"Context and provider model",K579&lt;&gt;"Motivation"),1,0)</f>
        <v>1</v>
      </c>
    </row>
    <row r="580" customFormat="false" ht="15" hidden="false" customHeight="true" outlineLevel="0" collapsed="false">
      <c r="J580" s="1" t="str">
        <f aca="false">'Raw Atomic Data (Pro)'!A580</f>
        <v>Colin</v>
      </c>
      <c r="K580" s="1" t="str">
        <f aca="false">'Raw Atomic Data (Pro)'!C580</f>
        <v>Client communication</v>
      </c>
      <c r="L580" s="1" t="str">
        <f aca="false">'Raw Atomic Data (Pro)'!D580</f>
        <v>repeat-client-relationships</v>
      </c>
      <c r="M580" s="1" t="str">
        <f aca="false">'Raw Atomic Data (Pro)'!E580</f>
        <v>fact</v>
      </c>
      <c r="N580" s="1" t="n">
        <f aca="false">IF(OR(M580="friction",M580="need",M580="workaround"),1,0)</f>
        <v>0</v>
      </c>
      <c r="O580" s="1" t="n">
        <f aca="false">IF(COUNTIFS($K$2:K580,K580,$L$2:L580,L580,$M$2:M580,M580,$J$2:J580,J580)=1,1,0)</f>
        <v>1</v>
      </c>
      <c r="P580" s="1" t="n">
        <f aca="false">IF(AND(N580=1,S580=1,COUNTIFS($L$2:L580,L580,$J$2:J580,J580,$N$2:N580,1,$S$2:S580,1)=1),1,0)</f>
        <v>0</v>
      </c>
      <c r="Q580" s="1" t="n">
        <f aca="false">IF(AND(N580=1,S580=1,COUNTIFS($L$2:L580,L580,$K$2:K580,K580,$N$2:N580,1,$S$2:S580,1)=1),1,0)</f>
        <v>0</v>
      </c>
      <c r="R580" s="1" t="n">
        <f aca="false">IF(AND(N580=1,COUNTIFS($K$2:K580,K580,$L$2:L580,L580,$J$2:J580,J580,$N$2:N580,1)=1),1,0)</f>
        <v>0</v>
      </c>
      <c r="S580" s="1" t="n">
        <f aca="false">IF(AND(K580&lt;&gt;"Context and provider model",K580&lt;&gt;"Motivation"),1,0)</f>
        <v>1</v>
      </c>
    </row>
    <row r="581" customFormat="false" ht="15" hidden="false" customHeight="true" outlineLevel="0" collapsed="false">
      <c r="J581" s="1" t="str">
        <f aca="false">'Raw Atomic Data (Pro)'!A581</f>
        <v>Dawn</v>
      </c>
      <c r="K581" s="1" t="str">
        <f aca="false">'Raw Atomic Data (Pro)'!C581</f>
        <v>Client communication</v>
      </c>
      <c r="L581" s="1" t="str">
        <f aca="false">'Raw Atomic Data (Pro)'!D581</f>
        <v>off-platform-communication-channels</v>
      </c>
      <c r="M581" s="1" t="str">
        <f aca="false">'Raw Atomic Data (Pro)'!E581</f>
        <v>value-statement</v>
      </c>
      <c r="N581" s="1" t="n">
        <f aca="false">IF(OR(M581="friction",M581="need",M581="workaround"),1,0)</f>
        <v>0</v>
      </c>
      <c r="O581" s="1" t="n">
        <f aca="false">IF(COUNTIFS($K$2:K581,K581,$L$2:L581,L581,$M$2:M581,M581,$J$2:J581,J581)=1,1,0)</f>
        <v>1</v>
      </c>
      <c r="P581" s="1" t="n">
        <f aca="false">IF(AND(N581=1,S581=1,COUNTIFS($L$2:L581,L581,$J$2:J581,J581,$N$2:N581,1,$S$2:S581,1)=1),1,0)</f>
        <v>0</v>
      </c>
      <c r="Q581" s="1" t="n">
        <f aca="false">IF(AND(N581=1,S581=1,COUNTIFS($L$2:L581,L581,$K$2:K581,K581,$N$2:N581,1,$S$2:S581,1)=1),1,0)</f>
        <v>0</v>
      </c>
      <c r="R581" s="1" t="n">
        <f aca="false">IF(AND(N581=1,COUNTIFS($K$2:K581,K581,$L$2:L581,L581,$J$2:J581,J581,$N$2:N581,1)=1),1,0)</f>
        <v>0</v>
      </c>
      <c r="S581" s="1" t="n">
        <f aca="false">IF(AND(K581&lt;&gt;"Context and provider model",K581&lt;&gt;"Motivation"),1,0)</f>
        <v>1</v>
      </c>
    </row>
    <row r="582" customFormat="false" ht="15" hidden="false" customHeight="true" outlineLevel="0" collapsed="false">
      <c r="J582" s="1" t="str">
        <f aca="false">'Raw Atomic Data (Pro)'!A582</f>
        <v>Dawn</v>
      </c>
      <c r="K582" s="1" t="str">
        <f aca="false">'Raw Atomic Data (Pro)'!C582</f>
        <v>Client communication</v>
      </c>
      <c r="L582" s="1" t="str">
        <f aca="false">'Raw Atomic Data (Pro)'!D582</f>
        <v>off-platform-communication-channels</v>
      </c>
      <c r="M582" s="1" t="str">
        <f aca="false">'Raw Atomic Data (Pro)'!E582</f>
        <v>fact</v>
      </c>
      <c r="N582" s="1" t="n">
        <f aca="false">IF(OR(M582="friction",M582="need",M582="workaround"),1,0)</f>
        <v>0</v>
      </c>
      <c r="O582" s="1" t="n">
        <f aca="false">IF(COUNTIFS($K$2:K582,K582,$L$2:L582,L582,$M$2:M582,M582,$J$2:J582,J582)=1,1,0)</f>
        <v>1</v>
      </c>
      <c r="P582" s="1" t="n">
        <f aca="false">IF(AND(N582=1,S582=1,COUNTIFS($L$2:L582,L582,$J$2:J582,J582,$N$2:N582,1,$S$2:S582,1)=1),1,0)</f>
        <v>0</v>
      </c>
      <c r="Q582" s="1" t="n">
        <f aca="false">IF(AND(N582=1,S582=1,COUNTIFS($L$2:L582,L582,$K$2:K582,K582,$N$2:N582,1,$S$2:S582,1)=1),1,0)</f>
        <v>0</v>
      </c>
      <c r="R582" s="1" t="n">
        <f aca="false">IF(AND(N582=1,COUNTIFS($K$2:K582,K582,$L$2:L582,L582,$J$2:J582,J582,$N$2:N582,1)=1),1,0)</f>
        <v>0</v>
      </c>
      <c r="S582" s="1" t="n">
        <f aca="false">IF(AND(K582&lt;&gt;"Context and provider model",K582&lt;&gt;"Motivation"),1,0)</f>
        <v>1</v>
      </c>
    </row>
    <row r="583" customFormat="false" ht="15" hidden="false" customHeight="true" outlineLevel="0" collapsed="false">
      <c r="J583" s="1" t="str">
        <f aca="false">'Raw Atomic Data (Pro)'!A583</f>
        <v>Dawn</v>
      </c>
      <c r="K583" s="1" t="str">
        <f aca="false">'Raw Atomic Data (Pro)'!C583</f>
        <v>Client communication</v>
      </c>
      <c r="L583" s="1" t="str">
        <f aca="false">'Raw Atomic Data (Pro)'!D583</f>
        <v>messaging-platform-mechanics</v>
      </c>
      <c r="M583" s="1" t="str">
        <f aca="false">'Raw Atomic Data (Pro)'!E583</f>
        <v>fact</v>
      </c>
      <c r="N583" s="1" t="n">
        <f aca="false">IF(OR(M583="friction",M583="need",M583="workaround"),1,0)</f>
        <v>0</v>
      </c>
      <c r="O583" s="1" t="n">
        <f aca="false">IF(COUNTIFS($K$2:K583,K583,$L$2:L583,L583,$M$2:M583,M583,$J$2:J583,J583)=1,1,0)</f>
        <v>1</v>
      </c>
      <c r="P583" s="1" t="n">
        <f aca="false">IF(AND(N583=1,S583=1,COUNTIFS($L$2:L583,L583,$J$2:J583,J583,$N$2:N583,1,$S$2:S583,1)=1),1,0)</f>
        <v>0</v>
      </c>
      <c r="Q583" s="1" t="n">
        <f aca="false">IF(AND(N583=1,S583=1,COUNTIFS($L$2:L583,L583,$K$2:K583,K583,$N$2:N583,1,$S$2:S583,1)=1),1,0)</f>
        <v>0</v>
      </c>
      <c r="R583" s="1" t="n">
        <f aca="false">IF(AND(N583=1,COUNTIFS($K$2:K583,K583,$L$2:L583,L583,$J$2:J583,J583,$N$2:N583,1)=1),1,0)</f>
        <v>0</v>
      </c>
      <c r="S583" s="1" t="n">
        <f aca="false">IF(AND(K583&lt;&gt;"Context and provider model",K583&lt;&gt;"Motivation"),1,0)</f>
        <v>1</v>
      </c>
    </row>
    <row r="584" customFormat="false" ht="15" hidden="false" customHeight="true" outlineLevel="0" collapsed="false">
      <c r="J584" s="1" t="str">
        <f aca="false">'Raw Atomic Data (Pro)'!A584</f>
        <v>Erika</v>
      </c>
      <c r="K584" s="1" t="str">
        <f aca="false">'Raw Atomic Data (Pro)'!C584</f>
        <v>Client communication</v>
      </c>
      <c r="L584" s="1" t="str">
        <f aca="false">'Raw Atomic Data (Pro)'!D584</f>
        <v>in-sit-updates-media</v>
      </c>
      <c r="M584" s="1" t="str">
        <f aca="false">'Raw Atomic Data (Pro)'!E584</f>
        <v>value-statement</v>
      </c>
      <c r="N584" s="1" t="n">
        <f aca="false">IF(OR(M584="friction",M584="need",M584="workaround"),1,0)</f>
        <v>0</v>
      </c>
      <c r="O584" s="1" t="n">
        <f aca="false">IF(COUNTIFS($K$2:K584,K584,$L$2:L584,L584,$M$2:M584,M584,$J$2:J584,J584)=1,1,0)</f>
        <v>1</v>
      </c>
      <c r="P584" s="1" t="n">
        <f aca="false">IF(AND(N584=1,S584=1,COUNTIFS($L$2:L584,L584,$J$2:J584,J584,$N$2:N584,1,$S$2:S584,1)=1),1,0)</f>
        <v>0</v>
      </c>
      <c r="Q584" s="1" t="n">
        <f aca="false">IF(AND(N584=1,S584=1,COUNTIFS($L$2:L584,L584,$K$2:K584,K584,$N$2:N584,1,$S$2:S584,1)=1),1,0)</f>
        <v>0</v>
      </c>
      <c r="R584" s="1" t="n">
        <f aca="false">IF(AND(N584=1,COUNTIFS($K$2:K584,K584,$L$2:L584,L584,$J$2:J584,J584,$N$2:N584,1)=1),1,0)</f>
        <v>0</v>
      </c>
      <c r="S584" s="1" t="n">
        <f aca="false">IF(AND(K584&lt;&gt;"Context and provider model",K584&lt;&gt;"Motivation"),1,0)</f>
        <v>1</v>
      </c>
    </row>
    <row r="585" customFormat="false" ht="15" hidden="false" customHeight="true" outlineLevel="0" collapsed="false">
      <c r="J585" s="1" t="str">
        <f aca="false">'Raw Atomic Data (Pro)'!A585</f>
        <v>Erika</v>
      </c>
      <c r="K585" s="1" t="str">
        <f aca="false">'Raw Atomic Data (Pro)'!C585</f>
        <v>Client communication</v>
      </c>
      <c r="L585" s="1" t="str">
        <f aca="false">'Raw Atomic Data (Pro)'!D585</f>
        <v>off-platform-communication-channels</v>
      </c>
      <c r="M585" s="1" t="str">
        <f aca="false">'Raw Atomic Data (Pro)'!E585</f>
        <v>fact</v>
      </c>
      <c r="N585" s="1" t="n">
        <f aca="false">IF(OR(M585="friction",M585="need",M585="workaround"),1,0)</f>
        <v>0</v>
      </c>
      <c r="O585" s="1" t="n">
        <f aca="false">IF(COUNTIFS($K$2:K585,K585,$L$2:L585,L585,$M$2:M585,M585,$J$2:J585,J585)=1,1,0)</f>
        <v>1</v>
      </c>
      <c r="P585" s="1" t="n">
        <f aca="false">IF(AND(N585=1,S585=1,COUNTIFS($L$2:L585,L585,$J$2:J585,J585,$N$2:N585,1,$S$2:S585,1)=1),1,0)</f>
        <v>0</v>
      </c>
      <c r="Q585" s="1" t="n">
        <f aca="false">IF(AND(N585=1,S585=1,COUNTIFS($L$2:L585,L585,$K$2:K585,K585,$N$2:N585,1,$S$2:S585,1)=1),1,0)</f>
        <v>0</v>
      </c>
      <c r="R585" s="1" t="n">
        <f aca="false">IF(AND(N585=1,COUNTIFS($K$2:K585,K585,$L$2:L585,L585,$J$2:J585,J585,$N$2:N585,1)=1),1,0)</f>
        <v>0</v>
      </c>
      <c r="S585" s="1" t="n">
        <f aca="false">IF(AND(K585&lt;&gt;"Context and provider model",K585&lt;&gt;"Motivation"),1,0)</f>
        <v>1</v>
      </c>
    </row>
    <row r="586" customFormat="false" ht="15" hidden="false" customHeight="true" outlineLevel="0" collapsed="false">
      <c r="J586" s="1" t="str">
        <f aca="false">'Raw Atomic Data (Pro)'!A586</f>
        <v>Erika</v>
      </c>
      <c r="K586" s="1" t="str">
        <f aca="false">'Raw Atomic Data (Pro)'!C586</f>
        <v>Client communication</v>
      </c>
      <c r="L586" s="1" t="str">
        <f aca="false">'Raw Atomic Data (Pro)'!D586</f>
        <v>off-platform-communication-channels</v>
      </c>
      <c r="M586" s="1" t="str">
        <f aca="false">'Raw Atomic Data (Pro)'!E586</f>
        <v>workaround</v>
      </c>
      <c r="N586" s="1" t="n">
        <f aca="false">IF(OR(M586="friction",M586="need",M586="workaround"),1,0)</f>
        <v>1</v>
      </c>
      <c r="O586" s="1" t="n">
        <f aca="false">IF(COUNTIFS($K$2:K586,K586,$L$2:L586,L586,$M$2:M586,M586,$J$2:J586,J586)=1,1,0)</f>
        <v>1</v>
      </c>
      <c r="P586" s="1" t="n">
        <f aca="false">IF(AND(N586=1,S586=1,COUNTIFS($L$2:L586,L586,$J$2:J586,J586,$N$2:N586,1,$S$2:S586,1)=1),1,0)</f>
        <v>1</v>
      </c>
      <c r="Q586" s="1" t="n">
        <f aca="false">IF(AND(N586=1,S586=1,COUNTIFS($L$2:L586,L586,$K$2:K586,K586,$N$2:N586,1,$S$2:S586,1)=1),1,0)</f>
        <v>0</v>
      </c>
      <c r="R586" s="1" t="n">
        <f aca="false">IF(AND(N586=1,COUNTIFS($K$2:K586,K586,$L$2:L586,L586,$J$2:J586,J586,$N$2:N586,1)=1),1,0)</f>
        <v>1</v>
      </c>
      <c r="S586" s="1" t="n">
        <f aca="false">IF(AND(K586&lt;&gt;"Context and provider model",K586&lt;&gt;"Motivation"),1,0)</f>
        <v>1</v>
      </c>
    </row>
    <row r="587" customFormat="false" ht="15" hidden="false" customHeight="true" outlineLevel="0" collapsed="false">
      <c r="J587" s="1" t="str">
        <f aca="false">'Raw Atomic Data (Pro)'!A587</f>
        <v>Erika</v>
      </c>
      <c r="K587" s="1" t="str">
        <f aca="false">'Raw Atomic Data (Pro)'!C587</f>
        <v>Client communication</v>
      </c>
      <c r="L587" s="1" t="str">
        <f aca="false">'Raw Atomic Data (Pro)'!D587</f>
        <v>messaging-platform-mechanics</v>
      </c>
      <c r="M587" s="1" t="str">
        <f aca="false">'Raw Atomic Data (Pro)'!E587</f>
        <v>fact</v>
      </c>
      <c r="N587" s="1" t="n">
        <f aca="false">IF(OR(M587="friction",M587="need",M587="workaround"),1,0)</f>
        <v>0</v>
      </c>
      <c r="O587" s="1" t="n">
        <f aca="false">IF(COUNTIFS($K$2:K587,K587,$L$2:L587,L587,$M$2:M587,M587,$J$2:J587,J587)=1,1,0)</f>
        <v>1</v>
      </c>
      <c r="P587" s="1" t="n">
        <f aca="false">IF(AND(N587=1,S587=1,COUNTIFS($L$2:L587,L587,$J$2:J587,J587,$N$2:N587,1,$S$2:S587,1)=1),1,0)</f>
        <v>0</v>
      </c>
      <c r="Q587" s="1" t="n">
        <f aca="false">IF(AND(N587=1,S587=1,COUNTIFS($L$2:L587,L587,$K$2:K587,K587,$N$2:N587,1,$S$2:S587,1)=1),1,0)</f>
        <v>0</v>
      </c>
      <c r="R587" s="1" t="n">
        <f aca="false">IF(AND(N587=1,COUNTIFS($K$2:K587,K587,$L$2:L587,L587,$J$2:J587,J587,$N$2:N587,1)=1),1,0)</f>
        <v>0</v>
      </c>
      <c r="S587" s="1" t="n">
        <f aca="false">IF(AND(K587&lt;&gt;"Context and provider model",K587&lt;&gt;"Motivation"),1,0)</f>
        <v>1</v>
      </c>
    </row>
    <row r="588" customFormat="false" ht="15" hidden="false" customHeight="true" outlineLevel="0" collapsed="false">
      <c r="J588" s="1" t="str">
        <f aca="false">'Raw Atomic Data (Pro)'!A588</f>
        <v>Erika</v>
      </c>
      <c r="K588" s="1" t="str">
        <f aca="false">'Raw Atomic Data (Pro)'!C588</f>
        <v>Client communication</v>
      </c>
      <c r="L588" s="1" t="str">
        <f aca="false">'Raw Atomic Data (Pro)'!D588</f>
        <v>motivation-emotional-connection</v>
      </c>
      <c r="M588" s="1" t="str">
        <f aca="false">'Raw Atomic Data (Pro)'!E588</f>
        <v>value-statement</v>
      </c>
      <c r="N588" s="1" t="n">
        <f aca="false">IF(OR(M588="friction",M588="need",M588="workaround"),1,0)</f>
        <v>0</v>
      </c>
      <c r="O588" s="1" t="n">
        <f aca="false">IF(COUNTIFS($K$2:K588,K588,$L$2:L588,L588,$M$2:M588,M588,$J$2:J588,J588)=1,1,0)</f>
        <v>1</v>
      </c>
      <c r="P588" s="1" t="n">
        <f aca="false">IF(AND(N588=1,S588=1,COUNTIFS($L$2:L588,L588,$J$2:J588,J588,$N$2:N588,1,$S$2:S588,1)=1),1,0)</f>
        <v>0</v>
      </c>
      <c r="Q588" s="1" t="n">
        <f aca="false">IF(AND(N588=1,S588=1,COUNTIFS($L$2:L588,L588,$K$2:K588,K588,$N$2:N588,1,$S$2:S588,1)=1),1,0)</f>
        <v>0</v>
      </c>
      <c r="R588" s="1" t="n">
        <f aca="false">IF(AND(N588=1,COUNTIFS($K$2:K588,K588,$L$2:L588,L588,$J$2:J588,J588,$N$2:N588,1)=1),1,0)</f>
        <v>0</v>
      </c>
      <c r="S588" s="1" t="n">
        <f aca="false">IF(AND(K588&lt;&gt;"Context and provider model",K588&lt;&gt;"Motivation"),1,0)</f>
        <v>1</v>
      </c>
    </row>
    <row r="589" customFormat="false" ht="15" hidden="false" customHeight="true" outlineLevel="0" collapsed="false">
      <c r="J589" s="1" t="str">
        <f aca="false">'Raw Atomic Data (Pro)'!A589</f>
        <v>Kristin</v>
      </c>
      <c r="K589" s="1" t="str">
        <f aca="false">'Raw Atomic Data (Pro)'!C589</f>
        <v>Client communication</v>
      </c>
      <c r="L589" s="1" t="str">
        <f aca="false">'Raw Atomic Data (Pro)'!D589</f>
        <v>off-platform-communication-channels</v>
      </c>
      <c r="M589" s="1" t="str">
        <f aca="false">'Raw Atomic Data (Pro)'!E589</f>
        <v>fact</v>
      </c>
      <c r="N589" s="1" t="n">
        <f aca="false">IF(OR(M589="friction",M589="need",M589="workaround"),1,0)</f>
        <v>0</v>
      </c>
      <c r="O589" s="1" t="n">
        <f aca="false">IF(COUNTIFS($K$2:K589,K589,$L$2:L589,L589,$M$2:M589,M589,$J$2:J589,J589)=1,1,0)</f>
        <v>1</v>
      </c>
      <c r="P589" s="1" t="n">
        <f aca="false">IF(AND(N589=1,S589=1,COUNTIFS($L$2:L589,L589,$J$2:J589,J589,$N$2:N589,1,$S$2:S589,1)=1),1,0)</f>
        <v>0</v>
      </c>
      <c r="Q589" s="1" t="n">
        <f aca="false">IF(AND(N589=1,S589=1,COUNTIFS($L$2:L589,L589,$K$2:K589,K589,$N$2:N589,1,$S$2:S589,1)=1),1,0)</f>
        <v>0</v>
      </c>
      <c r="R589" s="1" t="n">
        <f aca="false">IF(AND(N589=1,COUNTIFS($K$2:K589,K589,$L$2:L589,L589,$J$2:J589,J589,$N$2:N589,1)=1),1,0)</f>
        <v>0</v>
      </c>
      <c r="S589" s="1" t="n">
        <f aca="false">IF(AND(K589&lt;&gt;"Context and provider model",K589&lt;&gt;"Motivation"),1,0)</f>
        <v>1</v>
      </c>
    </row>
    <row r="590" customFormat="false" ht="15" hidden="false" customHeight="true" outlineLevel="0" collapsed="false">
      <c r="J590" s="1" t="str">
        <f aca="false">'Raw Atomic Data (Pro)'!A590</f>
        <v>Kristin</v>
      </c>
      <c r="K590" s="1" t="str">
        <f aca="false">'Raw Atomic Data (Pro)'!C590</f>
        <v>Client communication</v>
      </c>
      <c r="L590" s="1" t="str">
        <f aca="false">'Raw Atomic Data (Pro)'!D590</f>
        <v>in-sit-updates-media</v>
      </c>
      <c r="M590" s="1" t="str">
        <f aca="false">'Raw Atomic Data (Pro)'!E590</f>
        <v>value-statement</v>
      </c>
      <c r="N590" s="1" t="n">
        <f aca="false">IF(OR(M590="friction",M590="need",M590="workaround"),1,0)</f>
        <v>0</v>
      </c>
      <c r="O590" s="1" t="n">
        <f aca="false">IF(COUNTIFS($K$2:K590,K590,$L$2:L590,L590,$M$2:M590,M590,$J$2:J590,J590)=1,1,0)</f>
        <v>1</v>
      </c>
      <c r="P590" s="1" t="n">
        <f aca="false">IF(AND(N590=1,S590=1,COUNTIFS($L$2:L590,L590,$J$2:J590,J590,$N$2:N590,1,$S$2:S590,1)=1),1,0)</f>
        <v>0</v>
      </c>
      <c r="Q590" s="1" t="n">
        <f aca="false">IF(AND(N590=1,S590=1,COUNTIFS($L$2:L590,L590,$K$2:K590,K590,$N$2:N590,1,$S$2:S590,1)=1),1,0)</f>
        <v>0</v>
      </c>
      <c r="R590" s="1" t="n">
        <f aca="false">IF(AND(N590=1,COUNTIFS($K$2:K590,K590,$L$2:L590,L590,$J$2:J590,J590,$N$2:N590,1)=1),1,0)</f>
        <v>0</v>
      </c>
      <c r="S590" s="1" t="n">
        <f aca="false">IF(AND(K590&lt;&gt;"Context and provider model",K590&lt;&gt;"Motivation"),1,0)</f>
        <v>1</v>
      </c>
    </row>
    <row r="591" customFormat="false" ht="15" hidden="false" customHeight="true" outlineLevel="0" collapsed="false">
      <c r="J591" s="1" t="str">
        <f aca="false">'Raw Atomic Data (Pro)'!A591</f>
        <v>Kristin</v>
      </c>
      <c r="K591" s="1" t="str">
        <f aca="false">'Raw Atomic Data (Pro)'!C591</f>
        <v>Client communication</v>
      </c>
      <c r="L591" s="1" t="str">
        <f aca="false">'Raw Atomic Data (Pro)'!D591</f>
        <v>in-sit-updates-media</v>
      </c>
      <c r="M591" s="1" t="str">
        <f aca="false">'Raw Atomic Data (Pro)'!E591</f>
        <v>fact</v>
      </c>
      <c r="N591" s="1" t="n">
        <f aca="false">IF(OR(M591="friction",M591="need",M591="workaround"),1,0)</f>
        <v>0</v>
      </c>
      <c r="O591" s="1" t="n">
        <f aca="false">IF(COUNTIFS($K$2:K591,K591,$L$2:L591,L591,$M$2:M591,M591,$J$2:J591,J591)=1,1,0)</f>
        <v>1</v>
      </c>
      <c r="P591" s="1" t="n">
        <f aca="false">IF(AND(N591=1,S591=1,COUNTIFS($L$2:L591,L591,$J$2:J591,J591,$N$2:N591,1,$S$2:S591,1)=1),1,0)</f>
        <v>0</v>
      </c>
      <c r="Q591" s="1" t="n">
        <f aca="false">IF(AND(N591=1,S591=1,COUNTIFS($L$2:L591,L591,$K$2:K591,K591,$N$2:N591,1,$S$2:S591,1)=1),1,0)</f>
        <v>0</v>
      </c>
      <c r="R591" s="1" t="n">
        <f aca="false">IF(AND(N591=1,COUNTIFS($K$2:K591,K591,$L$2:L591,L591,$J$2:J591,J591,$N$2:N591,1)=1),1,0)</f>
        <v>0</v>
      </c>
      <c r="S591" s="1" t="n">
        <f aca="false">IF(AND(K591&lt;&gt;"Context and provider model",K591&lt;&gt;"Motivation"),1,0)</f>
        <v>1</v>
      </c>
    </row>
    <row r="592" customFormat="false" ht="15" hidden="false" customHeight="true" outlineLevel="0" collapsed="false">
      <c r="J592" s="1" t="str">
        <f aca="false">'Raw Atomic Data (Pro)'!A592</f>
        <v>Kristin</v>
      </c>
      <c r="K592" s="1" t="str">
        <f aca="false">'Raw Atomic Data (Pro)'!C592</f>
        <v>Client communication</v>
      </c>
      <c r="L592" s="1" t="str">
        <f aca="false">'Raw Atomic Data (Pro)'!D592</f>
        <v>in-sit-updates-media</v>
      </c>
      <c r="M592" s="1" t="str">
        <f aca="false">'Raw Atomic Data (Pro)'!E592</f>
        <v>fact</v>
      </c>
      <c r="N592" s="1" t="n">
        <f aca="false">IF(OR(M592="friction",M592="need",M592="workaround"),1,0)</f>
        <v>0</v>
      </c>
      <c r="O592" s="1" t="n">
        <f aca="false">IF(COUNTIFS($K$2:K592,K592,$L$2:L592,L592,$M$2:M592,M592,$J$2:J592,J592)=1,1,0)</f>
        <v>0</v>
      </c>
      <c r="P592" s="1" t="n">
        <f aca="false">IF(AND(N592=1,S592=1,COUNTIFS($L$2:L592,L592,$J$2:J592,J592,$N$2:N592,1,$S$2:S592,1)=1),1,0)</f>
        <v>0</v>
      </c>
      <c r="Q592" s="1" t="n">
        <f aca="false">IF(AND(N592=1,S592=1,COUNTIFS($L$2:L592,L592,$K$2:K592,K592,$N$2:N592,1,$S$2:S592,1)=1),1,0)</f>
        <v>0</v>
      </c>
      <c r="R592" s="1" t="n">
        <f aca="false">IF(AND(N592=1,COUNTIFS($K$2:K592,K592,$L$2:L592,L592,$J$2:J592,J592,$N$2:N592,1)=1),1,0)</f>
        <v>0</v>
      </c>
      <c r="S592" s="1" t="n">
        <f aca="false">IF(AND(K592&lt;&gt;"Context and provider model",K592&lt;&gt;"Motivation"),1,0)</f>
        <v>1</v>
      </c>
    </row>
    <row r="593" customFormat="false" ht="15" hidden="false" customHeight="true" outlineLevel="0" collapsed="false">
      <c r="J593" s="1" t="str">
        <f aca="false">'Raw Atomic Data (Pro)'!A593</f>
        <v>Naomi</v>
      </c>
      <c r="K593" s="1" t="str">
        <f aca="false">'Raw Atomic Data (Pro)'!C593</f>
        <v>Client communication</v>
      </c>
      <c r="L593" s="1" t="str">
        <f aca="false">'Raw Atomic Data (Pro)'!D593</f>
        <v>in-sit-updates-media</v>
      </c>
      <c r="M593" s="1" t="str">
        <f aca="false">'Raw Atomic Data (Pro)'!E593</f>
        <v>value-statement</v>
      </c>
      <c r="N593" s="1" t="n">
        <f aca="false">IF(OR(M593="friction",M593="need",M593="workaround"),1,0)</f>
        <v>0</v>
      </c>
      <c r="O593" s="1" t="n">
        <f aca="false">IF(COUNTIFS($K$2:K593,K593,$L$2:L593,L593,$M$2:M593,M593,$J$2:J593,J593)=1,1,0)</f>
        <v>1</v>
      </c>
      <c r="P593" s="1" t="n">
        <f aca="false">IF(AND(N593=1,S593=1,COUNTIFS($L$2:L593,L593,$J$2:J593,J593,$N$2:N593,1,$S$2:S593,1)=1),1,0)</f>
        <v>0</v>
      </c>
      <c r="Q593" s="1" t="n">
        <f aca="false">IF(AND(N593=1,S593=1,COUNTIFS($L$2:L593,L593,$K$2:K593,K593,$N$2:N593,1,$S$2:S593,1)=1),1,0)</f>
        <v>0</v>
      </c>
      <c r="R593" s="1" t="n">
        <f aca="false">IF(AND(N593=1,COUNTIFS($K$2:K593,K593,$L$2:L593,L593,$J$2:J593,J593,$N$2:N593,1)=1),1,0)</f>
        <v>0</v>
      </c>
      <c r="S593" s="1" t="n">
        <f aca="false">IF(AND(K593&lt;&gt;"Context and provider model",K593&lt;&gt;"Motivation"),1,0)</f>
        <v>1</v>
      </c>
    </row>
    <row r="594" customFormat="false" ht="15" hidden="false" customHeight="true" outlineLevel="0" collapsed="false">
      <c r="J594" s="1" t="str">
        <f aca="false">'Raw Atomic Data (Pro)'!A594</f>
        <v>Naomi</v>
      </c>
      <c r="K594" s="1" t="str">
        <f aca="false">'Raw Atomic Data (Pro)'!C594</f>
        <v>Client communication</v>
      </c>
      <c r="L594" s="1" t="str">
        <f aca="false">'Raw Atomic Data (Pro)'!D594</f>
        <v>in-sit-updates-media</v>
      </c>
      <c r="M594" s="1" t="str">
        <f aca="false">'Raw Atomic Data (Pro)'!E594</f>
        <v>fact</v>
      </c>
      <c r="N594" s="1" t="n">
        <f aca="false">IF(OR(M594="friction",M594="need",M594="workaround"),1,0)</f>
        <v>0</v>
      </c>
      <c r="O594" s="1" t="n">
        <f aca="false">IF(COUNTIFS($K$2:K594,K594,$L$2:L594,L594,$M$2:M594,M594,$J$2:J594,J594)=1,1,0)</f>
        <v>1</v>
      </c>
      <c r="P594" s="1" t="n">
        <f aca="false">IF(AND(N594=1,S594=1,COUNTIFS($L$2:L594,L594,$J$2:J594,J594,$N$2:N594,1,$S$2:S594,1)=1),1,0)</f>
        <v>0</v>
      </c>
      <c r="Q594" s="1" t="n">
        <f aca="false">IF(AND(N594=1,S594=1,COUNTIFS($L$2:L594,L594,$K$2:K594,K594,$N$2:N594,1,$S$2:S594,1)=1),1,0)</f>
        <v>0</v>
      </c>
      <c r="R594" s="1" t="n">
        <f aca="false">IF(AND(N594=1,COUNTIFS($K$2:K594,K594,$L$2:L594,L594,$J$2:J594,J594,$N$2:N594,1)=1),1,0)</f>
        <v>0</v>
      </c>
      <c r="S594" s="1" t="n">
        <f aca="false">IF(AND(K594&lt;&gt;"Context and provider model",K594&lt;&gt;"Motivation"),1,0)</f>
        <v>1</v>
      </c>
    </row>
    <row r="595" customFormat="false" ht="15" hidden="false" customHeight="true" outlineLevel="0" collapsed="false">
      <c r="J595" s="1" t="str">
        <f aca="false">'Raw Atomic Data (Pro)'!A595</f>
        <v>Naomi</v>
      </c>
      <c r="K595" s="1" t="str">
        <f aca="false">'Raw Atomic Data (Pro)'!C595</f>
        <v>Client communication</v>
      </c>
      <c r="L595" s="1" t="str">
        <f aca="false">'Raw Atomic Data (Pro)'!D595</f>
        <v>in-sit-updates-media</v>
      </c>
      <c r="M595" s="1" t="str">
        <f aca="false">'Raw Atomic Data (Pro)'!E595</f>
        <v>fact</v>
      </c>
      <c r="N595" s="1" t="n">
        <f aca="false">IF(OR(M595="friction",M595="need",M595="workaround"),1,0)</f>
        <v>0</v>
      </c>
      <c r="O595" s="1" t="n">
        <f aca="false">IF(COUNTIFS($K$2:K595,K595,$L$2:L595,L595,$M$2:M595,M595,$J$2:J595,J595)=1,1,0)</f>
        <v>0</v>
      </c>
      <c r="P595" s="1" t="n">
        <f aca="false">IF(AND(N595=1,S595=1,COUNTIFS($L$2:L595,L595,$J$2:J595,J595,$N$2:N595,1,$S$2:S595,1)=1),1,0)</f>
        <v>0</v>
      </c>
      <c r="Q595" s="1" t="n">
        <f aca="false">IF(AND(N595=1,S595=1,COUNTIFS($L$2:L595,L595,$K$2:K595,K595,$N$2:N595,1,$S$2:S595,1)=1),1,0)</f>
        <v>0</v>
      </c>
      <c r="R595" s="1" t="n">
        <f aca="false">IF(AND(N595=1,COUNTIFS($K$2:K595,K595,$L$2:L595,L595,$J$2:J595,J595,$N$2:N595,1)=1),1,0)</f>
        <v>0</v>
      </c>
      <c r="S595" s="1" t="n">
        <f aca="false">IF(AND(K595&lt;&gt;"Context and provider model",K595&lt;&gt;"Motivation"),1,0)</f>
        <v>1</v>
      </c>
    </row>
    <row r="596" customFormat="false" ht="15" hidden="false" customHeight="true" outlineLevel="0" collapsed="false">
      <c r="J596" s="1" t="str">
        <f aca="false">'Raw Atomic Data (Pro)'!A596</f>
        <v>Naomi</v>
      </c>
      <c r="K596" s="1" t="str">
        <f aca="false">'Raw Atomic Data (Pro)'!C596</f>
        <v>Client communication</v>
      </c>
      <c r="L596" s="1" t="str">
        <f aca="false">'Raw Atomic Data (Pro)'!D596</f>
        <v>messaging-platform-mechanics</v>
      </c>
      <c r="M596" s="1" t="str">
        <f aca="false">'Raw Atomic Data (Pro)'!E596</f>
        <v>workaround</v>
      </c>
      <c r="N596" s="1" t="n">
        <f aca="false">IF(OR(M596="friction",M596="need",M596="workaround"),1,0)</f>
        <v>1</v>
      </c>
      <c r="O596" s="1" t="n">
        <f aca="false">IF(COUNTIFS($K$2:K596,K596,$L$2:L596,L596,$M$2:M596,M596,$J$2:J596,J596)=1,1,0)</f>
        <v>1</v>
      </c>
      <c r="P596" s="1" t="n">
        <f aca="false">IF(AND(N596=1,S596=1,COUNTIFS($L$2:L596,L596,$J$2:J596,J596,$N$2:N596,1,$S$2:S596,1)=1),1,0)</f>
        <v>1</v>
      </c>
      <c r="Q596" s="1" t="n">
        <f aca="false">IF(AND(N596=1,S596=1,COUNTIFS($L$2:L596,L596,$K$2:K596,K596,$N$2:N596,1,$S$2:S596,1)=1),1,0)</f>
        <v>0</v>
      </c>
      <c r="R596" s="1" t="n">
        <f aca="false">IF(AND(N596=1,COUNTIFS($K$2:K596,K596,$L$2:L596,L596,$J$2:J596,J596,$N$2:N596,1)=1),1,0)</f>
        <v>1</v>
      </c>
      <c r="S596" s="1" t="n">
        <f aca="false">IF(AND(K596&lt;&gt;"Context and provider model",K596&lt;&gt;"Motivation"),1,0)</f>
        <v>1</v>
      </c>
    </row>
    <row r="597" customFormat="false" ht="15" hidden="false" customHeight="true" outlineLevel="0" collapsed="false">
      <c r="J597" s="1" t="str">
        <f aca="false">'Raw Atomic Data (Pro)'!A597</f>
        <v>Naomi</v>
      </c>
      <c r="K597" s="1" t="str">
        <f aca="false">'Raw Atomic Data (Pro)'!C597</f>
        <v>Client communication</v>
      </c>
      <c r="L597" s="1" t="str">
        <f aca="false">'Raw Atomic Data (Pro)'!D597</f>
        <v>messaging-platform-mechanics</v>
      </c>
      <c r="M597" s="1" t="str">
        <f aca="false">'Raw Atomic Data (Pro)'!E597</f>
        <v>friction</v>
      </c>
      <c r="N597" s="1" t="n">
        <f aca="false">IF(OR(M597="friction",M597="need",M597="workaround"),1,0)</f>
        <v>1</v>
      </c>
      <c r="O597" s="1" t="n">
        <f aca="false">IF(COUNTIFS($K$2:K597,K597,$L$2:L597,L597,$M$2:M597,M597,$J$2:J597,J597)=1,1,0)</f>
        <v>1</v>
      </c>
      <c r="P597" s="1" t="n">
        <f aca="false">IF(AND(N597=1,S597=1,COUNTIFS($L$2:L597,L597,$J$2:J597,J597,$N$2:N597,1,$S$2:S597,1)=1),1,0)</f>
        <v>0</v>
      </c>
      <c r="Q597" s="1" t="n">
        <f aca="false">IF(AND(N597=1,S597=1,COUNTIFS($L$2:L597,L597,$K$2:K597,K597,$N$2:N597,1,$S$2:S597,1)=1),1,0)</f>
        <v>0</v>
      </c>
      <c r="R597" s="1" t="n">
        <f aca="false">IF(AND(N597=1,COUNTIFS($K$2:K597,K597,$L$2:L597,L597,$J$2:J597,J597,$N$2:N597,1)=1),1,0)</f>
        <v>0</v>
      </c>
      <c r="S597" s="1" t="n">
        <f aca="false">IF(AND(K597&lt;&gt;"Context and provider model",K597&lt;&gt;"Motivation"),1,0)</f>
        <v>1</v>
      </c>
    </row>
    <row r="598" customFormat="false" ht="15" hidden="false" customHeight="true" outlineLevel="0" collapsed="false">
      <c r="J598" s="1" t="str">
        <f aca="false">'Raw Atomic Data (Pro)'!A598</f>
        <v>Shania</v>
      </c>
      <c r="K598" s="1" t="str">
        <f aca="false">'Raw Atomic Data (Pro)'!C598</f>
        <v>Client communication</v>
      </c>
      <c r="L598" s="1" t="str">
        <f aca="false">'Raw Atomic Data (Pro)'!D598</f>
        <v>off-platform-communication-channels</v>
      </c>
      <c r="M598" s="1" t="str">
        <f aca="false">'Raw Atomic Data (Pro)'!E598</f>
        <v>fact</v>
      </c>
      <c r="N598" s="1" t="n">
        <f aca="false">IF(OR(M598="friction",M598="need",M598="workaround"),1,0)</f>
        <v>0</v>
      </c>
      <c r="O598" s="1" t="n">
        <f aca="false">IF(COUNTIFS($K$2:K598,K598,$L$2:L598,L598,$M$2:M598,M598,$J$2:J598,J598)=1,1,0)</f>
        <v>1</v>
      </c>
      <c r="P598" s="1" t="n">
        <f aca="false">IF(AND(N598=1,S598=1,COUNTIFS($L$2:L598,L598,$J$2:J598,J598,$N$2:N598,1,$S$2:S598,1)=1),1,0)</f>
        <v>0</v>
      </c>
      <c r="Q598" s="1" t="n">
        <f aca="false">IF(AND(N598=1,S598=1,COUNTIFS($L$2:L598,L598,$K$2:K598,K598,$N$2:N598,1,$S$2:S598,1)=1),1,0)</f>
        <v>0</v>
      </c>
      <c r="R598" s="1" t="n">
        <f aca="false">IF(AND(N598=1,COUNTIFS($K$2:K598,K598,$L$2:L598,L598,$J$2:J598,J598,$N$2:N598,1)=1),1,0)</f>
        <v>0</v>
      </c>
      <c r="S598" s="1" t="n">
        <f aca="false">IF(AND(K598&lt;&gt;"Context and provider model",K598&lt;&gt;"Motivation"),1,0)</f>
        <v>1</v>
      </c>
    </row>
    <row r="599" customFormat="false" ht="15" hidden="false" customHeight="true" outlineLevel="0" collapsed="false">
      <c r="J599" s="1" t="str">
        <f aca="false">'Raw Atomic Data (Pro)'!A599</f>
        <v>Shania</v>
      </c>
      <c r="K599" s="1" t="str">
        <f aca="false">'Raw Atomic Data (Pro)'!C599</f>
        <v>Client communication</v>
      </c>
      <c r="L599" s="1" t="str">
        <f aca="false">'Raw Atomic Data (Pro)'!D599</f>
        <v>messaging-platform-mechanics</v>
      </c>
      <c r="M599" s="1" t="str">
        <f aca="false">'Raw Atomic Data (Pro)'!E599</f>
        <v>workaround</v>
      </c>
      <c r="N599" s="1" t="n">
        <f aca="false">IF(OR(M599="friction",M599="need",M599="workaround"),1,0)</f>
        <v>1</v>
      </c>
      <c r="O599" s="1" t="n">
        <f aca="false">IF(COUNTIFS($K$2:K599,K599,$L$2:L599,L599,$M$2:M599,M599,$J$2:J599,J599)=1,1,0)</f>
        <v>1</v>
      </c>
      <c r="P599" s="1" t="n">
        <f aca="false">IF(AND(N599=1,S599=1,COUNTIFS($L$2:L599,L599,$J$2:J599,J599,$N$2:N599,1,$S$2:S599,1)=1),1,0)</f>
        <v>1</v>
      </c>
      <c r="Q599" s="1" t="n">
        <f aca="false">IF(AND(N599=1,S599=1,COUNTIFS($L$2:L599,L599,$K$2:K599,K599,$N$2:N599,1,$S$2:S599,1)=1),1,0)</f>
        <v>0</v>
      </c>
      <c r="R599" s="1" t="n">
        <f aca="false">IF(AND(N599=1,COUNTIFS($K$2:K599,K599,$L$2:L599,L599,$J$2:J599,J599,$N$2:N599,1)=1),1,0)</f>
        <v>1</v>
      </c>
      <c r="S599" s="1" t="n">
        <f aca="false">IF(AND(K599&lt;&gt;"Context and provider model",K599&lt;&gt;"Motivation"),1,0)</f>
        <v>1</v>
      </c>
    </row>
    <row r="600" customFormat="false" ht="15" hidden="false" customHeight="true" outlineLevel="0" collapsed="false">
      <c r="J600" s="1" t="str">
        <f aca="false">'Raw Atomic Data (Pro)'!A600</f>
        <v>Shania</v>
      </c>
      <c r="K600" s="1" t="str">
        <f aca="false">'Raw Atomic Data (Pro)'!C600</f>
        <v>Client communication</v>
      </c>
      <c r="L600" s="1" t="str">
        <f aca="false">'Raw Atomic Data (Pro)'!D600</f>
        <v>off-platform-communication-channels</v>
      </c>
      <c r="M600" s="1" t="str">
        <f aca="false">'Raw Atomic Data (Pro)'!E600</f>
        <v>fact</v>
      </c>
      <c r="N600" s="1" t="n">
        <f aca="false">IF(OR(M600="friction",M600="need",M600="workaround"),1,0)</f>
        <v>0</v>
      </c>
      <c r="O600" s="1" t="n">
        <f aca="false">IF(COUNTIFS($K$2:K600,K600,$L$2:L600,L600,$M$2:M600,M600,$J$2:J600,J600)=1,1,0)</f>
        <v>0</v>
      </c>
      <c r="P600" s="1" t="n">
        <f aca="false">IF(AND(N600=1,S600=1,COUNTIFS($L$2:L600,L600,$J$2:J600,J600,$N$2:N600,1,$S$2:S600,1)=1),1,0)</f>
        <v>0</v>
      </c>
      <c r="Q600" s="1" t="n">
        <f aca="false">IF(AND(N600=1,S600=1,COUNTIFS($L$2:L600,L600,$K$2:K600,K600,$N$2:N600,1,$S$2:S600,1)=1),1,0)</f>
        <v>0</v>
      </c>
      <c r="R600" s="1" t="n">
        <f aca="false">IF(AND(N600=1,COUNTIFS($K$2:K600,K600,$L$2:L600,L600,$J$2:J600,J600,$N$2:N600,1)=1),1,0)</f>
        <v>0</v>
      </c>
      <c r="S600" s="1" t="n">
        <f aca="false">IF(AND(K600&lt;&gt;"Context and provider model",K600&lt;&gt;"Motivation"),1,0)</f>
        <v>1</v>
      </c>
    </row>
    <row r="601" customFormat="false" ht="15" hidden="false" customHeight="true" outlineLevel="0" collapsed="false">
      <c r="J601" s="1" t="str">
        <f aca="false">'Raw Atomic Data (Pro)'!A601</f>
        <v>Shania</v>
      </c>
      <c r="K601" s="1" t="str">
        <f aca="false">'Raw Atomic Data (Pro)'!C601</f>
        <v>Client communication</v>
      </c>
      <c r="L601" s="1" t="str">
        <f aca="false">'Raw Atomic Data (Pro)'!D601</f>
        <v>in-sit-updates-media</v>
      </c>
      <c r="M601" s="1" t="str">
        <f aca="false">'Raw Atomic Data (Pro)'!E601</f>
        <v>fact</v>
      </c>
      <c r="N601" s="1" t="n">
        <f aca="false">IF(OR(M601="friction",M601="need",M601="workaround"),1,0)</f>
        <v>0</v>
      </c>
      <c r="O601" s="1" t="n">
        <f aca="false">IF(COUNTIFS($K$2:K601,K601,$L$2:L601,L601,$M$2:M601,M601,$J$2:J601,J601)=1,1,0)</f>
        <v>1</v>
      </c>
      <c r="P601" s="1" t="n">
        <f aca="false">IF(AND(N601=1,S601=1,COUNTIFS($L$2:L601,L601,$J$2:J601,J601,$N$2:N601,1,$S$2:S601,1)=1),1,0)</f>
        <v>0</v>
      </c>
      <c r="Q601" s="1" t="n">
        <f aca="false">IF(AND(N601=1,S601=1,COUNTIFS($L$2:L601,L601,$K$2:K601,K601,$N$2:N601,1,$S$2:S601,1)=1),1,0)</f>
        <v>0</v>
      </c>
      <c r="R601" s="1" t="n">
        <f aca="false">IF(AND(N601=1,COUNTIFS($K$2:K601,K601,$L$2:L601,L601,$J$2:J601,J601,$N$2:N601,1)=1),1,0)</f>
        <v>0</v>
      </c>
      <c r="S601" s="1" t="n">
        <f aca="false">IF(AND(K601&lt;&gt;"Context and provider model",K601&lt;&gt;"Motivation"),1,0)</f>
        <v>1</v>
      </c>
    </row>
    <row r="602" customFormat="false" ht="15" hidden="false" customHeight="true" outlineLevel="0" collapsed="false">
      <c r="J602" s="1" t="str">
        <f aca="false">'Raw Atomic Data (Pro)'!A602</f>
        <v>Shania</v>
      </c>
      <c r="K602" s="1" t="str">
        <f aca="false">'Raw Atomic Data (Pro)'!C602</f>
        <v>Client communication</v>
      </c>
      <c r="L602" s="1" t="str">
        <f aca="false">'Raw Atomic Data (Pro)'!D602</f>
        <v>repeat-client-relationships</v>
      </c>
      <c r="M602" s="1" t="str">
        <f aca="false">'Raw Atomic Data (Pro)'!E602</f>
        <v>fact</v>
      </c>
      <c r="N602" s="1" t="n">
        <f aca="false">IF(OR(M602="friction",M602="need",M602="workaround"),1,0)</f>
        <v>0</v>
      </c>
      <c r="O602" s="1" t="n">
        <f aca="false">IF(COUNTIFS($K$2:K602,K602,$L$2:L602,L602,$M$2:M602,M602,$J$2:J602,J602)=1,1,0)</f>
        <v>1</v>
      </c>
      <c r="P602" s="1" t="n">
        <f aca="false">IF(AND(N602=1,S602=1,COUNTIFS($L$2:L602,L602,$J$2:J602,J602,$N$2:N602,1,$S$2:S602,1)=1),1,0)</f>
        <v>0</v>
      </c>
      <c r="Q602" s="1" t="n">
        <f aca="false">IF(AND(N602=1,S602=1,COUNTIFS($L$2:L602,L602,$K$2:K602,K602,$N$2:N602,1,$S$2:S602,1)=1),1,0)</f>
        <v>0</v>
      </c>
      <c r="R602" s="1" t="n">
        <f aca="false">IF(AND(N602=1,COUNTIFS($K$2:K602,K602,$L$2:L602,L602,$J$2:J602,J602,$N$2:N602,1)=1),1,0)</f>
        <v>0</v>
      </c>
      <c r="S602" s="1" t="n">
        <f aca="false">IF(AND(K602&lt;&gt;"Context and provider model",K602&lt;&gt;"Motivation"),1,0)</f>
        <v>1</v>
      </c>
    </row>
    <row r="603" customFormat="false" ht="15" hidden="false" customHeight="true" outlineLevel="0" collapsed="false">
      <c r="J603" s="1" t="str">
        <f aca="false">'Raw Atomic Data (Pro)'!A603</f>
        <v>Tianrui</v>
      </c>
      <c r="K603" s="1" t="str">
        <f aca="false">'Raw Atomic Data (Pro)'!C603</f>
        <v>Client communication</v>
      </c>
      <c r="L603" s="1" t="str">
        <f aca="false">'Raw Atomic Data (Pro)'!D603</f>
        <v>repeat-client-relationships</v>
      </c>
      <c r="M603" s="1" t="str">
        <f aca="false">'Raw Atomic Data (Pro)'!E603</f>
        <v>fact</v>
      </c>
      <c r="N603" s="1" t="n">
        <f aca="false">IF(OR(M603="friction",M603="need",M603="workaround"),1,0)</f>
        <v>0</v>
      </c>
      <c r="O603" s="1" t="n">
        <f aca="false">IF(COUNTIFS($K$2:K603,K603,$L$2:L603,L603,$M$2:M603,M603,$J$2:J603,J603)=1,1,0)</f>
        <v>1</v>
      </c>
      <c r="P603" s="1" t="n">
        <f aca="false">IF(AND(N603=1,S603=1,COUNTIFS($L$2:L603,L603,$J$2:J603,J603,$N$2:N603,1,$S$2:S603,1)=1),1,0)</f>
        <v>0</v>
      </c>
      <c r="Q603" s="1" t="n">
        <f aca="false">IF(AND(N603=1,S603=1,COUNTIFS($L$2:L603,L603,$K$2:K603,K603,$N$2:N603,1,$S$2:S603,1)=1),1,0)</f>
        <v>0</v>
      </c>
      <c r="R603" s="1" t="n">
        <f aca="false">IF(AND(N603=1,COUNTIFS($K$2:K603,K603,$L$2:L603,L603,$J$2:J603,J603,$N$2:N603,1)=1),1,0)</f>
        <v>0</v>
      </c>
      <c r="S603" s="1" t="n">
        <f aca="false">IF(AND(K603&lt;&gt;"Context and provider model",K603&lt;&gt;"Motivation"),1,0)</f>
        <v>1</v>
      </c>
    </row>
    <row r="604" customFormat="false" ht="15" hidden="false" customHeight="true" outlineLevel="0" collapsed="false">
      <c r="J604" s="1" t="str">
        <f aca="false">'Raw Atomic Data (Pro)'!A604</f>
        <v>Tianrui</v>
      </c>
      <c r="K604" s="1" t="str">
        <f aca="false">'Raw Atomic Data (Pro)'!C604</f>
        <v>Client communication</v>
      </c>
      <c r="L604" s="1" t="str">
        <f aca="false">'Raw Atomic Data (Pro)'!D604</f>
        <v>off-platform-communication-channels</v>
      </c>
      <c r="M604" s="1" t="str">
        <f aca="false">'Raw Atomic Data (Pro)'!E604</f>
        <v>fact</v>
      </c>
      <c r="N604" s="1" t="n">
        <f aca="false">IF(OR(M604="friction",M604="need",M604="workaround"),1,0)</f>
        <v>0</v>
      </c>
      <c r="O604" s="1" t="n">
        <f aca="false">IF(COUNTIFS($K$2:K604,K604,$L$2:L604,L604,$M$2:M604,M604,$J$2:J604,J604)=1,1,0)</f>
        <v>1</v>
      </c>
      <c r="P604" s="1" t="n">
        <f aca="false">IF(AND(N604=1,S604=1,COUNTIFS($L$2:L604,L604,$J$2:J604,J604,$N$2:N604,1,$S$2:S604,1)=1),1,0)</f>
        <v>0</v>
      </c>
      <c r="Q604" s="1" t="n">
        <f aca="false">IF(AND(N604=1,S604=1,COUNTIFS($L$2:L604,L604,$K$2:K604,K604,$N$2:N604,1,$S$2:S604,1)=1),1,0)</f>
        <v>0</v>
      </c>
      <c r="R604" s="1" t="n">
        <f aca="false">IF(AND(N604=1,COUNTIFS($K$2:K604,K604,$L$2:L604,L604,$J$2:J604,J604,$N$2:N604,1)=1),1,0)</f>
        <v>0</v>
      </c>
      <c r="S604" s="1" t="n">
        <f aca="false">IF(AND(K604&lt;&gt;"Context and provider model",K604&lt;&gt;"Motivation"),1,0)</f>
        <v>1</v>
      </c>
    </row>
    <row r="605" customFormat="false" ht="15" hidden="false" customHeight="true" outlineLevel="0" collapsed="false">
      <c r="J605" s="1" t="str">
        <f aca="false">'Raw Atomic Data (Pro)'!A605</f>
        <v>Tianrui</v>
      </c>
      <c r="K605" s="1" t="str">
        <f aca="false">'Raw Atomic Data (Pro)'!C605</f>
        <v>Client communication</v>
      </c>
      <c r="L605" s="1" t="str">
        <f aca="false">'Raw Atomic Data (Pro)'!D605</f>
        <v>messaging-platform-mechanics</v>
      </c>
      <c r="M605" s="1" t="str">
        <f aca="false">'Raw Atomic Data (Pro)'!E605</f>
        <v>need</v>
      </c>
      <c r="N605" s="1" t="n">
        <f aca="false">IF(OR(M605="friction",M605="need",M605="workaround"),1,0)</f>
        <v>1</v>
      </c>
      <c r="O605" s="1" t="n">
        <f aca="false">IF(COUNTIFS($K$2:K605,K605,$L$2:L605,L605,$M$2:M605,M605,$J$2:J605,J605)=1,1,0)</f>
        <v>1</v>
      </c>
      <c r="P605" s="1" t="n">
        <f aca="false">IF(AND(N605=1,S605=1,COUNTIFS($L$2:L605,L605,$J$2:J605,J605,$N$2:N605,1,$S$2:S605,1)=1),1,0)</f>
        <v>1</v>
      </c>
      <c r="Q605" s="1" t="n">
        <f aca="false">IF(AND(N605=1,S605=1,COUNTIFS($L$2:L605,L605,$K$2:K605,K605,$N$2:N605,1,$S$2:S605,1)=1),1,0)</f>
        <v>0</v>
      </c>
      <c r="R605" s="1" t="n">
        <f aca="false">IF(AND(N605=1,COUNTIFS($K$2:K605,K605,$L$2:L605,L605,$J$2:J605,J605,$N$2:N605,1)=1),1,0)</f>
        <v>1</v>
      </c>
      <c r="S605" s="1" t="n">
        <f aca="false">IF(AND(K605&lt;&gt;"Context and provider model",K605&lt;&gt;"Motivation"),1,0)</f>
        <v>1</v>
      </c>
    </row>
    <row r="606" customFormat="false" ht="15" hidden="false" customHeight="true" outlineLevel="0" collapsed="false">
      <c r="J606" s="1" t="str">
        <f aca="false">'Raw Atomic Data (Pro)'!A606</f>
        <v>Tifany</v>
      </c>
      <c r="K606" s="1" t="str">
        <f aca="false">'Raw Atomic Data (Pro)'!C606</f>
        <v>Client communication</v>
      </c>
      <c r="L606" s="1" t="str">
        <f aca="false">'Raw Atomic Data (Pro)'!D606</f>
        <v>off-platform-communication-channels</v>
      </c>
      <c r="M606" s="1" t="str">
        <f aca="false">'Raw Atomic Data (Pro)'!E606</f>
        <v>fact</v>
      </c>
      <c r="N606" s="1" t="n">
        <f aca="false">IF(OR(M606="friction",M606="need",M606="workaround"),1,0)</f>
        <v>0</v>
      </c>
      <c r="O606" s="1" t="n">
        <f aca="false">IF(COUNTIFS($K$2:K606,K606,$L$2:L606,L606,$M$2:M606,M606,$J$2:J606,J606)=1,1,0)</f>
        <v>1</v>
      </c>
      <c r="P606" s="1" t="n">
        <f aca="false">IF(AND(N606=1,S606=1,COUNTIFS($L$2:L606,L606,$J$2:J606,J606,$N$2:N606,1,$S$2:S606,1)=1),1,0)</f>
        <v>0</v>
      </c>
      <c r="Q606" s="1" t="n">
        <f aca="false">IF(AND(N606=1,S606=1,COUNTIFS($L$2:L606,L606,$K$2:K606,K606,$N$2:N606,1,$S$2:S606,1)=1),1,0)</f>
        <v>0</v>
      </c>
      <c r="R606" s="1" t="n">
        <f aca="false">IF(AND(N606=1,COUNTIFS($K$2:K606,K606,$L$2:L606,L606,$J$2:J606,J606,$N$2:N606,1)=1),1,0)</f>
        <v>0</v>
      </c>
      <c r="S606" s="1" t="n">
        <f aca="false">IF(AND(K606&lt;&gt;"Context and provider model",K606&lt;&gt;"Motivation"),1,0)</f>
        <v>1</v>
      </c>
    </row>
    <row r="607" customFormat="false" ht="15" hidden="false" customHeight="true" outlineLevel="0" collapsed="false">
      <c r="J607" s="1" t="str">
        <f aca="false">'Raw Atomic Data (Pro)'!A607</f>
        <v>Tifany</v>
      </c>
      <c r="K607" s="1" t="str">
        <f aca="false">'Raw Atomic Data (Pro)'!C607</f>
        <v>Client communication</v>
      </c>
      <c r="L607" s="1" t="str">
        <f aca="false">'Raw Atomic Data (Pro)'!D607</f>
        <v>messaging-platform-mechanics</v>
      </c>
      <c r="M607" s="1" t="str">
        <f aca="false">'Raw Atomic Data (Pro)'!E607</f>
        <v>friction</v>
      </c>
      <c r="N607" s="1" t="n">
        <f aca="false">IF(OR(M607="friction",M607="need",M607="workaround"),1,0)</f>
        <v>1</v>
      </c>
      <c r="O607" s="1" t="n">
        <f aca="false">IF(COUNTIFS($K$2:K607,K607,$L$2:L607,L607,$M$2:M607,M607,$J$2:J607,J607)=1,1,0)</f>
        <v>1</v>
      </c>
      <c r="P607" s="1" t="n">
        <f aca="false">IF(AND(N607=1,S607=1,COUNTIFS($L$2:L607,L607,$J$2:J607,J607,$N$2:N607,1,$S$2:S607,1)=1),1,0)</f>
        <v>0</v>
      </c>
      <c r="Q607" s="1" t="n">
        <f aca="false">IF(AND(N607=1,S607=1,COUNTIFS($L$2:L607,L607,$K$2:K607,K607,$N$2:N607,1,$S$2:S607,1)=1),1,0)</f>
        <v>0</v>
      </c>
      <c r="R607" s="1" t="n">
        <f aca="false">IF(AND(N607=1,COUNTIFS($K$2:K607,K607,$L$2:L607,L607,$J$2:J607,J607,$N$2:N607,1)=1),1,0)</f>
        <v>1</v>
      </c>
      <c r="S607" s="1" t="n">
        <f aca="false">IF(AND(K607&lt;&gt;"Context and provider model",K607&lt;&gt;"Motivation"),1,0)</f>
        <v>1</v>
      </c>
    </row>
    <row r="608" customFormat="false" ht="15" hidden="false" customHeight="true" outlineLevel="0" collapsed="false">
      <c r="J608" s="1" t="str">
        <f aca="false">'Raw Atomic Data (Pro)'!A608</f>
        <v>Tifany</v>
      </c>
      <c r="K608" s="1" t="str">
        <f aca="false">'Raw Atomic Data (Pro)'!C608</f>
        <v>Client communication</v>
      </c>
      <c r="L608" s="1" t="str">
        <f aca="false">'Raw Atomic Data (Pro)'!D608</f>
        <v>messaging-platform-mechanics</v>
      </c>
      <c r="M608" s="1" t="str">
        <f aca="false">'Raw Atomic Data (Pro)'!E608</f>
        <v>friction</v>
      </c>
      <c r="N608" s="1" t="n">
        <f aca="false">IF(OR(M608="friction",M608="need",M608="workaround"),1,0)</f>
        <v>1</v>
      </c>
      <c r="O608" s="1" t="n">
        <f aca="false">IF(COUNTIFS($K$2:K608,K608,$L$2:L608,L608,$M$2:M608,M608,$J$2:J608,J608)=1,1,0)</f>
        <v>0</v>
      </c>
      <c r="P608" s="1" t="n">
        <f aca="false">IF(AND(N608=1,S608=1,COUNTIFS($L$2:L608,L608,$J$2:J608,J608,$N$2:N608,1,$S$2:S608,1)=1),1,0)</f>
        <v>0</v>
      </c>
      <c r="Q608" s="1" t="n">
        <f aca="false">IF(AND(N608=1,S608=1,COUNTIFS($L$2:L608,L608,$K$2:K608,K608,$N$2:N608,1,$S$2:S608,1)=1),1,0)</f>
        <v>0</v>
      </c>
      <c r="R608" s="1" t="n">
        <f aca="false">IF(AND(N608=1,COUNTIFS($K$2:K608,K608,$L$2:L608,L608,$J$2:J608,J608,$N$2:N608,1)=1),1,0)</f>
        <v>0</v>
      </c>
      <c r="S608" s="1" t="n">
        <f aca="false">IF(AND(K608&lt;&gt;"Context and provider model",K608&lt;&gt;"Motivation"),1,0)</f>
        <v>1</v>
      </c>
    </row>
    <row r="609" customFormat="false" ht="15" hidden="false" customHeight="true" outlineLevel="0" collapsed="false">
      <c r="J609" s="1" t="str">
        <f aca="false">'Raw Atomic Data (Pro)'!A609</f>
        <v>Tifany</v>
      </c>
      <c r="K609" s="1" t="str">
        <f aca="false">'Raw Atomic Data (Pro)'!C609</f>
        <v>Client communication</v>
      </c>
      <c r="L609" s="1" t="str">
        <f aca="false">'Raw Atomic Data (Pro)'!D609</f>
        <v>messaging-platform-mechanics</v>
      </c>
      <c r="M609" s="1" t="str">
        <f aca="false">'Raw Atomic Data (Pro)'!E609</f>
        <v>need</v>
      </c>
      <c r="N609" s="1" t="n">
        <f aca="false">IF(OR(M609="friction",M609="need",M609="workaround"),1,0)</f>
        <v>1</v>
      </c>
      <c r="O609" s="1" t="n">
        <f aca="false">IF(COUNTIFS($K$2:K609,K609,$L$2:L609,L609,$M$2:M609,M609,$J$2:J609,J609)=1,1,0)</f>
        <v>1</v>
      </c>
      <c r="P609" s="1" t="n">
        <f aca="false">IF(AND(N609=1,S609=1,COUNTIFS($L$2:L609,L609,$J$2:J609,J609,$N$2:N609,1,$S$2:S609,1)=1),1,0)</f>
        <v>0</v>
      </c>
      <c r="Q609" s="1" t="n">
        <f aca="false">IF(AND(N609=1,S609=1,COUNTIFS($L$2:L609,L609,$K$2:K609,K609,$N$2:N609,1,$S$2:S609,1)=1),1,0)</f>
        <v>0</v>
      </c>
      <c r="R609" s="1" t="n">
        <f aca="false">IF(AND(N609=1,COUNTIFS($K$2:K609,K609,$L$2:L609,L609,$J$2:J609,J609,$N$2:N609,1)=1),1,0)</f>
        <v>0</v>
      </c>
      <c r="S609" s="1" t="n">
        <f aca="false">IF(AND(K609&lt;&gt;"Context and provider model",K609&lt;&gt;"Motivation"),1,0)</f>
        <v>1</v>
      </c>
    </row>
    <row r="610" customFormat="false" ht="15" hidden="false" customHeight="true" outlineLevel="0" collapsed="false">
      <c r="J610" s="1" t="str">
        <f aca="false">'Raw Atomic Data (Pro)'!A610</f>
        <v>Tifany</v>
      </c>
      <c r="K610" s="1" t="str">
        <f aca="false">'Raw Atomic Data (Pro)'!C610</f>
        <v>Client communication</v>
      </c>
      <c r="L610" s="1" t="str">
        <f aca="false">'Raw Atomic Data (Pro)'!D610</f>
        <v>messaging-platform-mechanics</v>
      </c>
      <c r="M610" s="1" t="str">
        <f aca="false">'Raw Atomic Data (Pro)'!E610</f>
        <v>friction</v>
      </c>
      <c r="N610" s="1" t="n">
        <f aca="false">IF(OR(M610="friction",M610="need",M610="workaround"),1,0)</f>
        <v>1</v>
      </c>
      <c r="O610" s="1" t="n">
        <f aca="false">IF(COUNTIFS($K$2:K610,K610,$L$2:L610,L610,$M$2:M610,M610,$J$2:J610,J610)=1,1,0)</f>
        <v>0</v>
      </c>
      <c r="P610" s="1" t="n">
        <f aca="false">IF(AND(N610=1,S610=1,COUNTIFS($L$2:L610,L610,$J$2:J610,J610,$N$2:N610,1,$S$2:S610,1)=1),1,0)</f>
        <v>0</v>
      </c>
      <c r="Q610" s="1" t="n">
        <f aca="false">IF(AND(N610=1,S610=1,COUNTIFS($L$2:L610,L610,$K$2:K610,K610,$N$2:N610,1,$S$2:S610,1)=1),1,0)</f>
        <v>0</v>
      </c>
      <c r="R610" s="1" t="n">
        <f aca="false">IF(AND(N610=1,COUNTIFS($K$2:K610,K610,$L$2:L610,L610,$J$2:J610,J610,$N$2:N610,1)=1),1,0)</f>
        <v>0</v>
      </c>
      <c r="S610" s="1" t="n">
        <f aca="false">IF(AND(K610&lt;&gt;"Context and provider model",K610&lt;&gt;"Motivation"),1,0)</f>
        <v>1</v>
      </c>
    </row>
    <row r="611" customFormat="false" ht="15" hidden="false" customHeight="true" outlineLevel="0" collapsed="false">
      <c r="J611" s="1" t="str">
        <f aca="false">'Raw Atomic Data (Pro)'!A611</f>
        <v>Ami</v>
      </c>
      <c r="K611" s="1" t="str">
        <f aca="false">'Raw Atomic Data (Pro)'!C611</f>
        <v>Completion and feedback</v>
      </c>
      <c r="L611" s="1" t="str">
        <f aca="false">'Raw Atomic Data (Pro)'!D611</f>
        <v>daily-care-tasks</v>
      </c>
      <c r="M611" s="1" t="str">
        <f aca="false">'Raw Atomic Data (Pro)'!E611</f>
        <v>value-statement</v>
      </c>
      <c r="N611" s="1" t="n">
        <f aca="false">IF(OR(M611="friction",M611="need",M611="workaround"),1,0)</f>
        <v>0</v>
      </c>
      <c r="O611" s="1" t="n">
        <f aca="false">IF(COUNTIFS($K$2:K611,K611,$L$2:L611,L611,$M$2:M611,M611,$J$2:J611,J611)=1,1,0)</f>
        <v>1</v>
      </c>
      <c r="P611" s="1" t="n">
        <f aca="false">IF(AND(N611=1,S611=1,COUNTIFS($L$2:L611,L611,$J$2:J611,J611,$N$2:N611,1,$S$2:S611,1)=1),1,0)</f>
        <v>0</v>
      </c>
      <c r="Q611" s="1" t="n">
        <f aca="false">IF(AND(N611=1,S611=1,COUNTIFS($L$2:L611,L611,$K$2:K611,K611,$N$2:N611,1,$S$2:S611,1)=1),1,0)</f>
        <v>0</v>
      </c>
      <c r="R611" s="1" t="n">
        <f aca="false">IF(AND(N611=1,COUNTIFS($K$2:K611,K611,$L$2:L611,L611,$J$2:J611,J611,$N$2:N611,1)=1),1,0)</f>
        <v>0</v>
      </c>
      <c r="S611" s="1" t="n">
        <f aca="false">IF(AND(K611&lt;&gt;"Context and provider model",K611&lt;&gt;"Motivation"),1,0)</f>
        <v>1</v>
      </c>
    </row>
    <row r="612" customFormat="false" ht="15" hidden="false" customHeight="true" outlineLevel="0" collapsed="false">
      <c r="J612" s="1" t="str">
        <f aca="false">'Raw Atomic Data (Pro)'!A612</f>
        <v>Ami</v>
      </c>
      <c r="K612" s="1" t="str">
        <f aca="false">'Raw Atomic Data (Pro)'!C612</f>
        <v>Completion and feedback</v>
      </c>
      <c r="L612" s="1" t="str">
        <f aca="false">'Raw Atomic Data (Pro)'!D612</f>
        <v>reviews-feedback-process</v>
      </c>
      <c r="M612" s="1" t="str">
        <f aca="false">'Raw Atomic Data (Pro)'!E612</f>
        <v>fact</v>
      </c>
      <c r="N612" s="1" t="n">
        <f aca="false">IF(OR(M612="friction",M612="need",M612="workaround"),1,0)</f>
        <v>0</v>
      </c>
      <c r="O612" s="1" t="n">
        <f aca="false">IF(COUNTIFS($K$2:K612,K612,$L$2:L612,L612,$M$2:M612,M612,$J$2:J612,J612)=1,1,0)</f>
        <v>1</v>
      </c>
      <c r="P612" s="1" t="n">
        <f aca="false">IF(AND(N612=1,S612=1,COUNTIFS($L$2:L612,L612,$J$2:J612,J612,$N$2:N612,1,$S$2:S612,1)=1),1,0)</f>
        <v>0</v>
      </c>
      <c r="Q612" s="1" t="n">
        <f aca="false">IF(AND(N612=1,S612=1,COUNTIFS($L$2:L612,L612,$K$2:K612,K612,$N$2:N612,1,$S$2:S612,1)=1),1,0)</f>
        <v>0</v>
      </c>
      <c r="R612" s="1" t="n">
        <f aca="false">IF(AND(N612=1,COUNTIFS($K$2:K612,K612,$L$2:L612,L612,$J$2:J612,J612,$N$2:N612,1)=1),1,0)</f>
        <v>0</v>
      </c>
      <c r="S612" s="1" t="n">
        <f aca="false">IF(AND(K612&lt;&gt;"Context and provider model",K612&lt;&gt;"Motivation"),1,0)</f>
        <v>1</v>
      </c>
    </row>
    <row r="613" customFormat="false" ht="15" hidden="false" customHeight="true" outlineLevel="0" collapsed="false">
      <c r="J613" s="1" t="str">
        <f aca="false">'Raw Atomic Data (Pro)'!A613</f>
        <v>Ami</v>
      </c>
      <c r="K613" s="1" t="str">
        <f aca="false">'Raw Atomic Data (Pro)'!C613</f>
        <v>Completion and feedback</v>
      </c>
      <c r="L613" s="1" t="str">
        <f aca="false">'Raw Atomic Data (Pro)'!D613</f>
        <v>reviews-feedback-process</v>
      </c>
      <c r="M613" s="1" t="str">
        <f aca="false">'Raw Atomic Data (Pro)'!E613</f>
        <v>value-statement</v>
      </c>
      <c r="N613" s="1" t="n">
        <f aca="false">IF(OR(M613="friction",M613="need",M613="workaround"),1,0)</f>
        <v>0</v>
      </c>
      <c r="O613" s="1" t="n">
        <f aca="false">IF(COUNTIFS($K$2:K613,K613,$L$2:L613,L613,$M$2:M613,M613,$J$2:J613,J613)=1,1,0)</f>
        <v>1</v>
      </c>
      <c r="P613" s="1" t="n">
        <f aca="false">IF(AND(N613=1,S613=1,COUNTIFS($L$2:L613,L613,$J$2:J613,J613,$N$2:N613,1,$S$2:S613,1)=1),1,0)</f>
        <v>0</v>
      </c>
      <c r="Q613" s="1" t="n">
        <f aca="false">IF(AND(N613=1,S613=1,COUNTIFS($L$2:L613,L613,$K$2:K613,K613,$N$2:N613,1,$S$2:S613,1)=1),1,0)</f>
        <v>0</v>
      </c>
      <c r="R613" s="1" t="n">
        <f aca="false">IF(AND(N613=1,COUNTIFS($K$2:K613,K613,$L$2:L613,L613,$J$2:J613,J613,$N$2:N613,1)=1),1,0)</f>
        <v>0</v>
      </c>
      <c r="S613" s="1" t="n">
        <f aca="false">IF(AND(K613&lt;&gt;"Context and provider model",K613&lt;&gt;"Motivation"),1,0)</f>
        <v>1</v>
      </c>
    </row>
    <row r="614" customFormat="false" ht="15" hidden="false" customHeight="true" outlineLevel="0" collapsed="false">
      <c r="J614" s="1" t="str">
        <f aca="false">'Raw Atomic Data (Pro)'!A614</f>
        <v>Ami</v>
      </c>
      <c r="K614" s="1" t="str">
        <f aca="false">'Raw Atomic Data (Pro)'!C614</f>
        <v>Completion and feedback</v>
      </c>
      <c r="L614" s="1" t="str">
        <f aca="false">'Raw Atomic Data (Pro)'!D614</f>
        <v>repeat-client-relationships</v>
      </c>
      <c r="M614" s="1" t="str">
        <f aca="false">'Raw Atomic Data (Pro)'!E614</f>
        <v>value-statement</v>
      </c>
      <c r="N614" s="1" t="n">
        <f aca="false">IF(OR(M614="friction",M614="need",M614="workaround"),1,0)</f>
        <v>0</v>
      </c>
      <c r="O614" s="1" t="n">
        <f aca="false">IF(COUNTIFS($K$2:K614,K614,$L$2:L614,L614,$M$2:M614,M614,$J$2:J614,J614)=1,1,0)</f>
        <v>1</v>
      </c>
      <c r="P614" s="1" t="n">
        <f aca="false">IF(AND(N614=1,S614=1,COUNTIFS($L$2:L614,L614,$J$2:J614,J614,$N$2:N614,1,$S$2:S614,1)=1),1,0)</f>
        <v>0</v>
      </c>
      <c r="Q614" s="1" t="n">
        <f aca="false">IF(AND(N614=1,S614=1,COUNTIFS($L$2:L614,L614,$K$2:K614,K614,$N$2:N614,1,$S$2:S614,1)=1),1,0)</f>
        <v>0</v>
      </c>
      <c r="R614" s="1" t="n">
        <f aca="false">IF(AND(N614=1,COUNTIFS($K$2:K614,K614,$L$2:L614,L614,$J$2:J614,J614,$N$2:N614,1)=1),1,0)</f>
        <v>0</v>
      </c>
      <c r="S614" s="1" t="n">
        <f aca="false">IF(AND(K614&lt;&gt;"Context and provider model",K614&lt;&gt;"Motivation"),1,0)</f>
        <v>1</v>
      </c>
    </row>
    <row r="615" customFormat="false" ht="15" hidden="false" customHeight="true" outlineLevel="0" collapsed="false">
      <c r="J615" s="1" t="str">
        <f aca="false">'Raw Atomic Data (Pro)'!A615</f>
        <v>Andrew</v>
      </c>
      <c r="K615" s="1" t="str">
        <f aca="false">'Raw Atomic Data (Pro)'!C615</f>
        <v>Completion and feedback</v>
      </c>
      <c r="L615" s="1" t="str">
        <f aca="false">'Raw Atomic Data (Pro)'!D615</f>
        <v>reviews-feedback-process</v>
      </c>
      <c r="M615" s="1" t="str">
        <f aca="false">'Raw Atomic Data (Pro)'!E615</f>
        <v>fact</v>
      </c>
      <c r="N615" s="1" t="n">
        <f aca="false">IF(OR(M615="friction",M615="need",M615="workaround"),1,0)</f>
        <v>0</v>
      </c>
      <c r="O615" s="1" t="n">
        <f aca="false">IF(COUNTIFS($K$2:K615,K615,$L$2:L615,L615,$M$2:M615,M615,$J$2:J615,J615)=1,1,0)</f>
        <v>1</v>
      </c>
      <c r="P615" s="1" t="n">
        <f aca="false">IF(AND(N615=1,S615=1,COUNTIFS($L$2:L615,L615,$J$2:J615,J615,$N$2:N615,1,$S$2:S615,1)=1),1,0)</f>
        <v>0</v>
      </c>
      <c r="Q615" s="1" t="n">
        <f aca="false">IF(AND(N615=1,S615=1,COUNTIFS($L$2:L615,L615,$K$2:K615,K615,$N$2:N615,1,$S$2:S615,1)=1),1,0)</f>
        <v>0</v>
      </c>
      <c r="R615" s="1" t="n">
        <f aca="false">IF(AND(N615=1,COUNTIFS($K$2:K615,K615,$L$2:L615,L615,$J$2:J615,J615,$N$2:N615,1)=1),1,0)</f>
        <v>0</v>
      </c>
      <c r="S615" s="1" t="n">
        <f aca="false">IF(AND(K615&lt;&gt;"Context and provider model",K615&lt;&gt;"Motivation"),1,0)</f>
        <v>1</v>
      </c>
    </row>
    <row r="616" customFormat="false" ht="15" hidden="false" customHeight="true" outlineLevel="0" collapsed="false">
      <c r="J616" s="1" t="str">
        <f aca="false">'Raw Atomic Data (Pro)'!A616</f>
        <v>Andrew</v>
      </c>
      <c r="K616" s="1" t="str">
        <f aca="false">'Raw Atomic Data (Pro)'!C616</f>
        <v>Completion and feedback</v>
      </c>
      <c r="L616" s="1" t="str">
        <f aca="false">'Raw Atomic Data (Pro)'!D616</f>
        <v>reviews-feedback-process</v>
      </c>
      <c r="M616" s="1" t="str">
        <f aca="false">'Raw Atomic Data (Pro)'!E616</f>
        <v>friction</v>
      </c>
      <c r="N616" s="1" t="n">
        <f aca="false">IF(OR(M616="friction",M616="need",M616="workaround"),1,0)</f>
        <v>1</v>
      </c>
      <c r="O616" s="1" t="n">
        <f aca="false">IF(COUNTIFS($K$2:K616,K616,$L$2:L616,L616,$M$2:M616,M616,$J$2:J616,J616)=1,1,0)</f>
        <v>1</v>
      </c>
      <c r="P616" s="1" t="n">
        <f aca="false">IF(AND(N616=1,S616=1,COUNTIFS($L$2:L616,L616,$J$2:J616,J616,$N$2:N616,1,$S$2:S616,1)=1),1,0)</f>
        <v>1</v>
      </c>
      <c r="Q616" s="1" t="n">
        <f aca="false">IF(AND(N616=1,S616=1,COUNTIFS($L$2:L616,L616,$K$2:K616,K616,$N$2:N616,1,$S$2:S616,1)=1),1,0)</f>
        <v>1</v>
      </c>
      <c r="R616" s="1" t="n">
        <f aca="false">IF(AND(N616=1,COUNTIFS($K$2:K616,K616,$L$2:L616,L616,$J$2:J616,J616,$N$2:N616,1)=1),1,0)</f>
        <v>1</v>
      </c>
      <c r="S616" s="1" t="n">
        <f aca="false">IF(AND(K616&lt;&gt;"Context and provider model",K616&lt;&gt;"Motivation"),1,0)</f>
        <v>1</v>
      </c>
    </row>
    <row r="617" customFormat="false" ht="15" hidden="false" customHeight="true" outlineLevel="0" collapsed="false">
      <c r="J617" s="1" t="str">
        <f aca="false">'Raw Atomic Data (Pro)'!A617</f>
        <v>Andrew</v>
      </c>
      <c r="K617" s="1" t="str">
        <f aca="false">'Raw Atomic Data (Pro)'!C617</f>
        <v>Completion and feedback</v>
      </c>
      <c r="L617" s="1" t="str">
        <f aca="false">'Raw Atomic Data (Pro)'!D617</f>
        <v>reviews-feedback-process</v>
      </c>
      <c r="M617" s="1" t="str">
        <f aca="false">'Raw Atomic Data (Pro)'!E617</f>
        <v>friction</v>
      </c>
      <c r="N617" s="1" t="n">
        <f aca="false">IF(OR(M617="friction",M617="need",M617="workaround"),1,0)</f>
        <v>1</v>
      </c>
      <c r="O617" s="1" t="n">
        <f aca="false">IF(COUNTIFS($K$2:K617,K617,$L$2:L617,L617,$M$2:M617,M617,$J$2:J617,J617)=1,1,0)</f>
        <v>0</v>
      </c>
      <c r="P617" s="1" t="n">
        <f aca="false">IF(AND(N617=1,S617=1,COUNTIFS($L$2:L617,L617,$J$2:J617,J617,$N$2:N617,1,$S$2:S617,1)=1),1,0)</f>
        <v>0</v>
      </c>
      <c r="Q617" s="1" t="n">
        <f aca="false">IF(AND(N617=1,S617=1,COUNTIFS($L$2:L617,L617,$K$2:K617,K617,$N$2:N617,1,$S$2:S617,1)=1),1,0)</f>
        <v>0</v>
      </c>
      <c r="R617" s="1" t="n">
        <f aca="false">IF(AND(N617=1,COUNTIFS($K$2:K617,K617,$L$2:L617,L617,$J$2:J617,J617,$N$2:N617,1)=1),1,0)</f>
        <v>0</v>
      </c>
      <c r="S617" s="1" t="n">
        <f aca="false">IF(AND(K617&lt;&gt;"Context and provider model",K617&lt;&gt;"Motivation"),1,0)</f>
        <v>1</v>
      </c>
    </row>
    <row r="618" customFormat="false" ht="15" hidden="false" customHeight="true" outlineLevel="0" collapsed="false">
      <c r="J618" s="1" t="str">
        <f aca="false">'Raw Atomic Data (Pro)'!A618</f>
        <v>Andrew</v>
      </c>
      <c r="K618" s="1" t="str">
        <f aca="false">'Raw Atomic Data (Pro)'!C618</f>
        <v>Completion and feedback</v>
      </c>
      <c r="L618" s="1" t="str">
        <f aca="false">'Raw Atomic Data (Pro)'!D618</f>
        <v>reviews-feedback-process</v>
      </c>
      <c r="M618" s="1" t="str">
        <f aca="false">'Raw Atomic Data (Pro)'!E618</f>
        <v>fact</v>
      </c>
      <c r="N618" s="1" t="n">
        <f aca="false">IF(OR(M618="friction",M618="need",M618="workaround"),1,0)</f>
        <v>0</v>
      </c>
      <c r="O618" s="1" t="n">
        <f aca="false">IF(COUNTIFS($K$2:K618,K618,$L$2:L618,L618,$M$2:M618,M618,$J$2:J618,J618)=1,1,0)</f>
        <v>0</v>
      </c>
      <c r="P618" s="1" t="n">
        <f aca="false">IF(AND(N618=1,S618=1,COUNTIFS($L$2:L618,L618,$J$2:J618,J618,$N$2:N618,1,$S$2:S618,1)=1),1,0)</f>
        <v>0</v>
      </c>
      <c r="Q618" s="1" t="n">
        <f aca="false">IF(AND(N618=1,S618=1,COUNTIFS($L$2:L618,L618,$K$2:K618,K618,$N$2:N618,1,$S$2:S618,1)=1),1,0)</f>
        <v>0</v>
      </c>
      <c r="R618" s="1" t="n">
        <f aca="false">IF(AND(N618=1,COUNTIFS($K$2:K618,K618,$L$2:L618,L618,$J$2:J618,J618,$N$2:N618,1)=1),1,0)</f>
        <v>0</v>
      </c>
      <c r="S618" s="1" t="n">
        <f aca="false">IF(AND(K618&lt;&gt;"Context and provider model",K618&lt;&gt;"Motivation"),1,0)</f>
        <v>1</v>
      </c>
    </row>
    <row r="619" customFormat="false" ht="15" hidden="false" customHeight="true" outlineLevel="0" collapsed="false">
      <c r="J619" s="1" t="str">
        <f aca="false">'Raw Atomic Data (Pro)'!A619</f>
        <v>Andrew</v>
      </c>
      <c r="K619" s="1" t="str">
        <f aca="false">'Raw Atomic Data (Pro)'!C619</f>
        <v>Completion and feedback</v>
      </c>
      <c r="L619" s="1" t="str">
        <f aca="false">'Raw Atomic Data (Pro)'!D619</f>
        <v>search-ranking-visibility</v>
      </c>
      <c r="M619" s="1" t="str">
        <f aca="false">'Raw Atomic Data (Pro)'!E619</f>
        <v>fact</v>
      </c>
      <c r="N619" s="1" t="n">
        <f aca="false">IF(OR(M619="friction",M619="need",M619="workaround"),1,0)</f>
        <v>0</v>
      </c>
      <c r="O619" s="1" t="n">
        <f aca="false">IF(COUNTIFS($K$2:K619,K619,$L$2:L619,L619,$M$2:M619,M619,$J$2:J619,J619)=1,1,0)</f>
        <v>1</v>
      </c>
      <c r="P619" s="1" t="n">
        <f aca="false">IF(AND(N619=1,S619=1,COUNTIFS($L$2:L619,L619,$J$2:J619,J619,$N$2:N619,1,$S$2:S619,1)=1),1,0)</f>
        <v>0</v>
      </c>
      <c r="Q619" s="1" t="n">
        <f aca="false">IF(AND(N619=1,S619=1,COUNTIFS($L$2:L619,L619,$K$2:K619,K619,$N$2:N619,1,$S$2:S619,1)=1),1,0)</f>
        <v>0</v>
      </c>
      <c r="R619" s="1" t="n">
        <f aca="false">IF(AND(N619=1,COUNTIFS($K$2:K619,K619,$L$2:L619,L619,$J$2:J619,J619,$N$2:N619,1)=1),1,0)</f>
        <v>0</v>
      </c>
      <c r="S619" s="1" t="n">
        <f aca="false">IF(AND(K619&lt;&gt;"Context and provider model",K619&lt;&gt;"Motivation"),1,0)</f>
        <v>1</v>
      </c>
    </row>
    <row r="620" customFormat="false" ht="15" hidden="false" customHeight="true" outlineLevel="0" collapsed="false">
      <c r="J620" s="1" t="str">
        <f aca="false">'Raw Atomic Data (Pro)'!A620</f>
        <v>Andrew</v>
      </c>
      <c r="K620" s="1" t="str">
        <f aca="false">'Raw Atomic Data (Pro)'!C620</f>
        <v>Completion and feedback</v>
      </c>
      <c r="L620" s="1" t="str">
        <f aca="false">'Raw Atomic Data (Pro)'!D620</f>
        <v>reviews-feedback-process</v>
      </c>
      <c r="M620" s="1" t="str">
        <f aca="false">'Raw Atomic Data (Pro)'!E620</f>
        <v>fact</v>
      </c>
      <c r="N620" s="1" t="n">
        <f aca="false">IF(OR(M620="friction",M620="need",M620="workaround"),1,0)</f>
        <v>0</v>
      </c>
      <c r="O620" s="1" t="n">
        <f aca="false">IF(COUNTIFS($K$2:K620,K620,$L$2:L620,L620,$M$2:M620,M620,$J$2:J620,J620)=1,1,0)</f>
        <v>0</v>
      </c>
      <c r="P620" s="1" t="n">
        <f aca="false">IF(AND(N620=1,S620=1,COUNTIFS($L$2:L620,L620,$J$2:J620,J620,$N$2:N620,1,$S$2:S620,1)=1),1,0)</f>
        <v>0</v>
      </c>
      <c r="Q620" s="1" t="n">
        <f aca="false">IF(AND(N620=1,S620=1,COUNTIFS($L$2:L620,L620,$K$2:K620,K620,$N$2:N620,1,$S$2:S620,1)=1),1,0)</f>
        <v>0</v>
      </c>
      <c r="R620" s="1" t="n">
        <f aca="false">IF(AND(N620=1,COUNTIFS($K$2:K620,K620,$L$2:L620,L620,$J$2:J620,J620,$N$2:N620,1)=1),1,0)</f>
        <v>0</v>
      </c>
      <c r="S620" s="1" t="n">
        <f aca="false">IF(AND(K620&lt;&gt;"Context and provider model",K620&lt;&gt;"Motivation"),1,0)</f>
        <v>1</v>
      </c>
    </row>
    <row r="621" customFormat="false" ht="15" hidden="false" customHeight="true" outlineLevel="0" collapsed="false">
      <c r="J621" s="1" t="str">
        <f aca="false">'Raw Atomic Data (Pro)'!A621</f>
        <v>Andrew</v>
      </c>
      <c r="K621" s="1" t="str">
        <f aca="false">'Raw Atomic Data (Pro)'!C621</f>
        <v>Completion and feedback</v>
      </c>
      <c r="L621" s="1" t="str">
        <f aca="false">'Raw Atomic Data (Pro)'!D621</f>
        <v>reviews-feedback-process</v>
      </c>
      <c r="M621" s="1" t="str">
        <f aca="false">'Raw Atomic Data (Pro)'!E621</f>
        <v>fact</v>
      </c>
      <c r="N621" s="1" t="n">
        <f aca="false">IF(OR(M621="friction",M621="need",M621="workaround"),1,0)</f>
        <v>0</v>
      </c>
      <c r="O621" s="1" t="n">
        <f aca="false">IF(COUNTIFS($K$2:K621,K621,$L$2:L621,L621,$M$2:M621,M621,$J$2:J621,J621)=1,1,0)</f>
        <v>0</v>
      </c>
      <c r="P621" s="1" t="n">
        <f aca="false">IF(AND(N621=1,S621=1,COUNTIFS($L$2:L621,L621,$J$2:J621,J621,$N$2:N621,1,$S$2:S621,1)=1),1,0)</f>
        <v>0</v>
      </c>
      <c r="Q621" s="1" t="n">
        <f aca="false">IF(AND(N621=1,S621=1,COUNTIFS($L$2:L621,L621,$K$2:K621,K621,$N$2:N621,1,$S$2:S621,1)=1),1,0)</f>
        <v>0</v>
      </c>
      <c r="R621" s="1" t="n">
        <f aca="false">IF(AND(N621=1,COUNTIFS($K$2:K621,K621,$L$2:L621,L621,$J$2:J621,J621,$N$2:N621,1)=1),1,0)</f>
        <v>0</v>
      </c>
      <c r="S621" s="1" t="n">
        <f aca="false">IF(AND(K621&lt;&gt;"Context and provider model",K621&lt;&gt;"Motivation"),1,0)</f>
        <v>1</v>
      </c>
    </row>
    <row r="622" customFormat="false" ht="15" hidden="false" customHeight="true" outlineLevel="0" collapsed="false">
      <c r="J622" s="1" t="str">
        <f aca="false">'Raw Atomic Data (Pro)'!A622</f>
        <v>Andrew</v>
      </c>
      <c r="K622" s="1" t="str">
        <f aca="false">'Raw Atomic Data (Pro)'!C622</f>
        <v>Completion and feedback</v>
      </c>
      <c r="L622" s="1" t="str">
        <f aca="false">'Raw Atomic Data (Pro)'!D622</f>
        <v>reviews-feedback-process</v>
      </c>
      <c r="M622" s="1" t="str">
        <f aca="false">'Raw Atomic Data (Pro)'!E622</f>
        <v>fact</v>
      </c>
      <c r="N622" s="1" t="n">
        <f aca="false">IF(OR(M622="friction",M622="need",M622="workaround"),1,0)</f>
        <v>0</v>
      </c>
      <c r="O622" s="1" t="n">
        <f aca="false">IF(COUNTIFS($K$2:K622,K622,$L$2:L622,L622,$M$2:M622,M622,$J$2:J622,J622)=1,1,0)</f>
        <v>0</v>
      </c>
      <c r="P622" s="1" t="n">
        <f aca="false">IF(AND(N622=1,S622=1,COUNTIFS($L$2:L622,L622,$J$2:J622,J622,$N$2:N622,1,$S$2:S622,1)=1),1,0)</f>
        <v>0</v>
      </c>
      <c r="Q622" s="1" t="n">
        <f aca="false">IF(AND(N622=1,S622=1,COUNTIFS($L$2:L622,L622,$K$2:K622,K622,$N$2:N622,1,$S$2:S622,1)=1),1,0)</f>
        <v>0</v>
      </c>
      <c r="R622" s="1" t="n">
        <f aca="false">IF(AND(N622=1,COUNTIFS($K$2:K622,K622,$L$2:L622,L622,$J$2:J622,J622,$N$2:N622,1)=1),1,0)</f>
        <v>0</v>
      </c>
      <c r="S622" s="1" t="n">
        <f aca="false">IF(AND(K622&lt;&gt;"Context and provider model",K622&lt;&gt;"Motivation"),1,0)</f>
        <v>1</v>
      </c>
    </row>
    <row r="623" customFormat="false" ht="15" hidden="false" customHeight="true" outlineLevel="0" collapsed="false">
      <c r="J623" s="1" t="str">
        <f aca="false">'Raw Atomic Data (Pro)'!A623</f>
        <v>Andrew</v>
      </c>
      <c r="K623" s="1" t="str">
        <f aca="false">'Raw Atomic Data (Pro)'!C623</f>
        <v>Completion and feedback</v>
      </c>
      <c r="L623" s="1" t="str">
        <f aca="false">'Raw Atomic Data (Pro)'!D623</f>
        <v>reviews-feedback-process</v>
      </c>
      <c r="M623" s="1" t="str">
        <f aca="false">'Raw Atomic Data (Pro)'!E623</f>
        <v>fact</v>
      </c>
      <c r="N623" s="1" t="n">
        <f aca="false">IF(OR(M623="friction",M623="need",M623="workaround"),1,0)</f>
        <v>0</v>
      </c>
      <c r="O623" s="1" t="n">
        <f aca="false">IF(COUNTIFS($K$2:K623,K623,$L$2:L623,L623,$M$2:M623,M623,$J$2:J623,J623)=1,1,0)</f>
        <v>0</v>
      </c>
      <c r="P623" s="1" t="n">
        <f aca="false">IF(AND(N623=1,S623=1,COUNTIFS($L$2:L623,L623,$J$2:J623,J623,$N$2:N623,1,$S$2:S623,1)=1),1,0)</f>
        <v>0</v>
      </c>
      <c r="Q623" s="1" t="n">
        <f aca="false">IF(AND(N623=1,S623=1,COUNTIFS($L$2:L623,L623,$K$2:K623,K623,$N$2:N623,1,$S$2:S623,1)=1),1,0)</f>
        <v>0</v>
      </c>
      <c r="R623" s="1" t="n">
        <f aca="false">IF(AND(N623=1,COUNTIFS($K$2:K623,K623,$L$2:L623,L623,$J$2:J623,J623,$N$2:N623,1)=1),1,0)</f>
        <v>0</v>
      </c>
      <c r="S623" s="1" t="n">
        <f aca="false">IF(AND(K623&lt;&gt;"Context and provider model",K623&lt;&gt;"Motivation"),1,0)</f>
        <v>1</v>
      </c>
    </row>
    <row r="624" customFormat="false" ht="15" hidden="false" customHeight="true" outlineLevel="0" collapsed="false">
      <c r="J624" s="1" t="str">
        <f aca="false">'Raw Atomic Data (Pro)'!A624</f>
        <v>Anita</v>
      </c>
      <c r="K624" s="1" t="str">
        <f aca="false">'Raw Atomic Data (Pro)'!C624</f>
        <v>Completion and feedback</v>
      </c>
      <c r="L624" s="1" t="str">
        <f aca="false">'Raw Atomic Data (Pro)'!D624</f>
        <v>reviews-feedback-process</v>
      </c>
      <c r="M624" s="1" t="str">
        <f aca="false">'Raw Atomic Data (Pro)'!E624</f>
        <v>fact</v>
      </c>
      <c r="N624" s="1" t="n">
        <f aca="false">IF(OR(M624="friction",M624="need",M624="workaround"),1,0)</f>
        <v>0</v>
      </c>
      <c r="O624" s="1" t="n">
        <f aca="false">IF(COUNTIFS($K$2:K624,K624,$L$2:L624,L624,$M$2:M624,M624,$J$2:J624,J624)=1,1,0)</f>
        <v>1</v>
      </c>
      <c r="P624" s="1" t="n">
        <f aca="false">IF(AND(N624=1,S624=1,COUNTIFS($L$2:L624,L624,$J$2:J624,J624,$N$2:N624,1,$S$2:S624,1)=1),1,0)</f>
        <v>0</v>
      </c>
      <c r="Q624" s="1" t="n">
        <f aca="false">IF(AND(N624=1,S624=1,COUNTIFS($L$2:L624,L624,$K$2:K624,K624,$N$2:N624,1,$S$2:S624,1)=1),1,0)</f>
        <v>0</v>
      </c>
      <c r="R624" s="1" t="n">
        <f aca="false">IF(AND(N624=1,COUNTIFS($K$2:K624,K624,$L$2:L624,L624,$J$2:J624,J624,$N$2:N624,1)=1),1,0)</f>
        <v>0</v>
      </c>
      <c r="S624" s="1" t="n">
        <f aca="false">IF(AND(K624&lt;&gt;"Context and provider model",K624&lt;&gt;"Motivation"),1,0)</f>
        <v>1</v>
      </c>
    </row>
    <row r="625" customFormat="false" ht="15" hidden="false" customHeight="true" outlineLevel="0" collapsed="false">
      <c r="J625" s="1" t="str">
        <f aca="false">'Raw Atomic Data (Pro)'!A625</f>
        <v>Anita</v>
      </c>
      <c r="K625" s="1" t="str">
        <f aca="false">'Raw Atomic Data (Pro)'!C625</f>
        <v>Completion and feedback</v>
      </c>
      <c r="L625" s="1" t="str">
        <f aca="false">'Raw Atomic Data (Pro)'!D625</f>
        <v>reviews-feedback-process</v>
      </c>
      <c r="M625" s="1" t="str">
        <f aca="false">'Raw Atomic Data (Pro)'!E625</f>
        <v>fact</v>
      </c>
      <c r="N625" s="1" t="n">
        <f aca="false">IF(OR(M625="friction",M625="need",M625="workaround"),1,0)</f>
        <v>0</v>
      </c>
      <c r="O625" s="1" t="n">
        <f aca="false">IF(COUNTIFS($K$2:K625,K625,$L$2:L625,L625,$M$2:M625,M625,$J$2:J625,J625)=1,1,0)</f>
        <v>0</v>
      </c>
      <c r="P625" s="1" t="n">
        <f aca="false">IF(AND(N625=1,S625=1,COUNTIFS($L$2:L625,L625,$J$2:J625,J625,$N$2:N625,1,$S$2:S625,1)=1),1,0)</f>
        <v>0</v>
      </c>
      <c r="Q625" s="1" t="n">
        <f aca="false">IF(AND(N625=1,S625=1,COUNTIFS($L$2:L625,L625,$K$2:K625,K625,$N$2:N625,1,$S$2:S625,1)=1),1,0)</f>
        <v>0</v>
      </c>
      <c r="R625" s="1" t="n">
        <f aca="false">IF(AND(N625=1,COUNTIFS($K$2:K625,K625,$L$2:L625,L625,$J$2:J625,J625,$N$2:N625,1)=1),1,0)</f>
        <v>0</v>
      </c>
      <c r="S625" s="1" t="n">
        <f aca="false">IF(AND(K625&lt;&gt;"Context and provider model",K625&lt;&gt;"Motivation"),1,0)</f>
        <v>1</v>
      </c>
    </row>
    <row r="626" customFormat="false" ht="15" hidden="false" customHeight="true" outlineLevel="0" collapsed="false">
      <c r="J626" s="1" t="str">
        <f aca="false">'Raw Atomic Data (Pro)'!A626</f>
        <v>Anita</v>
      </c>
      <c r="K626" s="1" t="str">
        <f aca="false">'Raw Atomic Data (Pro)'!C626</f>
        <v>Completion and feedback</v>
      </c>
      <c r="L626" s="1" t="str">
        <f aca="false">'Raw Atomic Data (Pro)'!D626</f>
        <v>reviews-feedback-process</v>
      </c>
      <c r="M626" s="1" t="str">
        <f aca="false">'Raw Atomic Data (Pro)'!E626</f>
        <v>value-statement</v>
      </c>
      <c r="N626" s="1" t="n">
        <f aca="false">IF(OR(M626="friction",M626="need",M626="workaround"),1,0)</f>
        <v>0</v>
      </c>
      <c r="O626" s="1" t="n">
        <f aca="false">IF(COUNTIFS($K$2:K626,K626,$L$2:L626,L626,$M$2:M626,M626,$J$2:J626,J626)=1,1,0)</f>
        <v>1</v>
      </c>
      <c r="P626" s="1" t="n">
        <f aca="false">IF(AND(N626=1,S626=1,COUNTIFS($L$2:L626,L626,$J$2:J626,J626,$N$2:N626,1,$S$2:S626,1)=1),1,0)</f>
        <v>0</v>
      </c>
      <c r="Q626" s="1" t="n">
        <f aca="false">IF(AND(N626=1,S626=1,COUNTIFS($L$2:L626,L626,$K$2:K626,K626,$N$2:N626,1,$S$2:S626,1)=1),1,0)</f>
        <v>0</v>
      </c>
      <c r="R626" s="1" t="n">
        <f aca="false">IF(AND(N626=1,COUNTIFS($K$2:K626,K626,$L$2:L626,L626,$J$2:J626,J626,$N$2:N626,1)=1),1,0)</f>
        <v>0</v>
      </c>
      <c r="S626" s="1" t="n">
        <f aca="false">IF(AND(K626&lt;&gt;"Context and provider model",K626&lt;&gt;"Motivation"),1,0)</f>
        <v>1</v>
      </c>
    </row>
    <row r="627" customFormat="false" ht="15" hidden="false" customHeight="true" outlineLevel="0" collapsed="false">
      <c r="J627" s="1" t="str">
        <f aca="false">'Raw Atomic Data (Pro)'!A627</f>
        <v>Anita</v>
      </c>
      <c r="K627" s="1" t="str">
        <f aca="false">'Raw Atomic Data (Pro)'!C627</f>
        <v>Completion and feedback</v>
      </c>
      <c r="L627" s="1" t="str">
        <f aca="false">'Raw Atomic Data (Pro)'!D627</f>
        <v>repeat-client-relationships</v>
      </c>
      <c r="M627" s="1" t="str">
        <f aca="false">'Raw Atomic Data (Pro)'!E627</f>
        <v>fact</v>
      </c>
      <c r="N627" s="1" t="n">
        <f aca="false">IF(OR(M627="friction",M627="need",M627="workaround"),1,0)</f>
        <v>0</v>
      </c>
      <c r="O627" s="1" t="n">
        <f aca="false">IF(COUNTIFS($K$2:K627,K627,$L$2:L627,L627,$M$2:M627,M627,$J$2:J627,J627)=1,1,0)</f>
        <v>1</v>
      </c>
      <c r="P627" s="1" t="n">
        <f aca="false">IF(AND(N627=1,S627=1,COUNTIFS($L$2:L627,L627,$J$2:J627,J627,$N$2:N627,1,$S$2:S627,1)=1),1,0)</f>
        <v>0</v>
      </c>
      <c r="Q627" s="1" t="n">
        <f aca="false">IF(AND(N627=1,S627=1,COUNTIFS($L$2:L627,L627,$K$2:K627,K627,$N$2:N627,1,$S$2:S627,1)=1),1,0)</f>
        <v>0</v>
      </c>
      <c r="R627" s="1" t="n">
        <f aca="false">IF(AND(N627=1,COUNTIFS($K$2:K627,K627,$L$2:L627,L627,$J$2:J627,J627,$N$2:N627,1)=1),1,0)</f>
        <v>0</v>
      </c>
      <c r="S627" s="1" t="n">
        <f aca="false">IF(AND(K627&lt;&gt;"Context and provider model",K627&lt;&gt;"Motivation"),1,0)</f>
        <v>1</v>
      </c>
    </row>
    <row r="628" customFormat="false" ht="15" hidden="false" customHeight="true" outlineLevel="0" collapsed="false">
      <c r="J628" s="1" t="str">
        <f aca="false">'Raw Atomic Data (Pro)'!A628</f>
        <v>Becky</v>
      </c>
      <c r="K628" s="1" t="str">
        <f aca="false">'Raw Atomic Data (Pro)'!C628</f>
        <v>Completion and feedback</v>
      </c>
      <c r="L628" s="1" t="str">
        <f aca="false">'Raw Atomic Data (Pro)'!D628</f>
        <v>daily-care-tasks</v>
      </c>
      <c r="M628" s="1" t="str">
        <f aca="false">'Raw Atomic Data (Pro)'!E628</f>
        <v>fact</v>
      </c>
      <c r="N628" s="1" t="n">
        <f aca="false">IF(OR(M628="friction",M628="need",M628="workaround"),1,0)</f>
        <v>0</v>
      </c>
      <c r="O628" s="1" t="n">
        <f aca="false">IF(COUNTIFS($K$2:K628,K628,$L$2:L628,L628,$M$2:M628,M628,$J$2:J628,J628)=1,1,0)</f>
        <v>1</v>
      </c>
      <c r="P628" s="1" t="n">
        <f aca="false">IF(AND(N628=1,S628=1,COUNTIFS($L$2:L628,L628,$J$2:J628,J628,$N$2:N628,1,$S$2:S628,1)=1),1,0)</f>
        <v>0</v>
      </c>
      <c r="Q628" s="1" t="n">
        <f aca="false">IF(AND(N628=1,S628=1,COUNTIFS($L$2:L628,L628,$K$2:K628,K628,$N$2:N628,1,$S$2:S628,1)=1),1,0)</f>
        <v>0</v>
      </c>
      <c r="R628" s="1" t="n">
        <f aca="false">IF(AND(N628=1,COUNTIFS($K$2:K628,K628,$L$2:L628,L628,$J$2:J628,J628,$N$2:N628,1)=1),1,0)</f>
        <v>0</v>
      </c>
      <c r="S628" s="1" t="n">
        <f aca="false">IF(AND(K628&lt;&gt;"Context and provider model",K628&lt;&gt;"Motivation"),1,0)</f>
        <v>1</v>
      </c>
    </row>
    <row r="629" customFormat="false" ht="15" hidden="false" customHeight="true" outlineLevel="0" collapsed="false">
      <c r="J629" s="1" t="str">
        <f aca="false">'Raw Atomic Data (Pro)'!A629</f>
        <v>Becky</v>
      </c>
      <c r="K629" s="1" t="str">
        <f aca="false">'Raw Atomic Data (Pro)'!C629</f>
        <v>Completion and feedback</v>
      </c>
      <c r="L629" s="1" t="str">
        <f aca="false">'Raw Atomic Data (Pro)'!D629</f>
        <v>reviews-feedback-process</v>
      </c>
      <c r="M629" s="1" t="str">
        <f aca="false">'Raw Atomic Data (Pro)'!E629</f>
        <v>fact</v>
      </c>
      <c r="N629" s="1" t="n">
        <f aca="false">IF(OR(M629="friction",M629="need",M629="workaround"),1,0)</f>
        <v>0</v>
      </c>
      <c r="O629" s="1" t="n">
        <f aca="false">IF(COUNTIFS($K$2:K629,K629,$L$2:L629,L629,$M$2:M629,M629,$J$2:J629,J629)=1,1,0)</f>
        <v>1</v>
      </c>
      <c r="P629" s="1" t="n">
        <f aca="false">IF(AND(N629=1,S629=1,COUNTIFS($L$2:L629,L629,$J$2:J629,J629,$N$2:N629,1,$S$2:S629,1)=1),1,0)</f>
        <v>0</v>
      </c>
      <c r="Q629" s="1" t="n">
        <f aca="false">IF(AND(N629=1,S629=1,COUNTIFS($L$2:L629,L629,$K$2:K629,K629,$N$2:N629,1,$S$2:S629,1)=1),1,0)</f>
        <v>0</v>
      </c>
      <c r="R629" s="1" t="n">
        <f aca="false">IF(AND(N629=1,COUNTIFS($K$2:K629,K629,$L$2:L629,L629,$J$2:J629,J629,$N$2:N629,1)=1),1,0)</f>
        <v>0</v>
      </c>
      <c r="S629" s="1" t="n">
        <f aca="false">IF(AND(K629&lt;&gt;"Context and provider model",K629&lt;&gt;"Motivation"),1,0)</f>
        <v>1</v>
      </c>
    </row>
    <row r="630" customFormat="false" ht="15" hidden="false" customHeight="true" outlineLevel="0" collapsed="false">
      <c r="J630" s="1" t="str">
        <f aca="false">'Raw Atomic Data (Pro)'!A630</f>
        <v>Becky</v>
      </c>
      <c r="K630" s="1" t="str">
        <f aca="false">'Raw Atomic Data (Pro)'!C630</f>
        <v>Completion and feedback</v>
      </c>
      <c r="L630" s="1" t="str">
        <f aca="false">'Raw Atomic Data (Pro)'!D630</f>
        <v>reviews-feedback-process</v>
      </c>
      <c r="M630" s="1" t="str">
        <f aca="false">'Raw Atomic Data (Pro)'!E630</f>
        <v>fact</v>
      </c>
      <c r="N630" s="1" t="n">
        <f aca="false">IF(OR(M630="friction",M630="need",M630="workaround"),1,0)</f>
        <v>0</v>
      </c>
      <c r="O630" s="1" t="n">
        <f aca="false">IF(COUNTIFS($K$2:K630,K630,$L$2:L630,L630,$M$2:M630,M630,$J$2:J630,J630)=1,1,0)</f>
        <v>0</v>
      </c>
      <c r="P630" s="1" t="n">
        <f aca="false">IF(AND(N630=1,S630=1,COUNTIFS($L$2:L630,L630,$J$2:J630,J630,$N$2:N630,1,$S$2:S630,1)=1),1,0)</f>
        <v>0</v>
      </c>
      <c r="Q630" s="1" t="n">
        <f aca="false">IF(AND(N630=1,S630=1,COUNTIFS($L$2:L630,L630,$K$2:K630,K630,$N$2:N630,1,$S$2:S630,1)=1),1,0)</f>
        <v>0</v>
      </c>
      <c r="R630" s="1" t="n">
        <f aca="false">IF(AND(N630=1,COUNTIFS($K$2:K630,K630,$L$2:L630,L630,$J$2:J630,J630,$N$2:N630,1)=1),1,0)</f>
        <v>0</v>
      </c>
      <c r="S630" s="1" t="n">
        <f aca="false">IF(AND(K630&lt;&gt;"Context and provider model",K630&lt;&gt;"Motivation"),1,0)</f>
        <v>1</v>
      </c>
    </row>
    <row r="631" customFormat="false" ht="15" hidden="false" customHeight="true" outlineLevel="0" collapsed="false">
      <c r="J631" s="1" t="str">
        <f aca="false">'Raw Atomic Data (Pro)'!A631</f>
        <v>Becky</v>
      </c>
      <c r="K631" s="1" t="str">
        <f aca="false">'Raw Atomic Data (Pro)'!C631</f>
        <v>Completion and feedback</v>
      </c>
      <c r="L631" s="1" t="str">
        <f aca="false">'Raw Atomic Data (Pro)'!D631</f>
        <v>reviews-feedback-process</v>
      </c>
      <c r="M631" s="1" t="str">
        <f aca="false">'Raw Atomic Data (Pro)'!E631</f>
        <v>fact</v>
      </c>
      <c r="N631" s="1" t="n">
        <f aca="false">IF(OR(M631="friction",M631="need",M631="workaround"),1,0)</f>
        <v>0</v>
      </c>
      <c r="O631" s="1" t="n">
        <f aca="false">IF(COUNTIFS($K$2:K631,K631,$L$2:L631,L631,$M$2:M631,M631,$J$2:J631,J631)=1,1,0)</f>
        <v>0</v>
      </c>
      <c r="P631" s="1" t="n">
        <f aca="false">IF(AND(N631=1,S631=1,COUNTIFS($L$2:L631,L631,$J$2:J631,J631,$N$2:N631,1,$S$2:S631,1)=1),1,0)</f>
        <v>0</v>
      </c>
      <c r="Q631" s="1" t="n">
        <f aca="false">IF(AND(N631=1,S631=1,COUNTIFS($L$2:L631,L631,$K$2:K631,K631,$N$2:N631,1,$S$2:S631,1)=1),1,0)</f>
        <v>0</v>
      </c>
      <c r="R631" s="1" t="n">
        <f aca="false">IF(AND(N631=1,COUNTIFS($K$2:K631,K631,$L$2:L631,L631,$J$2:J631,J631,$N$2:N631,1)=1),1,0)</f>
        <v>0</v>
      </c>
      <c r="S631" s="1" t="n">
        <f aca="false">IF(AND(K631&lt;&gt;"Context and provider model",K631&lt;&gt;"Motivation"),1,0)</f>
        <v>1</v>
      </c>
    </row>
    <row r="632" customFormat="false" ht="15" hidden="false" customHeight="true" outlineLevel="0" collapsed="false">
      <c r="J632" s="1" t="str">
        <f aca="false">'Raw Atomic Data (Pro)'!A632</f>
        <v>Becky</v>
      </c>
      <c r="K632" s="1" t="str">
        <f aca="false">'Raw Atomic Data (Pro)'!C632</f>
        <v>Completion and feedback</v>
      </c>
      <c r="L632" s="1" t="str">
        <f aca="false">'Raw Atomic Data (Pro)'!D632</f>
        <v>reviews-feedback-process</v>
      </c>
      <c r="M632" s="1" t="str">
        <f aca="false">'Raw Atomic Data (Pro)'!E632</f>
        <v>fact</v>
      </c>
      <c r="N632" s="1" t="n">
        <f aca="false">IF(OR(M632="friction",M632="need",M632="workaround"),1,0)</f>
        <v>0</v>
      </c>
      <c r="O632" s="1" t="n">
        <f aca="false">IF(COUNTIFS($K$2:K632,K632,$L$2:L632,L632,$M$2:M632,M632,$J$2:J632,J632)=1,1,0)</f>
        <v>0</v>
      </c>
      <c r="P632" s="1" t="n">
        <f aca="false">IF(AND(N632=1,S632=1,COUNTIFS($L$2:L632,L632,$J$2:J632,J632,$N$2:N632,1,$S$2:S632,1)=1),1,0)</f>
        <v>0</v>
      </c>
      <c r="Q632" s="1" t="n">
        <f aca="false">IF(AND(N632=1,S632=1,COUNTIFS($L$2:L632,L632,$K$2:K632,K632,$N$2:N632,1,$S$2:S632,1)=1),1,0)</f>
        <v>0</v>
      </c>
      <c r="R632" s="1" t="n">
        <f aca="false">IF(AND(N632=1,COUNTIFS($K$2:K632,K632,$L$2:L632,L632,$J$2:J632,J632,$N$2:N632,1)=1),1,0)</f>
        <v>0</v>
      </c>
      <c r="S632" s="1" t="n">
        <f aca="false">IF(AND(K632&lt;&gt;"Context and provider model",K632&lt;&gt;"Motivation"),1,0)</f>
        <v>1</v>
      </c>
    </row>
    <row r="633" customFormat="false" ht="15" hidden="false" customHeight="true" outlineLevel="0" collapsed="false">
      <c r="J633" s="1" t="str">
        <f aca="false">'Raw Atomic Data (Pro)'!A633</f>
        <v>Bruna</v>
      </c>
      <c r="K633" s="1" t="str">
        <f aca="false">'Raw Atomic Data (Pro)'!C633</f>
        <v>Completion and feedback</v>
      </c>
      <c r="L633" s="1" t="str">
        <f aca="false">'Raw Atomic Data (Pro)'!D633</f>
        <v>daily-care-tasks</v>
      </c>
      <c r="M633" s="1" t="str">
        <f aca="false">'Raw Atomic Data (Pro)'!E633</f>
        <v>workaround</v>
      </c>
      <c r="N633" s="1" t="n">
        <f aca="false">IF(OR(M633="friction",M633="need",M633="workaround"),1,0)</f>
        <v>1</v>
      </c>
      <c r="O633" s="1" t="n">
        <f aca="false">IF(COUNTIFS($K$2:K633,K633,$L$2:L633,L633,$M$2:M633,M633,$J$2:J633,J633)=1,1,0)</f>
        <v>1</v>
      </c>
      <c r="P633" s="1" t="n">
        <f aca="false">IF(AND(N633=1,S633=1,COUNTIFS($L$2:L633,L633,$J$2:J633,J633,$N$2:N633,1,$S$2:S633,1)=1),1,0)</f>
        <v>1</v>
      </c>
      <c r="Q633" s="1" t="n">
        <f aca="false">IF(AND(N633=1,S633=1,COUNTIFS($L$2:L633,L633,$K$2:K633,K633,$N$2:N633,1,$S$2:S633,1)=1),1,0)</f>
        <v>1</v>
      </c>
      <c r="R633" s="1" t="n">
        <f aca="false">IF(AND(N633=1,COUNTIFS($K$2:K633,K633,$L$2:L633,L633,$J$2:J633,J633,$N$2:N633,1)=1),1,0)</f>
        <v>1</v>
      </c>
      <c r="S633" s="1" t="n">
        <f aca="false">IF(AND(K633&lt;&gt;"Context and provider model",K633&lt;&gt;"Motivation"),1,0)</f>
        <v>1</v>
      </c>
    </row>
    <row r="634" customFormat="false" ht="15" hidden="false" customHeight="true" outlineLevel="0" collapsed="false">
      <c r="J634" s="1" t="str">
        <f aca="false">'Raw Atomic Data (Pro)'!A634</f>
        <v>Bruna</v>
      </c>
      <c r="K634" s="1" t="str">
        <f aca="false">'Raw Atomic Data (Pro)'!C634</f>
        <v>Completion and feedback</v>
      </c>
      <c r="L634" s="1" t="str">
        <f aca="false">'Raw Atomic Data (Pro)'!D634</f>
        <v>reviews-feedback-process</v>
      </c>
      <c r="M634" s="1" t="str">
        <f aca="false">'Raw Atomic Data (Pro)'!E634</f>
        <v>fact</v>
      </c>
      <c r="N634" s="1" t="n">
        <f aca="false">IF(OR(M634="friction",M634="need",M634="workaround"),1,0)</f>
        <v>0</v>
      </c>
      <c r="O634" s="1" t="n">
        <f aca="false">IF(COUNTIFS($K$2:K634,K634,$L$2:L634,L634,$M$2:M634,M634,$J$2:J634,J634)=1,1,0)</f>
        <v>1</v>
      </c>
      <c r="P634" s="1" t="n">
        <f aca="false">IF(AND(N634=1,S634=1,COUNTIFS($L$2:L634,L634,$J$2:J634,J634,$N$2:N634,1,$S$2:S634,1)=1),1,0)</f>
        <v>0</v>
      </c>
      <c r="Q634" s="1" t="n">
        <f aca="false">IF(AND(N634=1,S634=1,COUNTIFS($L$2:L634,L634,$K$2:K634,K634,$N$2:N634,1,$S$2:S634,1)=1),1,0)</f>
        <v>0</v>
      </c>
      <c r="R634" s="1" t="n">
        <f aca="false">IF(AND(N634=1,COUNTIFS($K$2:K634,K634,$L$2:L634,L634,$J$2:J634,J634,$N$2:N634,1)=1),1,0)</f>
        <v>0</v>
      </c>
      <c r="S634" s="1" t="n">
        <f aca="false">IF(AND(K634&lt;&gt;"Context and provider model",K634&lt;&gt;"Motivation"),1,0)</f>
        <v>1</v>
      </c>
    </row>
    <row r="635" customFormat="false" ht="15" hidden="false" customHeight="true" outlineLevel="0" collapsed="false">
      <c r="J635" s="1" t="str">
        <f aca="false">'Raw Atomic Data (Pro)'!A635</f>
        <v>Bruna</v>
      </c>
      <c r="K635" s="1" t="str">
        <f aca="false">'Raw Atomic Data (Pro)'!C635</f>
        <v>Completion and feedback</v>
      </c>
      <c r="L635" s="1" t="str">
        <f aca="false">'Raw Atomic Data (Pro)'!D635</f>
        <v>private-business-parallel-ops</v>
      </c>
      <c r="M635" s="1" t="str">
        <f aca="false">'Raw Atomic Data (Pro)'!E635</f>
        <v>fact</v>
      </c>
      <c r="N635" s="1" t="n">
        <f aca="false">IF(OR(M635="friction",M635="need",M635="workaround"),1,0)</f>
        <v>0</v>
      </c>
      <c r="O635" s="1" t="n">
        <f aca="false">IF(COUNTIFS($K$2:K635,K635,$L$2:L635,L635,$M$2:M635,M635,$J$2:J635,J635)=1,1,0)</f>
        <v>1</v>
      </c>
      <c r="P635" s="1" t="n">
        <f aca="false">IF(AND(N635=1,S635=1,COUNTIFS($L$2:L635,L635,$J$2:J635,J635,$N$2:N635,1,$S$2:S635,1)=1),1,0)</f>
        <v>0</v>
      </c>
      <c r="Q635" s="1" t="n">
        <f aca="false">IF(AND(N635=1,S635=1,COUNTIFS($L$2:L635,L635,$K$2:K635,K635,$N$2:N635,1,$S$2:S635,1)=1),1,0)</f>
        <v>0</v>
      </c>
      <c r="R635" s="1" t="n">
        <f aca="false">IF(AND(N635=1,COUNTIFS($K$2:K635,K635,$L$2:L635,L635,$J$2:J635,J635,$N$2:N635,1)=1),1,0)</f>
        <v>0</v>
      </c>
      <c r="S635" s="1" t="n">
        <f aca="false">IF(AND(K635&lt;&gt;"Context and provider model",K635&lt;&gt;"Motivation"),1,0)</f>
        <v>1</v>
      </c>
    </row>
    <row r="636" customFormat="false" ht="15" hidden="false" customHeight="true" outlineLevel="0" collapsed="false">
      <c r="J636" s="1" t="str">
        <f aca="false">'Raw Atomic Data (Pro)'!A636</f>
        <v>Bruna</v>
      </c>
      <c r="K636" s="1" t="str">
        <f aca="false">'Raw Atomic Data (Pro)'!C636</f>
        <v>Completion and feedback</v>
      </c>
      <c r="L636" s="1" t="str">
        <f aca="false">'Raw Atomic Data (Pro)'!D636</f>
        <v>messaging-platform-mechanics</v>
      </c>
      <c r="M636" s="1" t="str">
        <f aca="false">'Raw Atomic Data (Pro)'!E636</f>
        <v>fact</v>
      </c>
      <c r="N636" s="1" t="n">
        <f aca="false">IF(OR(M636="friction",M636="need",M636="workaround"),1,0)</f>
        <v>0</v>
      </c>
      <c r="O636" s="1" t="n">
        <f aca="false">IF(COUNTIFS($K$2:K636,K636,$L$2:L636,L636,$M$2:M636,M636,$J$2:J636,J636)=1,1,0)</f>
        <v>1</v>
      </c>
      <c r="P636" s="1" t="n">
        <f aca="false">IF(AND(N636=1,S636=1,COUNTIFS($L$2:L636,L636,$J$2:J636,J636,$N$2:N636,1,$S$2:S636,1)=1),1,0)</f>
        <v>0</v>
      </c>
      <c r="Q636" s="1" t="n">
        <f aca="false">IF(AND(N636=1,S636=1,COUNTIFS($L$2:L636,L636,$K$2:K636,K636,$N$2:N636,1,$S$2:S636,1)=1),1,0)</f>
        <v>0</v>
      </c>
      <c r="R636" s="1" t="n">
        <f aca="false">IF(AND(N636=1,COUNTIFS($K$2:K636,K636,$L$2:L636,L636,$J$2:J636,J636,$N$2:N636,1)=1),1,0)</f>
        <v>0</v>
      </c>
      <c r="S636" s="1" t="n">
        <f aca="false">IF(AND(K636&lt;&gt;"Context and provider model",K636&lt;&gt;"Motivation"),1,0)</f>
        <v>1</v>
      </c>
    </row>
    <row r="637" customFormat="false" ht="15" hidden="false" customHeight="true" outlineLevel="0" collapsed="false">
      <c r="J637" s="1" t="str">
        <f aca="false">'Raw Atomic Data (Pro)'!A637</f>
        <v>Bruna</v>
      </c>
      <c r="K637" s="1" t="str">
        <f aca="false">'Raw Atomic Data (Pro)'!C637</f>
        <v>Completion and feedback</v>
      </c>
      <c r="L637" s="1" t="str">
        <f aca="false">'Raw Atomic Data (Pro)'!D637</f>
        <v>care-instructions-handoff</v>
      </c>
      <c r="M637" s="1" t="str">
        <f aca="false">'Raw Atomic Data (Pro)'!E637</f>
        <v>workaround</v>
      </c>
      <c r="N637" s="1" t="n">
        <f aca="false">IF(OR(M637="friction",M637="need",M637="workaround"),1,0)</f>
        <v>1</v>
      </c>
      <c r="O637" s="1" t="n">
        <f aca="false">IF(COUNTIFS($K$2:K637,K637,$L$2:L637,L637,$M$2:M637,M637,$J$2:J637,J637)=1,1,0)</f>
        <v>1</v>
      </c>
      <c r="P637" s="1" t="n">
        <f aca="false">IF(AND(N637=1,S637=1,COUNTIFS($L$2:L637,L637,$J$2:J637,J637,$N$2:N637,1,$S$2:S637,1)=1),1,0)</f>
        <v>0</v>
      </c>
      <c r="Q637" s="1" t="n">
        <f aca="false">IF(AND(N637=1,S637=1,COUNTIFS($L$2:L637,L637,$K$2:K637,K637,$N$2:N637,1,$S$2:S637,1)=1),1,0)</f>
        <v>1</v>
      </c>
      <c r="R637" s="1" t="n">
        <f aca="false">IF(AND(N637=1,COUNTIFS($K$2:K637,K637,$L$2:L637,L637,$J$2:J637,J637,$N$2:N637,1)=1),1,0)</f>
        <v>1</v>
      </c>
      <c r="S637" s="1" t="n">
        <f aca="false">IF(AND(K637&lt;&gt;"Context and provider model",K637&lt;&gt;"Motivation"),1,0)</f>
        <v>1</v>
      </c>
    </row>
    <row r="638" customFormat="false" ht="15" hidden="false" customHeight="true" outlineLevel="0" collapsed="false">
      <c r="J638" s="1" t="str">
        <f aca="false">'Raw Atomic Data (Pro)'!A638</f>
        <v>Colin</v>
      </c>
      <c r="K638" s="1" t="str">
        <f aca="false">'Raw Atomic Data (Pro)'!C638</f>
        <v>Completion and feedback</v>
      </c>
      <c r="L638" s="1" t="str">
        <f aca="false">'Raw Atomic Data (Pro)'!D638</f>
        <v>reviews-feedback-process</v>
      </c>
      <c r="M638" s="1" t="str">
        <f aca="false">'Raw Atomic Data (Pro)'!E638</f>
        <v>fact</v>
      </c>
      <c r="N638" s="1" t="n">
        <f aca="false">IF(OR(M638="friction",M638="need",M638="workaround"),1,0)</f>
        <v>0</v>
      </c>
      <c r="O638" s="1" t="n">
        <f aca="false">IF(COUNTIFS($K$2:K638,K638,$L$2:L638,L638,$M$2:M638,M638,$J$2:J638,J638)=1,1,0)</f>
        <v>1</v>
      </c>
      <c r="P638" s="1" t="n">
        <f aca="false">IF(AND(N638=1,S638=1,COUNTIFS($L$2:L638,L638,$J$2:J638,J638,$N$2:N638,1,$S$2:S638,1)=1),1,0)</f>
        <v>0</v>
      </c>
      <c r="Q638" s="1" t="n">
        <f aca="false">IF(AND(N638=1,S638=1,COUNTIFS($L$2:L638,L638,$K$2:K638,K638,$N$2:N638,1,$S$2:S638,1)=1),1,0)</f>
        <v>0</v>
      </c>
      <c r="R638" s="1" t="n">
        <f aca="false">IF(AND(N638=1,COUNTIFS($K$2:K638,K638,$L$2:L638,L638,$J$2:J638,J638,$N$2:N638,1)=1),1,0)</f>
        <v>0</v>
      </c>
      <c r="S638" s="1" t="n">
        <f aca="false">IF(AND(K638&lt;&gt;"Context and provider model",K638&lt;&gt;"Motivation"),1,0)</f>
        <v>1</v>
      </c>
    </row>
    <row r="639" customFormat="false" ht="15" hidden="false" customHeight="true" outlineLevel="0" collapsed="false">
      <c r="J639" s="1" t="str">
        <f aca="false">'Raw Atomic Data (Pro)'!A639</f>
        <v>Colin</v>
      </c>
      <c r="K639" s="1" t="str">
        <f aca="false">'Raw Atomic Data (Pro)'!C639</f>
        <v>Completion and feedback</v>
      </c>
      <c r="L639" s="1" t="str">
        <f aca="false">'Raw Atomic Data (Pro)'!D639</f>
        <v>reviews-feedback-process</v>
      </c>
      <c r="M639" s="1" t="str">
        <f aca="false">'Raw Atomic Data (Pro)'!E639</f>
        <v>fact</v>
      </c>
      <c r="N639" s="1" t="n">
        <f aca="false">IF(OR(M639="friction",M639="need",M639="workaround"),1,0)</f>
        <v>0</v>
      </c>
      <c r="O639" s="1" t="n">
        <f aca="false">IF(COUNTIFS($K$2:K639,K639,$L$2:L639,L639,$M$2:M639,M639,$J$2:J639,J639)=1,1,0)</f>
        <v>0</v>
      </c>
      <c r="P639" s="1" t="n">
        <f aca="false">IF(AND(N639=1,S639=1,COUNTIFS($L$2:L639,L639,$J$2:J639,J639,$N$2:N639,1,$S$2:S639,1)=1),1,0)</f>
        <v>0</v>
      </c>
      <c r="Q639" s="1" t="n">
        <f aca="false">IF(AND(N639=1,S639=1,COUNTIFS($L$2:L639,L639,$K$2:K639,K639,$N$2:N639,1,$S$2:S639,1)=1),1,0)</f>
        <v>0</v>
      </c>
      <c r="R639" s="1" t="n">
        <f aca="false">IF(AND(N639=1,COUNTIFS($K$2:K639,K639,$L$2:L639,L639,$J$2:J639,J639,$N$2:N639,1)=1),1,0)</f>
        <v>0</v>
      </c>
      <c r="S639" s="1" t="n">
        <f aca="false">IF(AND(K639&lt;&gt;"Context and provider model",K639&lt;&gt;"Motivation"),1,0)</f>
        <v>1</v>
      </c>
    </row>
    <row r="640" customFormat="false" ht="15" hidden="false" customHeight="true" outlineLevel="0" collapsed="false">
      <c r="J640" s="1" t="str">
        <f aca="false">'Raw Atomic Data (Pro)'!A640</f>
        <v>Colin</v>
      </c>
      <c r="K640" s="1" t="str">
        <f aca="false">'Raw Atomic Data (Pro)'!C640</f>
        <v>Completion and feedback</v>
      </c>
      <c r="L640" s="1" t="str">
        <f aca="false">'Raw Atomic Data (Pro)'!D640</f>
        <v>repeat-client-relationships</v>
      </c>
      <c r="M640" s="1" t="str">
        <f aca="false">'Raw Atomic Data (Pro)'!E640</f>
        <v>fact</v>
      </c>
      <c r="N640" s="1" t="n">
        <f aca="false">IF(OR(M640="friction",M640="need",M640="workaround"),1,0)</f>
        <v>0</v>
      </c>
      <c r="O640" s="1" t="n">
        <f aca="false">IF(COUNTIFS($K$2:K640,K640,$L$2:L640,L640,$M$2:M640,M640,$J$2:J640,J640)=1,1,0)</f>
        <v>1</v>
      </c>
      <c r="P640" s="1" t="n">
        <f aca="false">IF(AND(N640=1,S640=1,COUNTIFS($L$2:L640,L640,$J$2:J640,J640,$N$2:N640,1,$S$2:S640,1)=1),1,0)</f>
        <v>0</v>
      </c>
      <c r="Q640" s="1" t="n">
        <f aca="false">IF(AND(N640=1,S640=1,COUNTIFS($L$2:L640,L640,$K$2:K640,K640,$N$2:N640,1,$S$2:S640,1)=1),1,0)</f>
        <v>0</v>
      </c>
      <c r="R640" s="1" t="n">
        <f aca="false">IF(AND(N640=1,COUNTIFS($K$2:K640,K640,$L$2:L640,L640,$J$2:J640,J640,$N$2:N640,1)=1),1,0)</f>
        <v>0</v>
      </c>
      <c r="S640" s="1" t="n">
        <f aca="false">IF(AND(K640&lt;&gt;"Context and provider model",K640&lt;&gt;"Motivation"),1,0)</f>
        <v>1</v>
      </c>
    </row>
    <row r="641" customFormat="false" ht="15" hidden="false" customHeight="true" outlineLevel="0" collapsed="false">
      <c r="J641" s="1" t="str">
        <f aca="false">'Raw Atomic Data (Pro)'!A641</f>
        <v>Colin</v>
      </c>
      <c r="K641" s="1" t="str">
        <f aca="false">'Raw Atomic Data (Pro)'!C641</f>
        <v>Completion and feedback</v>
      </c>
      <c r="L641" s="1" t="str">
        <f aca="false">'Raw Atomic Data (Pro)'!D641</f>
        <v>repeat-client-relationships</v>
      </c>
      <c r="M641" s="1" t="str">
        <f aca="false">'Raw Atomic Data (Pro)'!E641</f>
        <v>fact</v>
      </c>
      <c r="N641" s="1" t="n">
        <f aca="false">IF(OR(M641="friction",M641="need",M641="workaround"),1,0)</f>
        <v>0</v>
      </c>
      <c r="O641" s="1" t="n">
        <f aca="false">IF(COUNTIFS($K$2:K641,K641,$L$2:L641,L641,$M$2:M641,M641,$J$2:J641,J641)=1,1,0)</f>
        <v>0</v>
      </c>
      <c r="P641" s="1" t="n">
        <f aca="false">IF(AND(N641=1,S641=1,COUNTIFS($L$2:L641,L641,$J$2:J641,J641,$N$2:N641,1,$S$2:S641,1)=1),1,0)</f>
        <v>0</v>
      </c>
      <c r="Q641" s="1" t="n">
        <f aca="false">IF(AND(N641=1,S641=1,COUNTIFS($L$2:L641,L641,$K$2:K641,K641,$N$2:N641,1,$S$2:S641,1)=1),1,0)</f>
        <v>0</v>
      </c>
      <c r="R641" s="1" t="n">
        <f aca="false">IF(AND(N641=1,COUNTIFS($K$2:K641,K641,$L$2:L641,L641,$J$2:J641,J641,$N$2:N641,1)=1),1,0)</f>
        <v>0</v>
      </c>
      <c r="S641" s="1" t="n">
        <f aca="false">IF(AND(K641&lt;&gt;"Context and provider model",K641&lt;&gt;"Motivation"),1,0)</f>
        <v>1</v>
      </c>
    </row>
    <row r="642" customFormat="false" ht="15" hidden="false" customHeight="true" outlineLevel="0" collapsed="false">
      <c r="J642" s="1" t="str">
        <f aca="false">'Raw Atomic Data (Pro)'!A642</f>
        <v>Colin</v>
      </c>
      <c r="K642" s="1" t="str">
        <f aca="false">'Raw Atomic Data (Pro)'!C642</f>
        <v>Completion and feedback</v>
      </c>
      <c r="L642" s="1" t="str">
        <f aca="false">'Raw Atomic Data (Pro)'!D642</f>
        <v>payout-timing-tracking</v>
      </c>
      <c r="M642" s="1" t="str">
        <f aca="false">'Raw Atomic Data (Pro)'!E642</f>
        <v>fact</v>
      </c>
      <c r="N642" s="1" t="n">
        <f aca="false">IF(OR(M642="friction",M642="need",M642="workaround"),1,0)</f>
        <v>0</v>
      </c>
      <c r="O642" s="1" t="n">
        <f aca="false">IF(COUNTIFS($K$2:K642,K642,$L$2:L642,L642,$M$2:M642,M642,$J$2:J642,J642)=1,1,0)</f>
        <v>1</v>
      </c>
      <c r="P642" s="1" t="n">
        <f aca="false">IF(AND(N642=1,S642=1,COUNTIFS($L$2:L642,L642,$J$2:J642,J642,$N$2:N642,1,$S$2:S642,1)=1),1,0)</f>
        <v>0</v>
      </c>
      <c r="Q642" s="1" t="n">
        <f aca="false">IF(AND(N642=1,S642=1,COUNTIFS($L$2:L642,L642,$K$2:K642,K642,$N$2:N642,1,$S$2:S642,1)=1),1,0)</f>
        <v>0</v>
      </c>
      <c r="R642" s="1" t="n">
        <f aca="false">IF(AND(N642=1,COUNTIFS($K$2:K642,K642,$L$2:L642,L642,$J$2:J642,J642,$N$2:N642,1)=1),1,0)</f>
        <v>0</v>
      </c>
      <c r="S642" s="1" t="n">
        <f aca="false">IF(AND(K642&lt;&gt;"Context and provider model",K642&lt;&gt;"Motivation"),1,0)</f>
        <v>1</v>
      </c>
    </row>
    <row r="643" customFormat="false" ht="15" hidden="false" customHeight="true" outlineLevel="0" collapsed="false">
      <c r="J643" s="1" t="str">
        <f aca="false">'Raw Atomic Data (Pro)'!A643</f>
        <v>Colin</v>
      </c>
      <c r="K643" s="1" t="str">
        <f aca="false">'Raw Atomic Data (Pro)'!C643</f>
        <v>Completion and feedback</v>
      </c>
      <c r="L643" s="1" t="str">
        <f aca="false">'Raw Atomic Data (Pro)'!D643</f>
        <v>payout-timing-tracking</v>
      </c>
      <c r="M643" s="1" t="str">
        <f aca="false">'Raw Atomic Data (Pro)'!E643</f>
        <v>fact</v>
      </c>
      <c r="N643" s="1" t="n">
        <f aca="false">IF(OR(M643="friction",M643="need",M643="workaround"),1,0)</f>
        <v>0</v>
      </c>
      <c r="O643" s="1" t="n">
        <f aca="false">IF(COUNTIFS($K$2:K643,K643,$L$2:L643,L643,$M$2:M643,M643,$J$2:J643,J643)=1,1,0)</f>
        <v>0</v>
      </c>
      <c r="P643" s="1" t="n">
        <f aca="false">IF(AND(N643=1,S643=1,COUNTIFS($L$2:L643,L643,$J$2:J643,J643,$N$2:N643,1,$S$2:S643,1)=1),1,0)</f>
        <v>0</v>
      </c>
      <c r="Q643" s="1" t="n">
        <f aca="false">IF(AND(N643=1,S643=1,COUNTIFS($L$2:L643,L643,$K$2:K643,K643,$N$2:N643,1,$S$2:S643,1)=1),1,0)</f>
        <v>0</v>
      </c>
      <c r="R643" s="1" t="n">
        <f aca="false">IF(AND(N643=1,COUNTIFS($K$2:K643,K643,$L$2:L643,L643,$J$2:J643,J643,$N$2:N643,1)=1),1,0)</f>
        <v>0</v>
      </c>
      <c r="S643" s="1" t="n">
        <f aca="false">IF(AND(K643&lt;&gt;"Context and provider model",K643&lt;&gt;"Motivation"),1,0)</f>
        <v>1</v>
      </c>
    </row>
    <row r="644" customFormat="false" ht="15" hidden="false" customHeight="true" outlineLevel="0" collapsed="false">
      <c r="J644" s="1" t="str">
        <f aca="false">'Raw Atomic Data (Pro)'!A644</f>
        <v>Colin</v>
      </c>
      <c r="K644" s="1" t="str">
        <f aca="false">'Raw Atomic Data (Pro)'!C644</f>
        <v>Completion and feedback</v>
      </c>
      <c r="L644" s="1" t="str">
        <f aca="false">'Raw Atomic Data (Pro)'!D644</f>
        <v>payout-timing-tracking</v>
      </c>
      <c r="M644" s="1" t="str">
        <f aca="false">'Raw Atomic Data (Pro)'!E644</f>
        <v>fact</v>
      </c>
      <c r="N644" s="1" t="n">
        <f aca="false">IF(OR(M644="friction",M644="need",M644="workaround"),1,0)</f>
        <v>0</v>
      </c>
      <c r="O644" s="1" t="n">
        <f aca="false">IF(COUNTIFS($K$2:K644,K644,$L$2:L644,L644,$M$2:M644,M644,$J$2:J644,J644)=1,1,0)</f>
        <v>0</v>
      </c>
      <c r="P644" s="1" t="n">
        <f aca="false">IF(AND(N644=1,S644=1,COUNTIFS($L$2:L644,L644,$J$2:J644,J644,$N$2:N644,1,$S$2:S644,1)=1),1,0)</f>
        <v>0</v>
      </c>
      <c r="Q644" s="1" t="n">
        <f aca="false">IF(AND(N644=1,S644=1,COUNTIFS($L$2:L644,L644,$K$2:K644,K644,$N$2:N644,1,$S$2:S644,1)=1),1,0)</f>
        <v>0</v>
      </c>
      <c r="R644" s="1" t="n">
        <f aca="false">IF(AND(N644=1,COUNTIFS($K$2:K644,K644,$L$2:L644,L644,$J$2:J644,J644,$N$2:N644,1)=1),1,0)</f>
        <v>0</v>
      </c>
      <c r="S644" s="1" t="n">
        <f aca="false">IF(AND(K644&lt;&gt;"Context and provider model",K644&lt;&gt;"Motivation"),1,0)</f>
        <v>1</v>
      </c>
    </row>
    <row r="645" customFormat="false" ht="15" hidden="false" customHeight="true" outlineLevel="0" collapsed="false">
      <c r="J645" s="1" t="str">
        <f aca="false">'Raw Atomic Data (Pro)'!A645</f>
        <v>Colin</v>
      </c>
      <c r="K645" s="1" t="str">
        <f aca="false">'Raw Atomic Data (Pro)'!C645</f>
        <v>Completion and feedback</v>
      </c>
      <c r="L645" s="1" t="str">
        <f aca="false">'Raw Atomic Data (Pro)'!D645</f>
        <v>payout-timing-tracking</v>
      </c>
      <c r="M645" s="1" t="str">
        <f aca="false">'Raw Atomic Data (Pro)'!E645</f>
        <v>fact</v>
      </c>
      <c r="N645" s="1" t="n">
        <f aca="false">IF(OR(M645="friction",M645="need",M645="workaround"),1,0)</f>
        <v>0</v>
      </c>
      <c r="O645" s="1" t="n">
        <f aca="false">IF(COUNTIFS($K$2:K645,K645,$L$2:L645,L645,$M$2:M645,M645,$J$2:J645,J645)=1,1,0)</f>
        <v>0</v>
      </c>
      <c r="P645" s="1" t="n">
        <f aca="false">IF(AND(N645=1,S645=1,COUNTIFS($L$2:L645,L645,$J$2:J645,J645,$N$2:N645,1,$S$2:S645,1)=1),1,0)</f>
        <v>0</v>
      </c>
      <c r="Q645" s="1" t="n">
        <f aca="false">IF(AND(N645=1,S645=1,COUNTIFS($L$2:L645,L645,$K$2:K645,K645,$N$2:N645,1,$S$2:S645,1)=1),1,0)</f>
        <v>0</v>
      </c>
      <c r="R645" s="1" t="n">
        <f aca="false">IF(AND(N645=1,COUNTIFS($K$2:K645,K645,$L$2:L645,L645,$J$2:J645,J645,$N$2:N645,1)=1),1,0)</f>
        <v>0</v>
      </c>
      <c r="S645" s="1" t="n">
        <f aca="false">IF(AND(K645&lt;&gt;"Context and provider model",K645&lt;&gt;"Motivation"),1,0)</f>
        <v>1</v>
      </c>
    </row>
    <row r="646" customFormat="false" ht="15" hidden="false" customHeight="true" outlineLevel="0" collapsed="false">
      <c r="J646" s="1" t="str">
        <f aca="false">'Raw Atomic Data (Pro)'!A646</f>
        <v>Dawn</v>
      </c>
      <c r="K646" s="1" t="str">
        <f aca="false">'Raw Atomic Data (Pro)'!C646</f>
        <v>Completion and feedback</v>
      </c>
      <c r="L646" s="1" t="str">
        <f aca="false">'Raw Atomic Data (Pro)'!D646</f>
        <v>reviews-feedback-process</v>
      </c>
      <c r="M646" s="1" t="str">
        <f aca="false">'Raw Atomic Data (Pro)'!E646</f>
        <v>fact</v>
      </c>
      <c r="N646" s="1" t="n">
        <f aca="false">IF(OR(M646="friction",M646="need",M646="workaround"),1,0)</f>
        <v>0</v>
      </c>
      <c r="O646" s="1" t="n">
        <f aca="false">IF(COUNTIFS($K$2:K646,K646,$L$2:L646,L646,$M$2:M646,M646,$J$2:J646,J646)=1,1,0)</f>
        <v>1</v>
      </c>
      <c r="P646" s="1" t="n">
        <f aca="false">IF(AND(N646=1,S646=1,COUNTIFS($L$2:L646,L646,$J$2:J646,J646,$N$2:N646,1,$S$2:S646,1)=1),1,0)</f>
        <v>0</v>
      </c>
      <c r="Q646" s="1" t="n">
        <f aca="false">IF(AND(N646=1,S646=1,COUNTIFS($L$2:L646,L646,$K$2:K646,K646,$N$2:N646,1,$S$2:S646,1)=1),1,0)</f>
        <v>0</v>
      </c>
      <c r="R646" s="1" t="n">
        <f aca="false">IF(AND(N646=1,COUNTIFS($K$2:K646,K646,$L$2:L646,L646,$J$2:J646,J646,$N$2:N646,1)=1),1,0)</f>
        <v>0</v>
      </c>
      <c r="S646" s="1" t="n">
        <f aca="false">IF(AND(K646&lt;&gt;"Context and provider model",K646&lt;&gt;"Motivation"),1,0)</f>
        <v>1</v>
      </c>
    </row>
    <row r="647" customFormat="false" ht="15" hidden="false" customHeight="true" outlineLevel="0" collapsed="false">
      <c r="J647" s="1" t="str">
        <f aca="false">'Raw Atomic Data (Pro)'!A647</f>
        <v>Dawn</v>
      </c>
      <c r="K647" s="1" t="str">
        <f aca="false">'Raw Atomic Data (Pro)'!C647</f>
        <v>Completion and feedback</v>
      </c>
      <c r="L647" s="1" t="str">
        <f aca="false">'Raw Atomic Data (Pro)'!D647</f>
        <v>repeat-client-relationships</v>
      </c>
      <c r="M647" s="1" t="str">
        <f aca="false">'Raw Atomic Data (Pro)'!E647</f>
        <v>fact</v>
      </c>
      <c r="N647" s="1" t="n">
        <f aca="false">IF(OR(M647="friction",M647="need",M647="workaround"),1,0)</f>
        <v>0</v>
      </c>
      <c r="O647" s="1" t="n">
        <f aca="false">IF(COUNTIFS($K$2:K647,K647,$L$2:L647,L647,$M$2:M647,M647,$J$2:J647,J647)=1,1,0)</f>
        <v>1</v>
      </c>
      <c r="P647" s="1" t="n">
        <f aca="false">IF(AND(N647=1,S647=1,COUNTIFS($L$2:L647,L647,$J$2:J647,J647,$N$2:N647,1,$S$2:S647,1)=1),1,0)</f>
        <v>0</v>
      </c>
      <c r="Q647" s="1" t="n">
        <f aca="false">IF(AND(N647=1,S647=1,COUNTIFS($L$2:L647,L647,$K$2:K647,K647,$N$2:N647,1,$S$2:S647,1)=1),1,0)</f>
        <v>0</v>
      </c>
      <c r="R647" s="1" t="n">
        <f aca="false">IF(AND(N647=1,COUNTIFS($K$2:K647,K647,$L$2:L647,L647,$J$2:J647,J647,$N$2:N647,1)=1),1,0)</f>
        <v>0</v>
      </c>
      <c r="S647" s="1" t="n">
        <f aca="false">IF(AND(K647&lt;&gt;"Context and provider model",K647&lt;&gt;"Motivation"),1,0)</f>
        <v>1</v>
      </c>
    </row>
    <row r="648" customFormat="false" ht="15" hidden="false" customHeight="true" outlineLevel="0" collapsed="false">
      <c r="J648" s="1" t="str">
        <f aca="false">'Raw Atomic Data (Pro)'!A648</f>
        <v>Erika</v>
      </c>
      <c r="K648" s="1" t="str">
        <f aca="false">'Raw Atomic Data (Pro)'!C648</f>
        <v>Completion and feedback</v>
      </c>
      <c r="L648" s="1" t="str">
        <f aca="false">'Raw Atomic Data (Pro)'!D648</f>
        <v>repeat-client-relationships</v>
      </c>
      <c r="M648" s="1" t="str">
        <f aca="false">'Raw Atomic Data (Pro)'!E648</f>
        <v>value-statement</v>
      </c>
      <c r="N648" s="1" t="n">
        <f aca="false">IF(OR(M648="friction",M648="need",M648="workaround"),1,0)</f>
        <v>0</v>
      </c>
      <c r="O648" s="1" t="n">
        <f aca="false">IF(COUNTIFS($K$2:K648,K648,$L$2:L648,L648,$M$2:M648,M648,$J$2:J648,J648)=1,1,0)</f>
        <v>1</v>
      </c>
      <c r="P648" s="1" t="n">
        <f aca="false">IF(AND(N648=1,S648=1,COUNTIFS($L$2:L648,L648,$J$2:J648,J648,$N$2:N648,1,$S$2:S648,1)=1),1,0)</f>
        <v>0</v>
      </c>
      <c r="Q648" s="1" t="n">
        <f aca="false">IF(AND(N648=1,S648=1,COUNTIFS($L$2:L648,L648,$K$2:K648,K648,$N$2:N648,1,$S$2:S648,1)=1),1,0)</f>
        <v>0</v>
      </c>
      <c r="R648" s="1" t="n">
        <f aca="false">IF(AND(N648=1,COUNTIFS($K$2:K648,K648,$L$2:L648,L648,$J$2:J648,J648,$N$2:N648,1)=1),1,0)</f>
        <v>0</v>
      </c>
      <c r="S648" s="1" t="n">
        <f aca="false">IF(AND(K648&lt;&gt;"Context and provider model",K648&lt;&gt;"Motivation"),1,0)</f>
        <v>1</v>
      </c>
    </row>
    <row r="649" customFormat="false" ht="15" hidden="false" customHeight="true" outlineLevel="0" collapsed="false">
      <c r="J649" s="1" t="str">
        <f aca="false">'Raw Atomic Data (Pro)'!A649</f>
        <v>Erika</v>
      </c>
      <c r="K649" s="1" t="str">
        <f aca="false">'Raw Atomic Data (Pro)'!C649</f>
        <v>Completion and feedback</v>
      </c>
      <c r="L649" s="1" t="str">
        <f aca="false">'Raw Atomic Data (Pro)'!D649</f>
        <v>reviews-feedback-process</v>
      </c>
      <c r="M649" s="1" t="str">
        <f aca="false">'Raw Atomic Data (Pro)'!E649</f>
        <v>fact</v>
      </c>
      <c r="N649" s="1" t="n">
        <f aca="false">IF(OR(M649="friction",M649="need",M649="workaround"),1,0)</f>
        <v>0</v>
      </c>
      <c r="O649" s="1" t="n">
        <f aca="false">IF(COUNTIFS($K$2:K649,K649,$L$2:L649,L649,$M$2:M649,M649,$J$2:J649,J649)=1,1,0)</f>
        <v>1</v>
      </c>
      <c r="P649" s="1" t="n">
        <f aca="false">IF(AND(N649=1,S649=1,COUNTIFS($L$2:L649,L649,$J$2:J649,J649,$N$2:N649,1,$S$2:S649,1)=1),1,0)</f>
        <v>0</v>
      </c>
      <c r="Q649" s="1" t="n">
        <f aca="false">IF(AND(N649=1,S649=1,COUNTIFS($L$2:L649,L649,$K$2:K649,K649,$N$2:N649,1,$S$2:S649,1)=1),1,0)</f>
        <v>0</v>
      </c>
      <c r="R649" s="1" t="n">
        <f aca="false">IF(AND(N649=1,COUNTIFS($K$2:K649,K649,$L$2:L649,L649,$J$2:J649,J649,$N$2:N649,1)=1),1,0)</f>
        <v>0</v>
      </c>
      <c r="S649" s="1" t="n">
        <f aca="false">IF(AND(K649&lt;&gt;"Context and provider model",K649&lt;&gt;"Motivation"),1,0)</f>
        <v>1</v>
      </c>
    </row>
    <row r="650" customFormat="false" ht="15" hidden="false" customHeight="true" outlineLevel="0" collapsed="false">
      <c r="J650" s="1" t="str">
        <f aca="false">'Raw Atomic Data (Pro)'!A650</f>
        <v>Erika</v>
      </c>
      <c r="K650" s="1" t="str">
        <f aca="false">'Raw Atomic Data (Pro)'!C650</f>
        <v>Completion and feedback</v>
      </c>
      <c r="L650" s="1" t="str">
        <f aca="false">'Raw Atomic Data (Pro)'!D650</f>
        <v>repeat-client-relationships</v>
      </c>
      <c r="M650" s="1" t="str">
        <f aca="false">'Raw Atomic Data (Pro)'!E650</f>
        <v>fact</v>
      </c>
      <c r="N650" s="1" t="n">
        <f aca="false">IF(OR(M650="friction",M650="need",M650="workaround"),1,0)</f>
        <v>0</v>
      </c>
      <c r="O650" s="1" t="n">
        <f aca="false">IF(COUNTIFS($K$2:K650,K650,$L$2:L650,L650,$M$2:M650,M650,$J$2:J650,J650)=1,1,0)</f>
        <v>1</v>
      </c>
      <c r="P650" s="1" t="n">
        <f aca="false">IF(AND(N650=1,S650=1,COUNTIFS($L$2:L650,L650,$J$2:J650,J650,$N$2:N650,1,$S$2:S650,1)=1),1,0)</f>
        <v>0</v>
      </c>
      <c r="Q650" s="1" t="n">
        <f aca="false">IF(AND(N650=1,S650=1,COUNTIFS($L$2:L650,L650,$K$2:K650,K650,$N$2:N650,1,$S$2:S650,1)=1),1,0)</f>
        <v>0</v>
      </c>
      <c r="R650" s="1" t="n">
        <f aca="false">IF(AND(N650=1,COUNTIFS($K$2:K650,K650,$L$2:L650,L650,$J$2:J650,J650,$N$2:N650,1)=1),1,0)</f>
        <v>0</v>
      </c>
      <c r="S650" s="1" t="n">
        <f aca="false">IF(AND(K650&lt;&gt;"Context and provider model",K650&lt;&gt;"Motivation"),1,0)</f>
        <v>1</v>
      </c>
    </row>
    <row r="651" customFormat="false" ht="15" hidden="false" customHeight="true" outlineLevel="0" collapsed="false">
      <c r="J651" s="1" t="str">
        <f aca="false">'Raw Atomic Data (Pro)'!A651</f>
        <v>Erika</v>
      </c>
      <c r="K651" s="1" t="str">
        <f aca="false">'Raw Atomic Data (Pro)'!C651</f>
        <v>Completion and feedback</v>
      </c>
      <c r="L651" s="1" t="str">
        <f aca="false">'Raw Atomic Data (Pro)'!D651</f>
        <v>repeat-client-relationships</v>
      </c>
      <c r="M651" s="1" t="str">
        <f aca="false">'Raw Atomic Data (Pro)'!E651</f>
        <v>fact</v>
      </c>
      <c r="N651" s="1" t="n">
        <f aca="false">IF(OR(M651="friction",M651="need",M651="workaround"),1,0)</f>
        <v>0</v>
      </c>
      <c r="O651" s="1" t="n">
        <f aca="false">IF(COUNTIFS($K$2:K651,K651,$L$2:L651,L651,$M$2:M651,M651,$J$2:J651,J651)=1,1,0)</f>
        <v>0</v>
      </c>
      <c r="P651" s="1" t="n">
        <f aca="false">IF(AND(N651=1,S651=1,COUNTIFS($L$2:L651,L651,$J$2:J651,J651,$N$2:N651,1,$S$2:S651,1)=1),1,0)</f>
        <v>0</v>
      </c>
      <c r="Q651" s="1" t="n">
        <f aca="false">IF(AND(N651=1,S651=1,COUNTIFS($L$2:L651,L651,$K$2:K651,K651,$N$2:N651,1,$S$2:S651,1)=1),1,0)</f>
        <v>0</v>
      </c>
      <c r="R651" s="1" t="n">
        <f aca="false">IF(AND(N651=1,COUNTIFS($K$2:K651,K651,$L$2:L651,L651,$J$2:J651,J651,$N$2:N651,1)=1),1,0)</f>
        <v>0</v>
      </c>
      <c r="S651" s="1" t="n">
        <f aca="false">IF(AND(K651&lt;&gt;"Context and provider model",K651&lt;&gt;"Motivation"),1,0)</f>
        <v>1</v>
      </c>
    </row>
    <row r="652" customFormat="false" ht="15" hidden="false" customHeight="true" outlineLevel="0" collapsed="false">
      <c r="J652" s="1" t="str">
        <f aca="false">'Raw Atomic Data (Pro)'!A652</f>
        <v>Kristin</v>
      </c>
      <c r="K652" s="1" t="str">
        <f aca="false">'Raw Atomic Data (Pro)'!C652</f>
        <v>Completion and feedback</v>
      </c>
      <c r="L652" s="1" t="str">
        <f aca="false">'Raw Atomic Data (Pro)'!D652</f>
        <v>reviews-feedback-process</v>
      </c>
      <c r="M652" s="1" t="str">
        <f aca="false">'Raw Atomic Data (Pro)'!E652</f>
        <v>fact</v>
      </c>
      <c r="N652" s="1" t="n">
        <f aca="false">IF(OR(M652="friction",M652="need",M652="workaround"),1,0)</f>
        <v>0</v>
      </c>
      <c r="O652" s="1" t="n">
        <f aca="false">IF(COUNTIFS($K$2:K652,K652,$L$2:L652,L652,$M$2:M652,M652,$J$2:J652,J652)=1,1,0)</f>
        <v>1</v>
      </c>
      <c r="P652" s="1" t="n">
        <f aca="false">IF(AND(N652=1,S652=1,COUNTIFS($L$2:L652,L652,$J$2:J652,J652,$N$2:N652,1,$S$2:S652,1)=1),1,0)</f>
        <v>0</v>
      </c>
      <c r="Q652" s="1" t="n">
        <f aca="false">IF(AND(N652=1,S652=1,COUNTIFS($L$2:L652,L652,$K$2:K652,K652,$N$2:N652,1,$S$2:S652,1)=1),1,0)</f>
        <v>0</v>
      </c>
      <c r="R652" s="1" t="n">
        <f aca="false">IF(AND(N652=1,COUNTIFS($K$2:K652,K652,$L$2:L652,L652,$J$2:J652,J652,$N$2:N652,1)=1),1,0)</f>
        <v>0</v>
      </c>
      <c r="S652" s="1" t="n">
        <f aca="false">IF(AND(K652&lt;&gt;"Context and provider model",K652&lt;&gt;"Motivation"),1,0)</f>
        <v>1</v>
      </c>
    </row>
    <row r="653" customFormat="false" ht="15" hidden="false" customHeight="true" outlineLevel="0" collapsed="false">
      <c r="J653" s="1" t="str">
        <f aca="false">'Raw Atomic Data (Pro)'!A653</f>
        <v>Kristin</v>
      </c>
      <c r="K653" s="1" t="str">
        <f aca="false">'Raw Atomic Data (Pro)'!C653</f>
        <v>Completion and feedback</v>
      </c>
      <c r="L653" s="1" t="str">
        <f aca="false">'Raw Atomic Data (Pro)'!D653</f>
        <v>care-instructions-handoff</v>
      </c>
      <c r="M653" s="1" t="str">
        <f aca="false">'Raw Atomic Data (Pro)'!E653</f>
        <v>fact</v>
      </c>
      <c r="N653" s="1" t="n">
        <f aca="false">IF(OR(M653="friction",M653="need",M653="workaround"),1,0)</f>
        <v>0</v>
      </c>
      <c r="O653" s="1" t="n">
        <f aca="false">IF(COUNTIFS($K$2:K653,K653,$L$2:L653,L653,$M$2:M653,M653,$J$2:J653,J653)=1,1,0)</f>
        <v>1</v>
      </c>
      <c r="P653" s="1" t="n">
        <f aca="false">IF(AND(N653=1,S653=1,COUNTIFS($L$2:L653,L653,$J$2:J653,J653,$N$2:N653,1,$S$2:S653,1)=1),1,0)</f>
        <v>0</v>
      </c>
      <c r="Q653" s="1" t="n">
        <f aca="false">IF(AND(N653=1,S653=1,COUNTIFS($L$2:L653,L653,$K$2:K653,K653,$N$2:N653,1,$S$2:S653,1)=1),1,0)</f>
        <v>0</v>
      </c>
      <c r="R653" s="1" t="n">
        <f aca="false">IF(AND(N653=1,COUNTIFS($K$2:K653,K653,$L$2:L653,L653,$J$2:J653,J653,$N$2:N653,1)=1),1,0)</f>
        <v>0</v>
      </c>
      <c r="S653" s="1" t="n">
        <f aca="false">IF(AND(K653&lt;&gt;"Context and provider model",K653&lt;&gt;"Motivation"),1,0)</f>
        <v>1</v>
      </c>
    </row>
    <row r="654" customFormat="false" ht="15" hidden="false" customHeight="true" outlineLevel="0" collapsed="false">
      <c r="J654" s="1" t="str">
        <f aca="false">'Raw Atomic Data (Pro)'!A654</f>
        <v>Kristin</v>
      </c>
      <c r="K654" s="1" t="str">
        <f aca="false">'Raw Atomic Data (Pro)'!C654</f>
        <v>Completion and feedback</v>
      </c>
      <c r="L654" s="1" t="str">
        <f aca="false">'Raw Atomic Data (Pro)'!D654</f>
        <v>repeat-client-relationships</v>
      </c>
      <c r="M654" s="1" t="str">
        <f aca="false">'Raw Atomic Data (Pro)'!E654</f>
        <v>value-statement</v>
      </c>
      <c r="N654" s="1" t="n">
        <f aca="false">IF(OR(M654="friction",M654="need",M654="workaround"),1,0)</f>
        <v>0</v>
      </c>
      <c r="O654" s="1" t="n">
        <f aca="false">IF(COUNTIFS($K$2:K654,K654,$L$2:L654,L654,$M$2:M654,M654,$J$2:J654,J654)=1,1,0)</f>
        <v>1</v>
      </c>
      <c r="P654" s="1" t="n">
        <f aca="false">IF(AND(N654=1,S654=1,COUNTIFS($L$2:L654,L654,$J$2:J654,J654,$N$2:N654,1,$S$2:S654,1)=1),1,0)</f>
        <v>0</v>
      </c>
      <c r="Q654" s="1" t="n">
        <f aca="false">IF(AND(N654=1,S654=1,COUNTIFS($L$2:L654,L654,$K$2:K654,K654,$N$2:N654,1,$S$2:S654,1)=1),1,0)</f>
        <v>0</v>
      </c>
      <c r="R654" s="1" t="n">
        <f aca="false">IF(AND(N654=1,COUNTIFS($K$2:K654,K654,$L$2:L654,L654,$J$2:J654,J654,$N$2:N654,1)=1),1,0)</f>
        <v>0</v>
      </c>
      <c r="S654" s="1" t="n">
        <f aca="false">IF(AND(K654&lt;&gt;"Context and provider model",K654&lt;&gt;"Motivation"),1,0)</f>
        <v>1</v>
      </c>
    </row>
    <row r="655" customFormat="false" ht="15" hidden="false" customHeight="true" outlineLevel="0" collapsed="false">
      <c r="J655" s="1" t="str">
        <f aca="false">'Raw Atomic Data (Pro)'!A655</f>
        <v>Kristin</v>
      </c>
      <c r="K655" s="1" t="str">
        <f aca="false">'Raw Atomic Data (Pro)'!C655</f>
        <v>Completion and feedback</v>
      </c>
      <c r="L655" s="1" t="str">
        <f aca="false">'Raw Atomic Data (Pro)'!D655</f>
        <v>reviews-feedback-process</v>
      </c>
      <c r="M655" s="1" t="str">
        <f aca="false">'Raw Atomic Data (Pro)'!E655</f>
        <v>fact</v>
      </c>
      <c r="N655" s="1" t="n">
        <f aca="false">IF(OR(M655="friction",M655="need",M655="workaround"),1,0)</f>
        <v>0</v>
      </c>
      <c r="O655" s="1" t="n">
        <f aca="false">IF(COUNTIFS($K$2:K655,K655,$L$2:L655,L655,$M$2:M655,M655,$J$2:J655,J655)=1,1,0)</f>
        <v>0</v>
      </c>
      <c r="P655" s="1" t="n">
        <f aca="false">IF(AND(N655=1,S655=1,COUNTIFS($L$2:L655,L655,$J$2:J655,J655,$N$2:N655,1,$S$2:S655,1)=1),1,0)</f>
        <v>0</v>
      </c>
      <c r="Q655" s="1" t="n">
        <f aca="false">IF(AND(N655=1,S655=1,COUNTIFS($L$2:L655,L655,$K$2:K655,K655,$N$2:N655,1,$S$2:S655,1)=1),1,0)</f>
        <v>0</v>
      </c>
      <c r="R655" s="1" t="n">
        <f aca="false">IF(AND(N655=1,COUNTIFS($K$2:K655,K655,$L$2:L655,L655,$J$2:J655,J655,$N$2:N655,1)=1),1,0)</f>
        <v>0</v>
      </c>
      <c r="S655" s="1" t="n">
        <f aca="false">IF(AND(K655&lt;&gt;"Context and provider model",K655&lt;&gt;"Motivation"),1,0)</f>
        <v>1</v>
      </c>
    </row>
    <row r="656" customFormat="false" ht="15" hidden="false" customHeight="true" outlineLevel="0" collapsed="false">
      <c r="J656" s="1" t="str">
        <f aca="false">'Raw Atomic Data (Pro)'!A656</f>
        <v>Naomi</v>
      </c>
      <c r="K656" s="1" t="str">
        <f aca="false">'Raw Atomic Data (Pro)'!C656</f>
        <v>Completion and feedback</v>
      </c>
      <c r="L656" s="1" t="str">
        <f aca="false">'Raw Atomic Data (Pro)'!D656</f>
        <v>private-business-parallel-ops</v>
      </c>
      <c r="M656" s="1" t="str">
        <f aca="false">'Raw Atomic Data (Pro)'!E656</f>
        <v>fact</v>
      </c>
      <c r="N656" s="1" t="n">
        <f aca="false">IF(OR(M656="friction",M656="need",M656="workaround"),1,0)</f>
        <v>0</v>
      </c>
      <c r="O656" s="1" t="n">
        <f aca="false">IF(COUNTIFS($K$2:K656,K656,$L$2:L656,L656,$M$2:M656,M656,$J$2:J656,J656)=1,1,0)</f>
        <v>1</v>
      </c>
      <c r="P656" s="1" t="n">
        <f aca="false">IF(AND(N656=1,S656=1,COUNTIFS($L$2:L656,L656,$J$2:J656,J656,$N$2:N656,1,$S$2:S656,1)=1),1,0)</f>
        <v>0</v>
      </c>
      <c r="Q656" s="1" t="n">
        <f aca="false">IF(AND(N656=1,S656=1,COUNTIFS($L$2:L656,L656,$K$2:K656,K656,$N$2:N656,1,$S$2:S656,1)=1),1,0)</f>
        <v>0</v>
      </c>
      <c r="R656" s="1" t="n">
        <f aca="false">IF(AND(N656=1,COUNTIFS($K$2:K656,K656,$L$2:L656,L656,$J$2:J656,J656,$N$2:N656,1)=1),1,0)</f>
        <v>0</v>
      </c>
      <c r="S656" s="1" t="n">
        <f aca="false">IF(AND(K656&lt;&gt;"Context and provider model",K656&lt;&gt;"Motivation"),1,0)</f>
        <v>1</v>
      </c>
    </row>
    <row r="657" customFormat="false" ht="15" hidden="false" customHeight="true" outlineLevel="0" collapsed="false">
      <c r="J657" s="1" t="str">
        <f aca="false">'Raw Atomic Data (Pro)'!A657</f>
        <v>Naomi</v>
      </c>
      <c r="K657" s="1" t="str">
        <f aca="false">'Raw Atomic Data (Pro)'!C657</f>
        <v>Completion and feedback</v>
      </c>
      <c r="L657" s="1" t="str">
        <f aca="false">'Raw Atomic Data (Pro)'!D657</f>
        <v>payout-timing-tracking</v>
      </c>
      <c r="M657" s="1" t="str">
        <f aca="false">'Raw Atomic Data (Pro)'!E657</f>
        <v>value-statement</v>
      </c>
      <c r="N657" s="1" t="n">
        <f aca="false">IF(OR(M657="friction",M657="need",M657="workaround"),1,0)</f>
        <v>0</v>
      </c>
      <c r="O657" s="1" t="n">
        <f aca="false">IF(COUNTIFS($K$2:K657,K657,$L$2:L657,L657,$M$2:M657,M657,$J$2:J657,J657)=1,1,0)</f>
        <v>1</v>
      </c>
      <c r="P657" s="1" t="n">
        <f aca="false">IF(AND(N657=1,S657=1,COUNTIFS($L$2:L657,L657,$J$2:J657,J657,$N$2:N657,1,$S$2:S657,1)=1),1,0)</f>
        <v>0</v>
      </c>
      <c r="Q657" s="1" t="n">
        <f aca="false">IF(AND(N657=1,S657=1,COUNTIFS($L$2:L657,L657,$K$2:K657,K657,$N$2:N657,1,$S$2:S657,1)=1),1,0)</f>
        <v>0</v>
      </c>
      <c r="R657" s="1" t="n">
        <f aca="false">IF(AND(N657=1,COUNTIFS($K$2:K657,K657,$L$2:L657,L657,$J$2:J657,J657,$N$2:N657,1)=1),1,0)</f>
        <v>0</v>
      </c>
      <c r="S657" s="1" t="n">
        <f aca="false">IF(AND(K657&lt;&gt;"Context and provider model",K657&lt;&gt;"Motivation"),1,0)</f>
        <v>1</v>
      </c>
    </row>
    <row r="658" customFormat="false" ht="15" hidden="false" customHeight="true" outlineLevel="0" collapsed="false">
      <c r="J658" s="1" t="str">
        <f aca="false">'Raw Atomic Data (Pro)'!A658</f>
        <v>Naomi</v>
      </c>
      <c r="K658" s="1" t="str">
        <f aca="false">'Raw Atomic Data (Pro)'!C658</f>
        <v>Completion and feedback</v>
      </c>
      <c r="L658" s="1" t="str">
        <f aca="false">'Raw Atomic Data (Pro)'!D658</f>
        <v>daily-care-tasks</v>
      </c>
      <c r="M658" s="1" t="str">
        <f aca="false">'Raw Atomic Data (Pro)'!E658</f>
        <v>fact</v>
      </c>
      <c r="N658" s="1" t="n">
        <f aca="false">IF(OR(M658="friction",M658="need",M658="workaround"),1,0)</f>
        <v>0</v>
      </c>
      <c r="O658" s="1" t="n">
        <f aca="false">IF(COUNTIFS($K$2:K658,K658,$L$2:L658,L658,$M$2:M658,M658,$J$2:J658,J658)=1,1,0)</f>
        <v>1</v>
      </c>
      <c r="P658" s="1" t="n">
        <f aca="false">IF(AND(N658=1,S658=1,COUNTIFS($L$2:L658,L658,$J$2:J658,J658,$N$2:N658,1,$S$2:S658,1)=1),1,0)</f>
        <v>0</v>
      </c>
      <c r="Q658" s="1" t="n">
        <f aca="false">IF(AND(N658=1,S658=1,COUNTIFS($L$2:L658,L658,$K$2:K658,K658,$N$2:N658,1,$S$2:S658,1)=1),1,0)</f>
        <v>0</v>
      </c>
      <c r="R658" s="1" t="n">
        <f aca="false">IF(AND(N658=1,COUNTIFS($K$2:K658,K658,$L$2:L658,L658,$J$2:J658,J658,$N$2:N658,1)=1),1,0)</f>
        <v>0</v>
      </c>
      <c r="S658" s="1" t="n">
        <f aca="false">IF(AND(K658&lt;&gt;"Context and provider model",K658&lt;&gt;"Motivation"),1,0)</f>
        <v>1</v>
      </c>
    </row>
    <row r="659" customFormat="false" ht="15" hidden="false" customHeight="true" outlineLevel="0" collapsed="false">
      <c r="J659" s="1" t="str">
        <f aca="false">'Raw Atomic Data (Pro)'!A659</f>
        <v>Shania</v>
      </c>
      <c r="K659" s="1" t="str">
        <f aca="false">'Raw Atomic Data (Pro)'!C659</f>
        <v>Completion and feedback</v>
      </c>
      <c r="L659" s="1" t="str">
        <f aca="false">'Raw Atomic Data (Pro)'!D659</f>
        <v>reviews-feedback-process</v>
      </c>
      <c r="M659" s="1" t="str">
        <f aca="false">'Raw Atomic Data (Pro)'!E659</f>
        <v>fact</v>
      </c>
      <c r="N659" s="1" t="n">
        <f aca="false">IF(OR(M659="friction",M659="need",M659="workaround"),1,0)</f>
        <v>0</v>
      </c>
      <c r="O659" s="1" t="n">
        <f aca="false">IF(COUNTIFS($K$2:K659,K659,$L$2:L659,L659,$M$2:M659,M659,$J$2:J659,J659)=1,1,0)</f>
        <v>1</v>
      </c>
      <c r="P659" s="1" t="n">
        <f aca="false">IF(AND(N659=1,S659=1,COUNTIFS($L$2:L659,L659,$J$2:J659,J659,$N$2:N659,1,$S$2:S659,1)=1),1,0)</f>
        <v>0</v>
      </c>
      <c r="Q659" s="1" t="n">
        <f aca="false">IF(AND(N659=1,S659=1,COUNTIFS($L$2:L659,L659,$K$2:K659,K659,$N$2:N659,1,$S$2:S659,1)=1),1,0)</f>
        <v>0</v>
      </c>
      <c r="R659" s="1" t="n">
        <f aca="false">IF(AND(N659=1,COUNTIFS($K$2:K659,K659,$L$2:L659,L659,$J$2:J659,J659,$N$2:N659,1)=1),1,0)</f>
        <v>0</v>
      </c>
      <c r="S659" s="1" t="n">
        <f aca="false">IF(AND(K659&lt;&gt;"Context and provider model",K659&lt;&gt;"Motivation"),1,0)</f>
        <v>1</v>
      </c>
    </row>
    <row r="660" customFormat="false" ht="15" hidden="false" customHeight="true" outlineLevel="0" collapsed="false">
      <c r="J660" s="1" t="str">
        <f aca="false">'Raw Atomic Data (Pro)'!A660</f>
        <v>Shania</v>
      </c>
      <c r="K660" s="1" t="str">
        <f aca="false">'Raw Atomic Data (Pro)'!C660</f>
        <v>Completion and feedback</v>
      </c>
      <c r="L660" s="1" t="str">
        <f aca="false">'Raw Atomic Data (Pro)'!D660</f>
        <v>daily-care-tasks</v>
      </c>
      <c r="M660" s="1" t="str">
        <f aca="false">'Raw Atomic Data (Pro)'!E660</f>
        <v>fact</v>
      </c>
      <c r="N660" s="1" t="n">
        <f aca="false">IF(OR(M660="friction",M660="need",M660="workaround"),1,0)</f>
        <v>0</v>
      </c>
      <c r="O660" s="1" t="n">
        <f aca="false">IF(COUNTIFS($K$2:K660,K660,$L$2:L660,L660,$M$2:M660,M660,$J$2:J660,J660)=1,1,0)</f>
        <v>1</v>
      </c>
      <c r="P660" s="1" t="n">
        <f aca="false">IF(AND(N660=1,S660=1,COUNTIFS($L$2:L660,L660,$J$2:J660,J660,$N$2:N660,1,$S$2:S660,1)=1),1,0)</f>
        <v>0</v>
      </c>
      <c r="Q660" s="1" t="n">
        <f aca="false">IF(AND(N660=1,S660=1,COUNTIFS($L$2:L660,L660,$K$2:K660,K660,$N$2:N660,1,$S$2:S660,1)=1),1,0)</f>
        <v>0</v>
      </c>
      <c r="R660" s="1" t="n">
        <f aca="false">IF(AND(N660=1,COUNTIFS($K$2:K660,K660,$L$2:L660,L660,$J$2:J660,J660,$N$2:N660,1)=1),1,0)</f>
        <v>0</v>
      </c>
      <c r="S660" s="1" t="n">
        <f aca="false">IF(AND(K660&lt;&gt;"Context and provider model",K660&lt;&gt;"Motivation"),1,0)</f>
        <v>1</v>
      </c>
    </row>
    <row r="661" customFormat="false" ht="15" hidden="false" customHeight="true" outlineLevel="0" collapsed="false">
      <c r="J661" s="1" t="str">
        <f aca="false">'Raw Atomic Data (Pro)'!A661</f>
        <v>Shania</v>
      </c>
      <c r="K661" s="1" t="str">
        <f aca="false">'Raw Atomic Data (Pro)'!C661</f>
        <v>Completion and feedback</v>
      </c>
      <c r="L661" s="1" t="str">
        <f aca="false">'Raw Atomic Data (Pro)'!D661</f>
        <v>repeat-client-relationships</v>
      </c>
      <c r="M661" s="1" t="str">
        <f aca="false">'Raw Atomic Data (Pro)'!E661</f>
        <v>fact</v>
      </c>
      <c r="N661" s="1" t="n">
        <f aca="false">IF(OR(M661="friction",M661="need",M661="workaround"),1,0)</f>
        <v>0</v>
      </c>
      <c r="O661" s="1" t="n">
        <f aca="false">IF(COUNTIFS($K$2:K661,K661,$L$2:L661,L661,$M$2:M661,M661,$J$2:J661,J661)=1,1,0)</f>
        <v>1</v>
      </c>
      <c r="P661" s="1" t="n">
        <f aca="false">IF(AND(N661=1,S661=1,COUNTIFS($L$2:L661,L661,$J$2:J661,J661,$N$2:N661,1,$S$2:S661,1)=1),1,0)</f>
        <v>0</v>
      </c>
      <c r="Q661" s="1" t="n">
        <f aca="false">IF(AND(N661=1,S661=1,COUNTIFS($L$2:L661,L661,$K$2:K661,K661,$N$2:N661,1,$S$2:S661,1)=1),1,0)</f>
        <v>0</v>
      </c>
      <c r="R661" s="1" t="n">
        <f aca="false">IF(AND(N661=1,COUNTIFS($K$2:K661,K661,$L$2:L661,L661,$J$2:J661,J661,$N$2:N661,1)=1),1,0)</f>
        <v>0</v>
      </c>
      <c r="S661" s="1" t="n">
        <f aca="false">IF(AND(K661&lt;&gt;"Context and provider model",K661&lt;&gt;"Motivation"),1,0)</f>
        <v>1</v>
      </c>
    </row>
    <row r="662" customFormat="false" ht="15" hidden="false" customHeight="true" outlineLevel="0" collapsed="false">
      <c r="J662" s="1" t="str">
        <f aca="false">'Raw Atomic Data (Pro)'!A662</f>
        <v>Shania</v>
      </c>
      <c r="K662" s="1" t="str">
        <f aca="false">'Raw Atomic Data (Pro)'!C662</f>
        <v>Completion and feedback</v>
      </c>
      <c r="L662" s="1" t="str">
        <f aca="false">'Raw Atomic Data (Pro)'!D662</f>
        <v>off-platform-communication-channels</v>
      </c>
      <c r="M662" s="1" t="str">
        <f aca="false">'Raw Atomic Data (Pro)'!E662</f>
        <v>fact</v>
      </c>
      <c r="N662" s="1" t="n">
        <f aca="false">IF(OR(M662="friction",M662="need",M662="workaround"),1,0)</f>
        <v>0</v>
      </c>
      <c r="O662" s="1" t="n">
        <f aca="false">IF(COUNTIFS($K$2:K662,K662,$L$2:L662,L662,$M$2:M662,M662,$J$2:J662,J662)=1,1,0)</f>
        <v>1</v>
      </c>
      <c r="P662" s="1" t="n">
        <f aca="false">IF(AND(N662=1,S662=1,COUNTIFS($L$2:L662,L662,$J$2:J662,J662,$N$2:N662,1,$S$2:S662,1)=1),1,0)</f>
        <v>0</v>
      </c>
      <c r="Q662" s="1" t="n">
        <f aca="false">IF(AND(N662=1,S662=1,COUNTIFS($L$2:L662,L662,$K$2:K662,K662,$N$2:N662,1,$S$2:S662,1)=1),1,0)</f>
        <v>0</v>
      </c>
      <c r="R662" s="1" t="n">
        <f aca="false">IF(AND(N662=1,COUNTIFS($K$2:K662,K662,$L$2:L662,L662,$J$2:J662,J662,$N$2:N662,1)=1),1,0)</f>
        <v>0</v>
      </c>
      <c r="S662" s="1" t="n">
        <f aca="false">IF(AND(K662&lt;&gt;"Context and provider model",K662&lt;&gt;"Motivation"),1,0)</f>
        <v>1</v>
      </c>
    </row>
    <row r="663" customFormat="false" ht="15" hidden="false" customHeight="true" outlineLevel="0" collapsed="false">
      <c r="J663" s="1" t="str">
        <f aca="false">'Raw Atomic Data (Pro)'!A663</f>
        <v>Tianrui</v>
      </c>
      <c r="K663" s="1" t="str">
        <f aca="false">'Raw Atomic Data (Pro)'!C663</f>
        <v>Completion and feedback</v>
      </c>
      <c r="L663" s="1" t="str">
        <f aca="false">'Raw Atomic Data (Pro)'!D663</f>
        <v>reviews-feedback-process</v>
      </c>
      <c r="M663" s="1" t="str">
        <f aca="false">'Raw Atomic Data (Pro)'!E663</f>
        <v>fact</v>
      </c>
      <c r="N663" s="1" t="n">
        <f aca="false">IF(OR(M663="friction",M663="need",M663="workaround"),1,0)</f>
        <v>0</v>
      </c>
      <c r="O663" s="1" t="n">
        <f aca="false">IF(COUNTIFS($K$2:K663,K663,$L$2:L663,L663,$M$2:M663,M663,$J$2:J663,J663)=1,1,0)</f>
        <v>1</v>
      </c>
      <c r="P663" s="1" t="n">
        <f aca="false">IF(AND(N663=1,S663=1,COUNTIFS($L$2:L663,L663,$J$2:J663,J663,$N$2:N663,1,$S$2:S663,1)=1),1,0)</f>
        <v>0</v>
      </c>
      <c r="Q663" s="1" t="n">
        <f aca="false">IF(AND(N663=1,S663=1,COUNTIFS($L$2:L663,L663,$K$2:K663,K663,$N$2:N663,1,$S$2:S663,1)=1),1,0)</f>
        <v>0</v>
      </c>
      <c r="R663" s="1" t="n">
        <f aca="false">IF(AND(N663=1,COUNTIFS($K$2:K663,K663,$L$2:L663,L663,$J$2:J663,J663,$N$2:N663,1)=1),1,0)</f>
        <v>0</v>
      </c>
      <c r="S663" s="1" t="n">
        <f aca="false">IF(AND(K663&lt;&gt;"Context and provider model",K663&lt;&gt;"Motivation"),1,0)</f>
        <v>1</v>
      </c>
    </row>
    <row r="664" customFormat="false" ht="15" hidden="false" customHeight="true" outlineLevel="0" collapsed="false">
      <c r="J664" s="1" t="str">
        <f aca="false">'Raw Atomic Data (Pro)'!A664</f>
        <v>Tianrui</v>
      </c>
      <c r="K664" s="1" t="str">
        <f aca="false">'Raw Atomic Data (Pro)'!C664</f>
        <v>Completion and feedback</v>
      </c>
      <c r="L664" s="1" t="str">
        <f aca="false">'Raw Atomic Data (Pro)'!D664</f>
        <v>reviews-feedback-process</v>
      </c>
      <c r="M664" s="1" t="str">
        <f aca="false">'Raw Atomic Data (Pro)'!E664</f>
        <v>fact</v>
      </c>
      <c r="N664" s="1" t="n">
        <f aca="false">IF(OR(M664="friction",M664="need",M664="workaround"),1,0)</f>
        <v>0</v>
      </c>
      <c r="O664" s="1" t="n">
        <f aca="false">IF(COUNTIFS($K$2:K664,K664,$L$2:L664,L664,$M$2:M664,M664,$J$2:J664,J664)=1,1,0)</f>
        <v>0</v>
      </c>
      <c r="P664" s="1" t="n">
        <f aca="false">IF(AND(N664=1,S664=1,COUNTIFS($L$2:L664,L664,$J$2:J664,J664,$N$2:N664,1,$S$2:S664,1)=1),1,0)</f>
        <v>0</v>
      </c>
      <c r="Q664" s="1" t="n">
        <f aca="false">IF(AND(N664=1,S664=1,COUNTIFS($L$2:L664,L664,$K$2:K664,K664,$N$2:N664,1,$S$2:S664,1)=1),1,0)</f>
        <v>0</v>
      </c>
      <c r="R664" s="1" t="n">
        <f aca="false">IF(AND(N664=1,COUNTIFS($K$2:K664,K664,$L$2:L664,L664,$J$2:J664,J664,$N$2:N664,1)=1),1,0)</f>
        <v>0</v>
      </c>
      <c r="S664" s="1" t="n">
        <f aca="false">IF(AND(K664&lt;&gt;"Context and provider model",K664&lt;&gt;"Motivation"),1,0)</f>
        <v>1</v>
      </c>
    </row>
    <row r="665" customFormat="false" ht="15" hidden="false" customHeight="true" outlineLevel="0" collapsed="false">
      <c r="J665" s="1" t="str">
        <f aca="false">'Raw Atomic Data (Pro)'!A665</f>
        <v>Tianrui</v>
      </c>
      <c r="K665" s="1" t="str">
        <f aca="false">'Raw Atomic Data (Pro)'!C665</f>
        <v>Completion and feedback</v>
      </c>
      <c r="L665" s="1" t="str">
        <f aca="false">'Raw Atomic Data (Pro)'!D665</f>
        <v>reviews-feedback-process</v>
      </c>
      <c r="M665" s="1" t="str">
        <f aca="false">'Raw Atomic Data (Pro)'!E665</f>
        <v>fact</v>
      </c>
      <c r="N665" s="1" t="n">
        <f aca="false">IF(OR(M665="friction",M665="need",M665="workaround"),1,0)</f>
        <v>0</v>
      </c>
      <c r="O665" s="1" t="n">
        <f aca="false">IF(COUNTIFS($K$2:K665,K665,$L$2:L665,L665,$M$2:M665,M665,$J$2:J665,J665)=1,1,0)</f>
        <v>0</v>
      </c>
      <c r="P665" s="1" t="n">
        <f aca="false">IF(AND(N665=1,S665=1,COUNTIFS($L$2:L665,L665,$J$2:J665,J665,$N$2:N665,1,$S$2:S665,1)=1),1,0)</f>
        <v>0</v>
      </c>
      <c r="Q665" s="1" t="n">
        <f aca="false">IF(AND(N665=1,S665=1,COUNTIFS($L$2:L665,L665,$K$2:K665,K665,$N$2:N665,1,$S$2:S665,1)=1),1,0)</f>
        <v>0</v>
      </c>
      <c r="R665" s="1" t="n">
        <f aca="false">IF(AND(N665=1,COUNTIFS($K$2:K665,K665,$L$2:L665,L665,$J$2:J665,J665,$N$2:N665,1)=1),1,0)</f>
        <v>0</v>
      </c>
      <c r="S665" s="1" t="n">
        <f aca="false">IF(AND(K665&lt;&gt;"Context and provider model",K665&lt;&gt;"Motivation"),1,0)</f>
        <v>1</v>
      </c>
    </row>
    <row r="666" customFormat="false" ht="15" hidden="false" customHeight="true" outlineLevel="0" collapsed="false">
      <c r="J666" s="1" t="str">
        <f aca="false">'Raw Atomic Data (Pro)'!A666</f>
        <v>Tianrui</v>
      </c>
      <c r="K666" s="1" t="str">
        <f aca="false">'Raw Atomic Data (Pro)'!C666</f>
        <v>Completion and feedback</v>
      </c>
      <c r="L666" s="1" t="str">
        <f aca="false">'Raw Atomic Data (Pro)'!D666</f>
        <v>reviews-feedback-process</v>
      </c>
      <c r="M666" s="1" t="str">
        <f aca="false">'Raw Atomic Data (Pro)'!E666</f>
        <v>need</v>
      </c>
      <c r="N666" s="1" t="n">
        <f aca="false">IF(OR(M666="friction",M666="need",M666="workaround"),1,0)</f>
        <v>1</v>
      </c>
      <c r="O666" s="1" t="n">
        <f aca="false">IF(COUNTIFS($K$2:K666,K666,$L$2:L666,L666,$M$2:M666,M666,$J$2:J666,J666)=1,1,0)</f>
        <v>1</v>
      </c>
      <c r="P666" s="1" t="n">
        <f aca="false">IF(AND(N666=1,S666=1,COUNTIFS($L$2:L666,L666,$J$2:J666,J666,$N$2:N666,1,$S$2:S666,1)=1),1,0)</f>
        <v>1</v>
      </c>
      <c r="Q666" s="1" t="n">
        <f aca="false">IF(AND(N666=1,S666=1,COUNTIFS($L$2:L666,L666,$K$2:K666,K666,$N$2:N666,1,$S$2:S666,1)=1),1,0)</f>
        <v>0</v>
      </c>
      <c r="R666" s="1" t="n">
        <f aca="false">IF(AND(N666=1,COUNTIFS($K$2:K666,K666,$L$2:L666,L666,$J$2:J666,J666,$N$2:N666,1)=1),1,0)</f>
        <v>1</v>
      </c>
      <c r="S666" s="1" t="n">
        <f aca="false">IF(AND(K666&lt;&gt;"Context and provider model",K666&lt;&gt;"Motivation"),1,0)</f>
        <v>1</v>
      </c>
    </row>
    <row r="667" customFormat="false" ht="15" hidden="false" customHeight="true" outlineLevel="0" collapsed="false">
      <c r="J667" s="1" t="str">
        <f aca="false">'Raw Atomic Data (Pro)'!A667</f>
        <v>Tianrui</v>
      </c>
      <c r="K667" s="1" t="str">
        <f aca="false">'Raw Atomic Data (Pro)'!C667</f>
        <v>Completion and feedback</v>
      </c>
      <c r="L667" s="1" t="str">
        <f aca="false">'Raw Atomic Data (Pro)'!D667</f>
        <v>reviews-feedback-process</v>
      </c>
      <c r="M667" s="1" t="str">
        <f aca="false">'Raw Atomic Data (Pro)'!E667</f>
        <v>friction</v>
      </c>
      <c r="N667" s="1" t="n">
        <f aca="false">IF(OR(M667="friction",M667="need",M667="workaround"),1,0)</f>
        <v>1</v>
      </c>
      <c r="O667" s="1" t="n">
        <f aca="false">IF(COUNTIFS($K$2:K667,K667,$L$2:L667,L667,$M$2:M667,M667,$J$2:J667,J667)=1,1,0)</f>
        <v>1</v>
      </c>
      <c r="P667" s="1" t="n">
        <f aca="false">IF(AND(N667=1,S667=1,COUNTIFS($L$2:L667,L667,$J$2:J667,J667,$N$2:N667,1,$S$2:S667,1)=1),1,0)</f>
        <v>0</v>
      </c>
      <c r="Q667" s="1" t="n">
        <f aca="false">IF(AND(N667=1,S667=1,COUNTIFS($L$2:L667,L667,$K$2:K667,K667,$N$2:N667,1,$S$2:S667,1)=1),1,0)</f>
        <v>0</v>
      </c>
      <c r="R667" s="1" t="n">
        <f aca="false">IF(AND(N667=1,COUNTIFS($K$2:K667,K667,$L$2:L667,L667,$J$2:J667,J667,$N$2:N667,1)=1),1,0)</f>
        <v>0</v>
      </c>
      <c r="S667" s="1" t="n">
        <f aca="false">IF(AND(K667&lt;&gt;"Context and provider model",K667&lt;&gt;"Motivation"),1,0)</f>
        <v>1</v>
      </c>
    </row>
    <row r="668" customFormat="false" ht="15" hidden="false" customHeight="true" outlineLevel="0" collapsed="false">
      <c r="J668" s="1" t="str">
        <f aca="false">'Raw Atomic Data (Pro)'!A668</f>
        <v>Tianrui</v>
      </c>
      <c r="K668" s="1" t="str">
        <f aca="false">'Raw Atomic Data (Pro)'!C668</f>
        <v>Completion and feedback</v>
      </c>
      <c r="L668" s="1" t="str">
        <f aca="false">'Raw Atomic Data (Pro)'!D668</f>
        <v>reviews-feedback-process</v>
      </c>
      <c r="M668" s="1" t="str">
        <f aca="false">'Raw Atomic Data (Pro)'!E668</f>
        <v>need</v>
      </c>
      <c r="N668" s="1" t="n">
        <f aca="false">IF(OR(M668="friction",M668="need",M668="workaround"),1,0)</f>
        <v>1</v>
      </c>
      <c r="O668" s="1" t="n">
        <f aca="false">IF(COUNTIFS($K$2:K668,K668,$L$2:L668,L668,$M$2:M668,M668,$J$2:J668,J668)=1,1,0)</f>
        <v>0</v>
      </c>
      <c r="P668" s="1" t="n">
        <f aca="false">IF(AND(N668=1,S668=1,COUNTIFS($L$2:L668,L668,$J$2:J668,J668,$N$2:N668,1,$S$2:S668,1)=1),1,0)</f>
        <v>0</v>
      </c>
      <c r="Q668" s="1" t="n">
        <f aca="false">IF(AND(N668=1,S668=1,COUNTIFS($L$2:L668,L668,$K$2:K668,K668,$N$2:N668,1,$S$2:S668,1)=1),1,0)</f>
        <v>0</v>
      </c>
      <c r="R668" s="1" t="n">
        <f aca="false">IF(AND(N668=1,COUNTIFS($K$2:K668,K668,$L$2:L668,L668,$J$2:J668,J668,$N$2:N668,1)=1),1,0)</f>
        <v>0</v>
      </c>
      <c r="S668" s="1" t="n">
        <f aca="false">IF(AND(K668&lt;&gt;"Context and provider model",K668&lt;&gt;"Motivation"),1,0)</f>
        <v>1</v>
      </c>
    </row>
    <row r="669" customFormat="false" ht="15" hidden="false" customHeight="true" outlineLevel="0" collapsed="false">
      <c r="J669" s="1" t="str">
        <f aca="false">'Raw Atomic Data (Pro)'!A669</f>
        <v>Tianrui</v>
      </c>
      <c r="K669" s="1" t="str">
        <f aca="false">'Raw Atomic Data (Pro)'!C669</f>
        <v>Completion and feedback</v>
      </c>
      <c r="L669" s="1" t="str">
        <f aca="false">'Raw Atomic Data (Pro)'!D669</f>
        <v>safety-risk-incidents</v>
      </c>
      <c r="M669" s="1" t="str">
        <f aca="false">'Raw Atomic Data (Pro)'!E669</f>
        <v>fact</v>
      </c>
      <c r="N669" s="1" t="n">
        <f aca="false">IF(OR(M669="friction",M669="need",M669="workaround"),1,0)</f>
        <v>0</v>
      </c>
      <c r="O669" s="1" t="n">
        <f aca="false">IF(COUNTIFS($K$2:K669,K669,$L$2:L669,L669,$M$2:M669,M669,$J$2:J669,J669)=1,1,0)</f>
        <v>1</v>
      </c>
      <c r="P669" s="1" t="n">
        <f aca="false">IF(AND(N669=1,S669=1,COUNTIFS($L$2:L669,L669,$J$2:J669,J669,$N$2:N669,1,$S$2:S669,1)=1),1,0)</f>
        <v>0</v>
      </c>
      <c r="Q669" s="1" t="n">
        <f aca="false">IF(AND(N669=1,S669=1,COUNTIFS($L$2:L669,L669,$K$2:K669,K669,$N$2:N669,1,$S$2:S669,1)=1),1,0)</f>
        <v>0</v>
      </c>
      <c r="R669" s="1" t="n">
        <f aca="false">IF(AND(N669=1,COUNTIFS($K$2:K669,K669,$L$2:L669,L669,$J$2:J669,J669,$N$2:N669,1)=1),1,0)</f>
        <v>0</v>
      </c>
      <c r="S669" s="1" t="n">
        <f aca="false">IF(AND(K669&lt;&gt;"Context and provider model",K669&lt;&gt;"Motivation"),1,0)</f>
        <v>1</v>
      </c>
    </row>
    <row r="670" customFormat="false" ht="15" hidden="false" customHeight="true" outlineLevel="0" collapsed="false">
      <c r="J670" s="1" t="str">
        <f aca="false">'Raw Atomic Data (Pro)'!A670</f>
        <v>Tianrui</v>
      </c>
      <c r="K670" s="1" t="str">
        <f aca="false">'Raw Atomic Data (Pro)'!C670</f>
        <v>Completion and feedback</v>
      </c>
      <c r="L670" s="1" t="str">
        <f aca="false">'Raw Atomic Data (Pro)'!D670</f>
        <v>reviews-feedback-process</v>
      </c>
      <c r="M670" s="1" t="str">
        <f aca="false">'Raw Atomic Data (Pro)'!E670</f>
        <v>need</v>
      </c>
      <c r="N670" s="1" t="n">
        <f aca="false">IF(OR(M670="friction",M670="need",M670="workaround"),1,0)</f>
        <v>1</v>
      </c>
      <c r="O670" s="1" t="n">
        <f aca="false">IF(COUNTIFS($K$2:K670,K670,$L$2:L670,L670,$M$2:M670,M670,$J$2:J670,J670)=1,1,0)</f>
        <v>0</v>
      </c>
      <c r="P670" s="1" t="n">
        <f aca="false">IF(AND(N670=1,S670=1,COUNTIFS($L$2:L670,L670,$J$2:J670,J670,$N$2:N670,1,$S$2:S670,1)=1),1,0)</f>
        <v>0</v>
      </c>
      <c r="Q670" s="1" t="n">
        <f aca="false">IF(AND(N670=1,S670=1,COUNTIFS($L$2:L670,L670,$K$2:K670,K670,$N$2:N670,1,$S$2:S670,1)=1),1,0)</f>
        <v>0</v>
      </c>
      <c r="R670" s="1" t="n">
        <f aca="false">IF(AND(N670=1,COUNTIFS($K$2:K670,K670,$L$2:L670,L670,$J$2:J670,J670,$N$2:N670,1)=1),1,0)</f>
        <v>0</v>
      </c>
      <c r="S670" s="1" t="n">
        <f aca="false">IF(AND(K670&lt;&gt;"Context and provider model",K670&lt;&gt;"Motivation"),1,0)</f>
        <v>1</v>
      </c>
    </row>
    <row r="671" customFormat="false" ht="15" hidden="false" customHeight="true" outlineLevel="0" collapsed="false">
      <c r="J671" s="1" t="str">
        <f aca="false">'Raw Atomic Data (Pro)'!A671</f>
        <v>Tianrui</v>
      </c>
      <c r="K671" s="1" t="str">
        <f aca="false">'Raw Atomic Data (Pro)'!C671</f>
        <v>Completion and feedback</v>
      </c>
      <c r="L671" s="1" t="str">
        <f aca="false">'Raw Atomic Data (Pro)'!D671</f>
        <v>reviews-feedback-process</v>
      </c>
      <c r="M671" s="1" t="str">
        <f aca="false">'Raw Atomic Data (Pro)'!E671</f>
        <v>friction</v>
      </c>
      <c r="N671" s="1" t="n">
        <f aca="false">IF(OR(M671="friction",M671="need",M671="workaround"),1,0)</f>
        <v>1</v>
      </c>
      <c r="O671" s="1" t="n">
        <f aca="false">IF(COUNTIFS($K$2:K671,K671,$L$2:L671,L671,$M$2:M671,M671,$J$2:J671,J671)=1,1,0)</f>
        <v>0</v>
      </c>
      <c r="P671" s="1" t="n">
        <f aca="false">IF(AND(N671=1,S671=1,COUNTIFS($L$2:L671,L671,$J$2:J671,J671,$N$2:N671,1,$S$2:S671,1)=1),1,0)</f>
        <v>0</v>
      </c>
      <c r="Q671" s="1" t="n">
        <f aca="false">IF(AND(N671=1,S671=1,COUNTIFS($L$2:L671,L671,$K$2:K671,K671,$N$2:N671,1,$S$2:S671,1)=1),1,0)</f>
        <v>0</v>
      </c>
      <c r="R671" s="1" t="n">
        <f aca="false">IF(AND(N671=1,COUNTIFS($K$2:K671,K671,$L$2:L671,L671,$J$2:J671,J671,$N$2:N671,1)=1),1,0)</f>
        <v>0</v>
      </c>
      <c r="S671" s="1" t="n">
        <f aca="false">IF(AND(K671&lt;&gt;"Context and provider model",K671&lt;&gt;"Motivation"),1,0)</f>
        <v>1</v>
      </c>
    </row>
    <row r="672" customFormat="false" ht="15" hidden="false" customHeight="true" outlineLevel="0" collapsed="false">
      <c r="J672" s="1" t="str">
        <f aca="false">'Raw Atomic Data (Pro)'!A672</f>
        <v>Tianrui</v>
      </c>
      <c r="K672" s="1" t="str">
        <f aca="false">'Raw Atomic Data (Pro)'!C672</f>
        <v>Completion and feedback</v>
      </c>
      <c r="L672" s="1" t="str">
        <f aca="false">'Raw Atomic Data (Pro)'!D672</f>
        <v>reviews-feedback-process</v>
      </c>
      <c r="M672" s="1" t="str">
        <f aca="false">'Raw Atomic Data (Pro)'!E672</f>
        <v>fact</v>
      </c>
      <c r="N672" s="1" t="n">
        <f aca="false">IF(OR(M672="friction",M672="need",M672="workaround"),1,0)</f>
        <v>0</v>
      </c>
      <c r="O672" s="1" t="n">
        <f aca="false">IF(COUNTIFS($K$2:K672,K672,$L$2:L672,L672,$M$2:M672,M672,$J$2:J672,J672)=1,1,0)</f>
        <v>0</v>
      </c>
      <c r="P672" s="1" t="n">
        <f aca="false">IF(AND(N672=1,S672=1,COUNTIFS($L$2:L672,L672,$J$2:J672,J672,$N$2:N672,1,$S$2:S672,1)=1),1,0)</f>
        <v>0</v>
      </c>
      <c r="Q672" s="1" t="n">
        <f aca="false">IF(AND(N672=1,S672=1,COUNTIFS($L$2:L672,L672,$K$2:K672,K672,$N$2:N672,1,$S$2:S672,1)=1),1,0)</f>
        <v>0</v>
      </c>
      <c r="R672" s="1" t="n">
        <f aca="false">IF(AND(N672=1,COUNTIFS($K$2:K672,K672,$L$2:L672,L672,$J$2:J672,J672,$N$2:N672,1)=1),1,0)</f>
        <v>0</v>
      </c>
      <c r="S672" s="1" t="n">
        <f aca="false">IF(AND(K672&lt;&gt;"Context and provider model",K672&lt;&gt;"Motivation"),1,0)</f>
        <v>1</v>
      </c>
    </row>
    <row r="673" customFormat="false" ht="15" hidden="false" customHeight="true" outlineLevel="0" collapsed="false">
      <c r="J673" s="1" t="str">
        <f aca="false">'Raw Atomic Data (Pro)'!A673</f>
        <v>Tifany</v>
      </c>
      <c r="K673" s="1" t="str">
        <f aca="false">'Raw Atomic Data (Pro)'!C673</f>
        <v>Completion and feedback</v>
      </c>
      <c r="L673" s="1" t="str">
        <f aca="false">'Raw Atomic Data (Pro)'!D673</f>
        <v>reviews-feedback-process</v>
      </c>
      <c r="M673" s="1" t="str">
        <f aca="false">'Raw Atomic Data (Pro)'!E673</f>
        <v>friction</v>
      </c>
      <c r="N673" s="1" t="n">
        <f aca="false">IF(OR(M673="friction",M673="need",M673="workaround"),1,0)</f>
        <v>1</v>
      </c>
      <c r="O673" s="1" t="n">
        <f aca="false">IF(COUNTIFS($K$2:K673,K673,$L$2:L673,L673,$M$2:M673,M673,$J$2:J673,J673)=1,1,0)</f>
        <v>1</v>
      </c>
      <c r="P673" s="1" t="n">
        <f aca="false">IF(AND(N673=1,S673=1,COUNTIFS($L$2:L673,L673,$J$2:J673,J673,$N$2:N673,1,$S$2:S673,1)=1),1,0)</f>
        <v>1</v>
      </c>
      <c r="Q673" s="1" t="n">
        <f aca="false">IF(AND(N673=1,S673=1,COUNTIFS($L$2:L673,L673,$K$2:K673,K673,$N$2:N673,1,$S$2:S673,1)=1),1,0)</f>
        <v>0</v>
      </c>
      <c r="R673" s="1" t="n">
        <f aca="false">IF(AND(N673=1,COUNTIFS($K$2:K673,K673,$L$2:L673,L673,$J$2:J673,J673,$N$2:N673,1)=1),1,0)</f>
        <v>1</v>
      </c>
      <c r="S673" s="1" t="n">
        <f aca="false">IF(AND(K673&lt;&gt;"Context and provider model",K673&lt;&gt;"Motivation"),1,0)</f>
        <v>1</v>
      </c>
    </row>
    <row r="674" customFormat="false" ht="15" hidden="false" customHeight="true" outlineLevel="0" collapsed="false">
      <c r="J674" s="1" t="str">
        <f aca="false">'Raw Atomic Data (Pro)'!A674</f>
        <v>Tifany</v>
      </c>
      <c r="K674" s="1" t="str">
        <f aca="false">'Raw Atomic Data (Pro)'!C674</f>
        <v>Completion and feedback</v>
      </c>
      <c r="L674" s="1" t="str">
        <f aca="false">'Raw Atomic Data (Pro)'!D674</f>
        <v>reviews-feedback-process</v>
      </c>
      <c r="M674" s="1" t="str">
        <f aca="false">'Raw Atomic Data (Pro)'!E674</f>
        <v>workaround</v>
      </c>
      <c r="N674" s="1" t="n">
        <f aca="false">IF(OR(M674="friction",M674="need",M674="workaround"),1,0)</f>
        <v>1</v>
      </c>
      <c r="O674" s="1" t="n">
        <f aca="false">IF(COUNTIFS($K$2:K674,K674,$L$2:L674,L674,$M$2:M674,M674,$J$2:J674,J674)=1,1,0)</f>
        <v>1</v>
      </c>
      <c r="P674" s="1" t="n">
        <f aca="false">IF(AND(N674=1,S674=1,COUNTIFS($L$2:L674,L674,$J$2:J674,J674,$N$2:N674,1,$S$2:S674,1)=1),1,0)</f>
        <v>0</v>
      </c>
      <c r="Q674" s="1" t="n">
        <f aca="false">IF(AND(N674=1,S674=1,COUNTIFS($L$2:L674,L674,$K$2:K674,K674,$N$2:N674,1,$S$2:S674,1)=1),1,0)</f>
        <v>0</v>
      </c>
      <c r="R674" s="1" t="n">
        <f aca="false">IF(AND(N674=1,COUNTIFS($K$2:K674,K674,$L$2:L674,L674,$J$2:J674,J674,$N$2:N674,1)=1),1,0)</f>
        <v>0</v>
      </c>
      <c r="S674" s="1" t="n">
        <f aca="false">IF(AND(K674&lt;&gt;"Context and provider model",K674&lt;&gt;"Motivation"),1,0)</f>
        <v>1</v>
      </c>
    </row>
    <row r="675" customFormat="false" ht="15" hidden="false" customHeight="true" outlineLevel="0" collapsed="false">
      <c r="J675" s="1" t="str">
        <f aca="false">'Raw Atomic Data (Pro)'!A675</f>
        <v>Tifany</v>
      </c>
      <c r="K675" s="1" t="str">
        <f aca="false">'Raw Atomic Data (Pro)'!C675</f>
        <v>Completion and feedback</v>
      </c>
      <c r="L675" s="1" t="str">
        <f aca="false">'Raw Atomic Data (Pro)'!D675</f>
        <v>repeat-client-relationships</v>
      </c>
      <c r="M675" s="1" t="str">
        <f aca="false">'Raw Atomic Data (Pro)'!E675</f>
        <v>fact</v>
      </c>
      <c r="N675" s="1" t="n">
        <f aca="false">IF(OR(M675="friction",M675="need",M675="workaround"),1,0)</f>
        <v>0</v>
      </c>
      <c r="O675" s="1" t="n">
        <f aca="false">IF(COUNTIFS($K$2:K675,K675,$L$2:L675,L675,$M$2:M675,M675,$J$2:J675,J675)=1,1,0)</f>
        <v>1</v>
      </c>
      <c r="P675" s="1" t="n">
        <f aca="false">IF(AND(N675=1,S675=1,COUNTIFS($L$2:L675,L675,$J$2:J675,J675,$N$2:N675,1,$S$2:S675,1)=1),1,0)</f>
        <v>0</v>
      </c>
      <c r="Q675" s="1" t="n">
        <f aca="false">IF(AND(N675=1,S675=1,COUNTIFS($L$2:L675,L675,$K$2:K675,K675,$N$2:N675,1,$S$2:S675,1)=1),1,0)</f>
        <v>0</v>
      </c>
      <c r="R675" s="1" t="n">
        <f aca="false">IF(AND(N675=1,COUNTIFS($K$2:K675,K675,$L$2:L675,L675,$J$2:J675,J675,$N$2:N675,1)=1),1,0)</f>
        <v>0</v>
      </c>
      <c r="S675" s="1" t="n">
        <f aca="false">IF(AND(K675&lt;&gt;"Context and provider model",K675&lt;&gt;"Motivation"),1,0)</f>
        <v>1</v>
      </c>
    </row>
    <row r="676" customFormat="false" ht="15" hidden="false" customHeight="true" outlineLevel="0" collapsed="false">
      <c r="J676" s="1" t="str">
        <f aca="false">'Raw Atomic Data (Pro)'!A676</f>
        <v>Tifany</v>
      </c>
      <c r="K676" s="1" t="str">
        <f aca="false">'Raw Atomic Data (Pro)'!C676</f>
        <v>Completion and feedback</v>
      </c>
      <c r="L676" s="1" t="str">
        <f aca="false">'Raw Atomic Data (Pro)'!D676</f>
        <v>repeat-client-relationships</v>
      </c>
      <c r="M676" s="1" t="str">
        <f aca="false">'Raw Atomic Data (Pro)'!E676</f>
        <v>fact</v>
      </c>
      <c r="N676" s="1" t="n">
        <f aca="false">IF(OR(M676="friction",M676="need",M676="workaround"),1,0)</f>
        <v>0</v>
      </c>
      <c r="O676" s="1" t="n">
        <f aca="false">IF(COUNTIFS($K$2:K676,K676,$L$2:L676,L676,$M$2:M676,M676,$J$2:J676,J676)=1,1,0)</f>
        <v>0</v>
      </c>
      <c r="P676" s="1" t="n">
        <f aca="false">IF(AND(N676=1,S676=1,COUNTIFS($L$2:L676,L676,$J$2:J676,J676,$N$2:N676,1,$S$2:S676,1)=1),1,0)</f>
        <v>0</v>
      </c>
      <c r="Q676" s="1" t="n">
        <f aca="false">IF(AND(N676=1,S676=1,COUNTIFS($L$2:L676,L676,$K$2:K676,K676,$N$2:N676,1,$S$2:S676,1)=1),1,0)</f>
        <v>0</v>
      </c>
      <c r="R676" s="1" t="n">
        <f aca="false">IF(AND(N676=1,COUNTIFS($K$2:K676,K676,$L$2:L676,L676,$J$2:J676,J676,$N$2:N676,1)=1),1,0)</f>
        <v>0</v>
      </c>
      <c r="S676" s="1" t="n">
        <f aca="false">IF(AND(K676&lt;&gt;"Context and provider model",K676&lt;&gt;"Motivation"),1,0)</f>
        <v>1</v>
      </c>
    </row>
    <row r="677" customFormat="false" ht="15" hidden="false" customHeight="true" outlineLevel="0" collapsed="false">
      <c r="J677" s="1" t="str">
        <f aca="false">'Raw Atomic Data (Pro)'!A677</f>
        <v>Tifany</v>
      </c>
      <c r="K677" s="1" t="str">
        <f aca="false">'Raw Atomic Data (Pro)'!C677</f>
        <v>Completion and feedback</v>
      </c>
      <c r="L677" s="1" t="str">
        <f aca="false">'Raw Atomic Data (Pro)'!D677</f>
        <v>repeat-client-relationships</v>
      </c>
      <c r="M677" s="1" t="str">
        <f aca="false">'Raw Atomic Data (Pro)'!E677</f>
        <v>fact</v>
      </c>
      <c r="N677" s="1" t="n">
        <f aca="false">IF(OR(M677="friction",M677="need",M677="workaround"),1,0)</f>
        <v>0</v>
      </c>
      <c r="O677" s="1" t="n">
        <f aca="false">IF(COUNTIFS($K$2:K677,K677,$L$2:L677,L677,$M$2:M677,M677,$J$2:J677,J677)=1,1,0)</f>
        <v>0</v>
      </c>
      <c r="P677" s="1" t="n">
        <f aca="false">IF(AND(N677=1,S677=1,COUNTIFS($L$2:L677,L677,$J$2:J677,J677,$N$2:N677,1,$S$2:S677,1)=1),1,0)</f>
        <v>0</v>
      </c>
      <c r="Q677" s="1" t="n">
        <f aca="false">IF(AND(N677=1,S677=1,COUNTIFS($L$2:L677,L677,$K$2:K677,K677,$N$2:N677,1,$S$2:S677,1)=1),1,0)</f>
        <v>0</v>
      </c>
      <c r="R677" s="1" t="n">
        <f aca="false">IF(AND(N677=1,COUNTIFS($K$2:K677,K677,$L$2:L677,L677,$J$2:J677,J677,$N$2:N677,1)=1),1,0)</f>
        <v>0</v>
      </c>
      <c r="S677" s="1" t="n">
        <f aca="false">IF(AND(K677&lt;&gt;"Context and provider model",K677&lt;&gt;"Motivation"),1,0)</f>
        <v>1</v>
      </c>
    </row>
    <row r="678" customFormat="false" ht="15" hidden="false" customHeight="true" outlineLevel="0" collapsed="false">
      <c r="J678" s="1" t="str">
        <f aca="false">'Raw Atomic Data (Pro)'!A678</f>
        <v>Ami</v>
      </c>
      <c r="K678" s="1" t="str">
        <f aca="false">'Raw Atomic Data (Pro)'!C678</f>
        <v>Payments and earnings</v>
      </c>
      <c r="L678" s="1" t="str">
        <f aca="false">'Raw Atomic Data (Pro)'!D678</f>
        <v>booking-confirmation-mechanics</v>
      </c>
      <c r="M678" s="1" t="str">
        <f aca="false">'Raw Atomic Data (Pro)'!E678</f>
        <v>fact</v>
      </c>
      <c r="N678" s="1" t="n">
        <f aca="false">IF(OR(M678="friction",M678="need",M678="workaround"),1,0)</f>
        <v>0</v>
      </c>
      <c r="O678" s="1" t="n">
        <f aca="false">IF(COUNTIFS($K$2:K678,K678,$L$2:L678,L678,$M$2:M678,M678,$J$2:J678,J678)=1,1,0)</f>
        <v>1</v>
      </c>
      <c r="P678" s="1" t="n">
        <f aca="false">IF(AND(N678=1,S678=1,COUNTIFS($L$2:L678,L678,$J$2:J678,J678,$N$2:N678,1,$S$2:S678,1)=1),1,0)</f>
        <v>0</v>
      </c>
      <c r="Q678" s="1" t="n">
        <f aca="false">IF(AND(N678=1,S678=1,COUNTIFS($L$2:L678,L678,$K$2:K678,K678,$N$2:N678,1,$S$2:S678,1)=1),1,0)</f>
        <v>0</v>
      </c>
      <c r="R678" s="1" t="n">
        <f aca="false">IF(AND(N678=1,COUNTIFS($K$2:K678,K678,$L$2:L678,L678,$J$2:J678,J678,$N$2:N678,1)=1),1,0)</f>
        <v>0</v>
      </c>
      <c r="S678" s="1" t="n">
        <f aca="false">IF(AND(K678&lt;&gt;"Context and provider model",K678&lt;&gt;"Motivation"),1,0)</f>
        <v>1</v>
      </c>
    </row>
    <row r="679" customFormat="false" ht="15" hidden="false" customHeight="true" outlineLevel="0" collapsed="false">
      <c r="J679" s="1" t="str">
        <f aca="false">'Raw Atomic Data (Pro)'!A679</f>
        <v>Ami</v>
      </c>
      <c r="K679" s="1" t="str">
        <f aca="false">'Raw Atomic Data (Pro)'!C679</f>
        <v>Payments and earnings</v>
      </c>
      <c r="L679" s="1" t="str">
        <f aca="false">'Raw Atomic Data (Pro)'!D679</f>
        <v>pricing-rate-setting</v>
      </c>
      <c r="M679" s="1" t="str">
        <f aca="false">'Raw Atomic Data (Pro)'!E679</f>
        <v>fact</v>
      </c>
      <c r="N679" s="1" t="n">
        <f aca="false">IF(OR(M679="friction",M679="need",M679="workaround"),1,0)</f>
        <v>0</v>
      </c>
      <c r="O679" s="1" t="n">
        <f aca="false">IF(COUNTIFS($K$2:K679,K679,$L$2:L679,L679,$M$2:M679,M679,$J$2:J679,J679)=1,1,0)</f>
        <v>1</v>
      </c>
      <c r="P679" s="1" t="n">
        <f aca="false">IF(AND(N679=1,S679=1,COUNTIFS($L$2:L679,L679,$J$2:J679,J679,$N$2:N679,1,$S$2:S679,1)=1),1,0)</f>
        <v>0</v>
      </c>
      <c r="Q679" s="1" t="n">
        <f aca="false">IF(AND(N679=1,S679=1,COUNTIFS($L$2:L679,L679,$K$2:K679,K679,$N$2:N679,1,$S$2:S679,1)=1),1,0)</f>
        <v>0</v>
      </c>
      <c r="R679" s="1" t="n">
        <f aca="false">IF(AND(N679=1,COUNTIFS($K$2:K679,K679,$L$2:L679,L679,$J$2:J679,J679,$N$2:N679,1)=1),1,0)</f>
        <v>0</v>
      </c>
      <c r="S679" s="1" t="n">
        <f aca="false">IF(AND(K679&lt;&gt;"Context and provider model",K679&lt;&gt;"Motivation"),1,0)</f>
        <v>1</v>
      </c>
    </row>
    <row r="680" customFormat="false" ht="15" hidden="false" customHeight="true" outlineLevel="0" collapsed="false">
      <c r="J680" s="1" t="str">
        <f aca="false">'Raw Atomic Data (Pro)'!A680</f>
        <v>Ami</v>
      </c>
      <c r="K680" s="1" t="str">
        <f aca="false">'Raw Atomic Data (Pro)'!C680</f>
        <v>Payments and earnings</v>
      </c>
      <c r="L680" s="1" t="str">
        <f aca="false">'Raw Atomic Data (Pro)'!D680</f>
        <v>pricing-rate-setting</v>
      </c>
      <c r="M680" s="1" t="str">
        <f aca="false">'Raw Atomic Data (Pro)'!E680</f>
        <v>fact</v>
      </c>
      <c r="N680" s="1" t="n">
        <f aca="false">IF(OR(M680="friction",M680="need",M680="workaround"),1,0)</f>
        <v>0</v>
      </c>
      <c r="O680" s="1" t="n">
        <f aca="false">IF(COUNTIFS($K$2:K680,K680,$L$2:L680,L680,$M$2:M680,M680,$J$2:J680,J680)=1,1,0)</f>
        <v>0</v>
      </c>
      <c r="P680" s="1" t="n">
        <f aca="false">IF(AND(N680=1,S680=1,COUNTIFS($L$2:L680,L680,$J$2:J680,J680,$N$2:N680,1,$S$2:S680,1)=1),1,0)</f>
        <v>0</v>
      </c>
      <c r="Q680" s="1" t="n">
        <f aca="false">IF(AND(N680=1,S680=1,COUNTIFS($L$2:L680,L680,$K$2:K680,K680,$N$2:N680,1,$S$2:S680,1)=1),1,0)</f>
        <v>0</v>
      </c>
      <c r="R680" s="1" t="n">
        <f aca="false">IF(AND(N680=1,COUNTIFS($K$2:K680,K680,$L$2:L680,L680,$J$2:J680,J680,$N$2:N680,1)=1),1,0)</f>
        <v>0</v>
      </c>
      <c r="S680" s="1" t="n">
        <f aca="false">IF(AND(K680&lt;&gt;"Context and provider model",K680&lt;&gt;"Motivation"),1,0)</f>
        <v>1</v>
      </c>
    </row>
    <row r="681" customFormat="false" ht="15" hidden="false" customHeight="true" outlineLevel="0" collapsed="false">
      <c r="J681" s="1" t="str">
        <f aca="false">'Raw Atomic Data (Pro)'!A681</f>
        <v>Ami</v>
      </c>
      <c r="K681" s="1" t="str">
        <f aca="false">'Raw Atomic Data (Pro)'!C681</f>
        <v>Payments and earnings</v>
      </c>
      <c r="L681" s="1" t="str">
        <f aca="false">'Raw Atomic Data (Pro)'!D681</f>
        <v>pricing-rate-setting</v>
      </c>
      <c r="M681" s="1" t="str">
        <f aca="false">'Raw Atomic Data (Pro)'!E681</f>
        <v>fact</v>
      </c>
      <c r="N681" s="1" t="n">
        <f aca="false">IF(OR(M681="friction",M681="need",M681="workaround"),1,0)</f>
        <v>0</v>
      </c>
      <c r="O681" s="1" t="n">
        <f aca="false">IF(COUNTIFS($K$2:K681,K681,$L$2:L681,L681,$M$2:M681,M681,$J$2:J681,J681)=1,1,0)</f>
        <v>0</v>
      </c>
      <c r="P681" s="1" t="n">
        <f aca="false">IF(AND(N681=1,S681=1,COUNTIFS($L$2:L681,L681,$J$2:J681,J681,$N$2:N681,1,$S$2:S681,1)=1),1,0)</f>
        <v>0</v>
      </c>
      <c r="Q681" s="1" t="n">
        <f aca="false">IF(AND(N681=1,S681=1,COUNTIFS($L$2:L681,L681,$K$2:K681,K681,$N$2:N681,1,$S$2:S681,1)=1),1,0)</f>
        <v>0</v>
      </c>
      <c r="R681" s="1" t="n">
        <f aca="false">IF(AND(N681=1,COUNTIFS($K$2:K681,K681,$L$2:L681,L681,$J$2:J681,J681,$N$2:N681,1)=1),1,0)</f>
        <v>0</v>
      </c>
      <c r="S681" s="1" t="n">
        <f aca="false">IF(AND(K681&lt;&gt;"Context and provider model",K681&lt;&gt;"Motivation"),1,0)</f>
        <v>1</v>
      </c>
    </row>
    <row r="682" customFormat="false" ht="15" hidden="false" customHeight="true" outlineLevel="0" collapsed="false">
      <c r="J682" s="1" t="str">
        <f aca="false">'Raw Atomic Data (Pro)'!A682</f>
        <v>Ami</v>
      </c>
      <c r="K682" s="1" t="str">
        <f aca="false">'Raw Atomic Data (Pro)'!C682</f>
        <v>Payments and earnings</v>
      </c>
      <c r="L682" s="1" t="str">
        <f aca="false">'Raw Atomic Data (Pro)'!D682</f>
        <v>fee-commission-structure</v>
      </c>
      <c r="M682" s="1" t="str">
        <f aca="false">'Raw Atomic Data (Pro)'!E682</f>
        <v>value-statement</v>
      </c>
      <c r="N682" s="1" t="n">
        <f aca="false">IF(OR(M682="friction",M682="need",M682="workaround"),1,0)</f>
        <v>0</v>
      </c>
      <c r="O682" s="1" t="n">
        <f aca="false">IF(COUNTIFS($K$2:K682,K682,$L$2:L682,L682,$M$2:M682,M682,$J$2:J682,J682)=1,1,0)</f>
        <v>1</v>
      </c>
      <c r="P682" s="1" t="n">
        <f aca="false">IF(AND(N682=1,S682=1,COUNTIFS($L$2:L682,L682,$J$2:J682,J682,$N$2:N682,1,$S$2:S682,1)=1),1,0)</f>
        <v>0</v>
      </c>
      <c r="Q682" s="1" t="n">
        <f aca="false">IF(AND(N682=1,S682=1,COUNTIFS($L$2:L682,L682,$K$2:K682,K682,$N$2:N682,1,$S$2:S682,1)=1),1,0)</f>
        <v>0</v>
      </c>
      <c r="R682" s="1" t="n">
        <f aca="false">IF(AND(N682=1,COUNTIFS($K$2:K682,K682,$L$2:L682,L682,$J$2:J682,J682,$N$2:N682,1)=1),1,0)</f>
        <v>0</v>
      </c>
      <c r="S682" s="1" t="n">
        <f aca="false">IF(AND(K682&lt;&gt;"Context and provider model",K682&lt;&gt;"Motivation"),1,0)</f>
        <v>1</v>
      </c>
    </row>
    <row r="683" customFormat="false" ht="15" hidden="false" customHeight="true" outlineLevel="0" collapsed="false">
      <c r="J683" s="1" t="str">
        <f aca="false">'Raw Atomic Data (Pro)'!A683</f>
        <v>Ami</v>
      </c>
      <c r="K683" s="1" t="str">
        <f aca="false">'Raw Atomic Data (Pro)'!C683</f>
        <v>Payments and earnings</v>
      </c>
      <c r="L683" s="1" t="str">
        <f aca="false">'Raw Atomic Data (Pro)'!D683</f>
        <v>fee-commission-structure</v>
      </c>
      <c r="M683" s="1" t="str">
        <f aca="false">'Raw Atomic Data (Pro)'!E683</f>
        <v>value-statement</v>
      </c>
      <c r="N683" s="1" t="n">
        <f aca="false">IF(OR(M683="friction",M683="need",M683="workaround"),1,0)</f>
        <v>0</v>
      </c>
      <c r="O683" s="1" t="n">
        <f aca="false">IF(COUNTIFS($K$2:K683,K683,$L$2:L683,L683,$M$2:M683,M683,$J$2:J683,J683)=1,1,0)</f>
        <v>0</v>
      </c>
      <c r="P683" s="1" t="n">
        <f aca="false">IF(AND(N683=1,S683=1,COUNTIFS($L$2:L683,L683,$J$2:J683,J683,$N$2:N683,1,$S$2:S683,1)=1),1,0)</f>
        <v>0</v>
      </c>
      <c r="Q683" s="1" t="n">
        <f aca="false">IF(AND(N683=1,S683=1,COUNTIFS($L$2:L683,L683,$K$2:K683,K683,$N$2:N683,1,$S$2:S683,1)=1),1,0)</f>
        <v>0</v>
      </c>
      <c r="R683" s="1" t="n">
        <f aca="false">IF(AND(N683=1,COUNTIFS($K$2:K683,K683,$L$2:L683,L683,$J$2:J683,J683,$N$2:N683,1)=1),1,0)</f>
        <v>0</v>
      </c>
      <c r="S683" s="1" t="n">
        <f aca="false">IF(AND(K683&lt;&gt;"Context and provider model",K683&lt;&gt;"Motivation"),1,0)</f>
        <v>1</v>
      </c>
    </row>
    <row r="684" customFormat="false" ht="15" hidden="false" customHeight="true" outlineLevel="0" collapsed="false">
      <c r="J684" s="1" t="str">
        <f aca="false">'Raw Atomic Data (Pro)'!A684</f>
        <v>Ami</v>
      </c>
      <c r="K684" s="1" t="str">
        <f aca="false">'Raw Atomic Data (Pro)'!C684</f>
        <v>Payments and earnings</v>
      </c>
      <c r="L684" s="1" t="str">
        <f aca="false">'Raw Atomic Data (Pro)'!D684</f>
        <v>tipping</v>
      </c>
      <c r="M684" s="1" t="str">
        <f aca="false">'Raw Atomic Data (Pro)'!E684</f>
        <v>fact</v>
      </c>
      <c r="N684" s="1" t="n">
        <f aca="false">IF(OR(M684="friction",M684="need",M684="workaround"),1,0)</f>
        <v>0</v>
      </c>
      <c r="O684" s="1" t="n">
        <f aca="false">IF(COUNTIFS($K$2:K684,K684,$L$2:L684,L684,$M$2:M684,M684,$J$2:J684,J684)=1,1,0)</f>
        <v>1</v>
      </c>
      <c r="P684" s="1" t="n">
        <f aca="false">IF(AND(N684=1,S684=1,COUNTIFS($L$2:L684,L684,$J$2:J684,J684,$N$2:N684,1,$S$2:S684,1)=1),1,0)</f>
        <v>0</v>
      </c>
      <c r="Q684" s="1" t="n">
        <f aca="false">IF(AND(N684=1,S684=1,COUNTIFS($L$2:L684,L684,$K$2:K684,K684,$N$2:N684,1,$S$2:S684,1)=1),1,0)</f>
        <v>0</v>
      </c>
      <c r="R684" s="1" t="n">
        <f aca="false">IF(AND(N684=1,COUNTIFS($K$2:K684,K684,$L$2:L684,L684,$J$2:J684,J684,$N$2:N684,1)=1),1,0)</f>
        <v>0</v>
      </c>
      <c r="S684" s="1" t="n">
        <f aca="false">IF(AND(K684&lt;&gt;"Context and provider model",K684&lt;&gt;"Motivation"),1,0)</f>
        <v>1</v>
      </c>
    </row>
    <row r="685" customFormat="false" ht="15" hidden="false" customHeight="true" outlineLevel="0" collapsed="false">
      <c r="J685" s="1" t="str">
        <f aca="false">'Raw Atomic Data (Pro)'!A685</f>
        <v>Andrew</v>
      </c>
      <c r="K685" s="1" t="str">
        <f aca="false">'Raw Atomic Data (Pro)'!C685</f>
        <v>Payments and earnings</v>
      </c>
      <c r="L685" s="1" t="str">
        <f aca="false">'Raw Atomic Data (Pro)'!D685</f>
        <v>fee-commission-structure</v>
      </c>
      <c r="M685" s="1" t="str">
        <f aca="false">'Raw Atomic Data (Pro)'!E685</f>
        <v>value-statement</v>
      </c>
      <c r="N685" s="1" t="n">
        <f aca="false">IF(OR(M685="friction",M685="need",M685="workaround"),1,0)</f>
        <v>0</v>
      </c>
      <c r="O685" s="1" t="n">
        <f aca="false">IF(COUNTIFS($K$2:K685,K685,$L$2:L685,L685,$M$2:M685,M685,$J$2:J685,J685)=1,1,0)</f>
        <v>1</v>
      </c>
      <c r="P685" s="1" t="n">
        <f aca="false">IF(AND(N685=1,S685=1,COUNTIFS($L$2:L685,L685,$J$2:J685,J685,$N$2:N685,1,$S$2:S685,1)=1),1,0)</f>
        <v>0</v>
      </c>
      <c r="Q685" s="1" t="n">
        <f aca="false">IF(AND(N685=1,S685=1,COUNTIFS($L$2:L685,L685,$K$2:K685,K685,$N$2:N685,1,$S$2:S685,1)=1),1,0)</f>
        <v>0</v>
      </c>
      <c r="R685" s="1" t="n">
        <f aca="false">IF(AND(N685=1,COUNTIFS($K$2:K685,K685,$L$2:L685,L685,$J$2:J685,J685,$N$2:N685,1)=1),1,0)</f>
        <v>0</v>
      </c>
      <c r="S685" s="1" t="n">
        <f aca="false">IF(AND(K685&lt;&gt;"Context and provider model",K685&lt;&gt;"Motivation"),1,0)</f>
        <v>1</v>
      </c>
    </row>
    <row r="686" customFormat="false" ht="15" hidden="false" customHeight="true" outlineLevel="0" collapsed="false">
      <c r="J686" s="1" t="str">
        <f aca="false">'Raw Atomic Data (Pro)'!A686</f>
        <v>Andrew</v>
      </c>
      <c r="K686" s="1" t="str">
        <f aca="false">'Raw Atomic Data (Pro)'!C686</f>
        <v>Payments and earnings</v>
      </c>
      <c r="L686" s="1" t="str">
        <f aca="false">'Raw Atomic Data (Pro)'!D686</f>
        <v>pricing-rate-setting</v>
      </c>
      <c r="M686" s="1" t="str">
        <f aca="false">'Raw Atomic Data (Pro)'!E686</f>
        <v>workaround</v>
      </c>
      <c r="N686" s="1" t="n">
        <f aca="false">IF(OR(M686="friction",M686="need",M686="workaround"),1,0)</f>
        <v>1</v>
      </c>
      <c r="O686" s="1" t="n">
        <f aca="false">IF(COUNTIFS($K$2:K686,K686,$L$2:L686,L686,$M$2:M686,M686,$J$2:J686,J686)=1,1,0)</f>
        <v>1</v>
      </c>
      <c r="P686" s="1" t="n">
        <f aca="false">IF(AND(N686=1,S686=1,COUNTIFS($L$2:L686,L686,$J$2:J686,J686,$N$2:N686,1,$S$2:S686,1)=1),1,0)</f>
        <v>1</v>
      </c>
      <c r="Q686" s="1" t="n">
        <f aca="false">IF(AND(N686=1,S686=1,COUNTIFS($L$2:L686,L686,$K$2:K686,K686,$N$2:N686,1,$S$2:S686,1)=1),1,0)</f>
        <v>1</v>
      </c>
      <c r="R686" s="1" t="n">
        <f aca="false">IF(AND(N686=1,COUNTIFS($K$2:K686,K686,$L$2:L686,L686,$J$2:J686,J686,$N$2:N686,1)=1),1,0)</f>
        <v>1</v>
      </c>
      <c r="S686" s="1" t="n">
        <f aca="false">IF(AND(K686&lt;&gt;"Context and provider model",K686&lt;&gt;"Motivation"),1,0)</f>
        <v>1</v>
      </c>
    </row>
    <row r="687" customFormat="false" ht="15" hidden="false" customHeight="true" outlineLevel="0" collapsed="false">
      <c r="J687" s="1" t="str">
        <f aca="false">'Raw Atomic Data (Pro)'!A687</f>
        <v>Andrew</v>
      </c>
      <c r="K687" s="1" t="str">
        <f aca="false">'Raw Atomic Data (Pro)'!C687</f>
        <v>Payments and earnings</v>
      </c>
      <c r="L687" s="1" t="str">
        <f aca="false">'Raw Atomic Data (Pro)'!D687</f>
        <v>pricing-rate-setting</v>
      </c>
      <c r="M687" s="1" t="str">
        <f aca="false">'Raw Atomic Data (Pro)'!E687</f>
        <v>fact</v>
      </c>
      <c r="N687" s="1" t="n">
        <f aca="false">IF(OR(M687="friction",M687="need",M687="workaround"),1,0)</f>
        <v>0</v>
      </c>
      <c r="O687" s="1" t="n">
        <f aca="false">IF(COUNTIFS($K$2:K687,K687,$L$2:L687,L687,$M$2:M687,M687,$J$2:J687,J687)=1,1,0)</f>
        <v>1</v>
      </c>
      <c r="P687" s="1" t="n">
        <f aca="false">IF(AND(N687=1,S687=1,COUNTIFS($L$2:L687,L687,$J$2:J687,J687,$N$2:N687,1,$S$2:S687,1)=1),1,0)</f>
        <v>0</v>
      </c>
      <c r="Q687" s="1" t="n">
        <f aca="false">IF(AND(N687=1,S687=1,COUNTIFS($L$2:L687,L687,$K$2:K687,K687,$N$2:N687,1,$S$2:S687,1)=1),1,0)</f>
        <v>0</v>
      </c>
      <c r="R687" s="1" t="n">
        <f aca="false">IF(AND(N687=1,COUNTIFS($K$2:K687,K687,$L$2:L687,L687,$J$2:J687,J687,$N$2:N687,1)=1),1,0)</f>
        <v>0</v>
      </c>
      <c r="S687" s="1" t="n">
        <f aca="false">IF(AND(K687&lt;&gt;"Context and provider model",K687&lt;&gt;"Motivation"),1,0)</f>
        <v>1</v>
      </c>
    </row>
    <row r="688" customFormat="false" ht="15" hidden="false" customHeight="true" outlineLevel="0" collapsed="false">
      <c r="J688" s="1" t="str">
        <f aca="false">'Raw Atomic Data (Pro)'!A688</f>
        <v>Andrew</v>
      </c>
      <c r="K688" s="1" t="str">
        <f aca="false">'Raw Atomic Data (Pro)'!C688</f>
        <v>Payments and earnings</v>
      </c>
      <c r="L688" s="1" t="str">
        <f aca="false">'Raw Atomic Data (Pro)'!D688</f>
        <v>booking-confirmation-mechanics</v>
      </c>
      <c r="M688" s="1" t="str">
        <f aca="false">'Raw Atomic Data (Pro)'!E688</f>
        <v>friction</v>
      </c>
      <c r="N688" s="1" t="n">
        <f aca="false">IF(OR(M688="friction",M688="need",M688="workaround"),1,0)</f>
        <v>1</v>
      </c>
      <c r="O688" s="1" t="n">
        <f aca="false">IF(COUNTIFS($K$2:K688,K688,$L$2:L688,L688,$M$2:M688,M688,$J$2:J688,J688)=1,1,0)</f>
        <v>1</v>
      </c>
      <c r="P688" s="1" t="n">
        <f aca="false">IF(AND(N688=1,S688=1,COUNTIFS($L$2:L688,L688,$J$2:J688,J688,$N$2:N688,1,$S$2:S688,1)=1),1,0)</f>
        <v>0</v>
      </c>
      <c r="Q688" s="1" t="n">
        <f aca="false">IF(AND(N688=1,S688=1,COUNTIFS($L$2:L688,L688,$K$2:K688,K688,$N$2:N688,1,$S$2:S688,1)=1),1,0)</f>
        <v>1</v>
      </c>
      <c r="R688" s="1" t="n">
        <f aca="false">IF(AND(N688=1,COUNTIFS($K$2:K688,K688,$L$2:L688,L688,$J$2:J688,J688,$N$2:N688,1)=1),1,0)</f>
        <v>1</v>
      </c>
      <c r="S688" s="1" t="n">
        <f aca="false">IF(AND(K688&lt;&gt;"Context and provider model",K688&lt;&gt;"Motivation"),1,0)</f>
        <v>1</v>
      </c>
    </row>
    <row r="689" customFormat="false" ht="15" hidden="false" customHeight="true" outlineLevel="0" collapsed="false">
      <c r="J689" s="1" t="str">
        <f aca="false">'Raw Atomic Data (Pro)'!A689</f>
        <v>Andrew</v>
      </c>
      <c r="K689" s="1" t="str">
        <f aca="false">'Raw Atomic Data (Pro)'!C689</f>
        <v>Payments and earnings</v>
      </c>
      <c r="L689" s="1" t="str">
        <f aca="false">'Raw Atomic Data (Pro)'!D689</f>
        <v>booking-confirmation-mechanics</v>
      </c>
      <c r="M689" s="1" t="str">
        <f aca="false">'Raw Atomic Data (Pro)'!E689</f>
        <v>workaround</v>
      </c>
      <c r="N689" s="1" t="n">
        <f aca="false">IF(OR(M689="friction",M689="need",M689="workaround"),1,0)</f>
        <v>1</v>
      </c>
      <c r="O689" s="1" t="n">
        <f aca="false">IF(COUNTIFS($K$2:K689,K689,$L$2:L689,L689,$M$2:M689,M689,$J$2:J689,J689)=1,1,0)</f>
        <v>1</v>
      </c>
      <c r="P689" s="1" t="n">
        <f aca="false">IF(AND(N689=1,S689=1,COUNTIFS($L$2:L689,L689,$J$2:J689,J689,$N$2:N689,1,$S$2:S689,1)=1),1,0)</f>
        <v>0</v>
      </c>
      <c r="Q689" s="1" t="n">
        <f aca="false">IF(AND(N689=1,S689=1,COUNTIFS($L$2:L689,L689,$K$2:K689,K689,$N$2:N689,1,$S$2:S689,1)=1),1,0)</f>
        <v>0</v>
      </c>
      <c r="R689" s="1" t="n">
        <f aca="false">IF(AND(N689=1,COUNTIFS($K$2:K689,K689,$L$2:L689,L689,$J$2:J689,J689,$N$2:N689,1)=1),1,0)</f>
        <v>0</v>
      </c>
      <c r="S689" s="1" t="n">
        <f aca="false">IF(AND(K689&lt;&gt;"Context and provider model",K689&lt;&gt;"Motivation"),1,0)</f>
        <v>1</v>
      </c>
    </row>
    <row r="690" customFormat="false" ht="15" hidden="false" customHeight="true" outlineLevel="0" collapsed="false">
      <c r="J690" s="1" t="str">
        <f aca="false">'Raw Atomic Data (Pro)'!A690</f>
        <v>Andrew</v>
      </c>
      <c r="K690" s="1" t="str">
        <f aca="false">'Raw Atomic Data (Pro)'!C690</f>
        <v>Payments and earnings</v>
      </c>
      <c r="L690" s="1" t="str">
        <f aca="false">'Raw Atomic Data (Pro)'!D690</f>
        <v>payout-timing-tracking</v>
      </c>
      <c r="M690" s="1" t="str">
        <f aca="false">'Raw Atomic Data (Pro)'!E690</f>
        <v>fact</v>
      </c>
      <c r="N690" s="1" t="n">
        <f aca="false">IF(OR(M690="friction",M690="need",M690="workaround"),1,0)</f>
        <v>0</v>
      </c>
      <c r="O690" s="1" t="n">
        <f aca="false">IF(COUNTIFS($K$2:K690,K690,$L$2:L690,L690,$M$2:M690,M690,$J$2:J690,J690)=1,1,0)</f>
        <v>1</v>
      </c>
      <c r="P690" s="1" t="n">
        <f aca="false">IF(AND(N690=1,S690=1,COUNTIFS($L$2:L690,L690,$J$2:J690,J690,$N$2:N690,1,$S$2:S690,1)=1),1,0)</f>
        <v>0</v>
      </c>
      <c r="Q690" s="1" t="n">
        <f aca="false">IF(AND(N690=1,S690=1,COUNTIFS($L$2:L690,L690,$K$2:K690,K690,$N$2:N690,1,$S$2:S690,1)=1),1,0)</f>
        <v>0</v>
      </c>
      <c r="R690" s="1" t="n">
        <f aca="false">IF(AND(N690=1,COUNTIFS($K$2:K690,K690,$L$2:L690,L690,$J$2:J690,J690,$N$2:N690,1)=1),1,0)</f>
        <v>0</v>
      </c>
      <c r="S690" s="1" t="n">
        <f aca="false">IF(AND(K690&lt;&gt;"Context and provider model",K690&lt;&gt;"Motivation"),1,0)</f>
        <v>1</v>
      </c>
    </row>
    <row r="691" customFormat="false" ht="15" hidden="false" customHeight="true" outlineLevel="0" collapsed="false">
      <c r="J691" s="1" t="str">
        <f aca="false">'Raw Atomic Data (Pro)'!A691</f>
        <v>Andrew</v>
      </c>
      <c r="K691" s="1" t="str">
        <f aca="false">'Raw Atomic Data (Pro)'!C691</f>
        <v>Payments and earnings</v>
      </c>
      <c r="L691" s="1" t="str">
        <f aca="false">'Raw Atomic Data (Pro)'!D691</f>
        <v>payout-timing-tracking</v>
      </c>
      <c r="M691" s="1" t="str">
        <f aca="false">'Raw Atomic Data (Pro)'!E691</f>
        <v>value-statement</v>
      </c>
      <c r="N691" s="1" t="n">
        <f aca="false">IF(OR(M691="friction",M691="need",M691="workaround"),1,0)</f>
        <v>0</v>
      </c>
      <c r="O691" s="1" t="n">
        <f aca="false">IF(COUNTIFS($K$2:K691,K691,$L$2:L691,L691,$M$2:M691,M691,$J$2:J691,J691)=1,1,0)</f>
        <v>1</v>
      </c>
      <c r="P691" s="1" t="n">
        <f aca="false">IF(AND(N691=1,S691=1,COUNTIFS($L$2:L691,L691,$J$2:J691,J691,$N$2:N691,1,$S$2:S691,1)=1),1,0)</f>
        <v>0</v>
      </c>
      <c r="Q691" s="1" t="n">
        <f aca="false">IF(AND(N691=1,S691=1,COUNTIFS($L$2:L691,L691,$K$2:K691,K691,$N$2:N691,1,$S$2:S691,1)=1),1,0)</f>
        <v>0</v>
      </c>
      <c r="R691" s="1" t="n">
        <f aca="false">IF(AND(N691=1,COUNTIFS($K$2:K691,K691,$L$2:L691,L691,$J$2:J691,J691,$N$2:N691,1)=1),1,0)</f>
        <v>0</v>
      </c>
      <c r="S691" s="1" t="n">
        <f aca="false">IF(AND(K691&lt;&gt;"Context and provider model",K691&lt;&gt;"Motivation"),1,0)</f>
        <v>1</v>
      </c>
    </row>
    <row r="692" customFormat="false" ht="15" hidden="false" customHeight="true" outlineLevel="0" collapsed="false">
      <c r="J692" s="1" t="str">
        <f aca="false">'Raw Atomic Data (Pro)'!A692</f>
        <v>Andrew</v>
      </c>
      <c r="K692" s="1" t="str">
        <f aca="false">'Raw Atomic Data (Pro)'!C692</f>
        <v>Payments and earnings</v>
      </c>
      <c r="L692" s="1" t="str">
        <f aca="false">'Raw Atomic Data (Pro)'!D692</f>
        <v>payout-timing-tracking</v>
      </c>
      <c r="M692" s="1" t="str">
        <f aca="false">'Raw Atomic Data (Pro)'!E692</f>
        <v>need</v>
      </c>
      <c r="N692" s="1" t="n">
        <f aca="false">IF(OR(M692="friction",M692="need",M692="workaround"),1,0)</f>
        <v>1</v>
      </c>
      <c r="O692" s="1" t="n">
        <f aca="false">IF(COUNTIFS($K$2:K692,K692,$L$2:L692,L692,$M$2:M692,M692,$J$2:J692,J692)=1,1,0)</f>
        <v>1</v>
      </c>
      <c r="P692" s="1" t="n">
        <f aca="false">IF(AND(N692=1,S692=1,COUNTIFS($L$2:L692,L692,$J$2:J692,J692,$N$2:N692,1,$S$2:S692,1)=1),1,0)</f>
        <v>1</v>
      </c>
      <c r="Q692" s="1" t="n">
        <f aca="false">IF(AND(N692=1,S692=1,COUNTIFS($L$2:L692,L692,$K$2:K692,K692,$N$2:N692,1,$S$2:S692,1)=1),1,0)</f>
        <v>1</v>
      </c>
      <c r="R692" s="1" t="n">
        <f aca="false">IF(AND(N692=1,COUNTIFS($K$2:K692,K692,$L$2:L692,L692,$J$2:J692,J692,$N$2:N692,1)=1),1,0)</f>
        <v>1</v>
      </c>
      <c r="S692" s="1" t="n">
        <f aca="false">IF(AND(K692&lt;&gt;"Context and provider model",K692&lt;&gt;"Motivation"),1,0)</f>
        <v>1</v>
      </c>
    </row>
    <row r="693" customFormat="false" ht="15" hidden="false" customHeight="true" outlineLevel="0" collapsed="false">
      <c r="J693" s="1" t="str">
        <f aca="false">'Raw Atomic Data (Pro)'!A693</f>
        <v>Andrew</v>
      </c>
      <c r="K693" s="1" t="str">
        <f aca="false">'Raw Atomic Data (Pro)'!C693</f>
        <v>Payments and earnings</v>
      </c>
      <c r="L693" s="1" t="str">
        <f aca="false">'Raw Atomic Data (Pro)'!D693</f>
        <v>booking-confirmation-mechanics</v>
      </c>
      <c r="M693" s="1" t="str">
        <f aca="false">'Raw Atomic Data (Pro)'!E693</f>
        <v>friction</v>
      </c>
      <c r="N693" s="1" t="n">
        <f aca="false">IF(OR(M693="friction",M693="need",M693="workaround"),1,0)</f>
        <v>1</v>
      </c>
      <c r="O693" s="1" t="n">
        <f aca="false">IF(COUNTIFS($K$2:K693,K693,$L$2:L693,L693,$M$2:M693,M693,$J$2:J693,J693)=1,1,0)</f>
        <v>0</v>
      </c>
      <c r="P693" s="1" t="n">
        <f aca="false">IF(AND(N693=1,S693=1,COUNTIFS($L$2:L693,L693,$J$2:J693,J693,$N$2:N693,1,$S$2:S693,1)=1),1,0)</f>
        <v>0</v>
      </c>
      <c r="Q693" s="1" t="n">
        <f aca="false">IF(AND(N693=1,S693=1,COUNTIFS($L$2:L693,L693,$K$2:K693,K693,$N$2:N693,1,$S$2:S693,1)=1),1,0)</f>
        <v>0</v>
      </c>
      <c r="R693" s="1" t="n">
        <f aca="false">IF(AND(N693=1,COUNTIFS($K$2:K693,K693,$L$2:L693,L693,$J$2:J693,J693,$N$2:N693,1)=1),1,0)</f>
        <v>0</v>
      </c>
      <c r="S693" s="1" t="n">
        <f aca="false">IF(AND(K693&lt;&gt;"Context and provider model",K693&lt;&gt;"Motivation"),1,0)</f>
        <v>1</v>
      </c>
    </row>
    <row r="694" customFormat="false" ht="15" hidden="false" customHeight="true" outlineLevel="0" collapsed="false">
      <c r="J694" s="1" t="str">
        <f aca="false">'Raw Atomic Data (Pro)'!A694</f>
        <v>Anita</v>
      </c>
      <c r="K694" s="1" t="str">
        <f aca="false">'Raw Atomic Data (Pro)'!C694</f>
        <v>Payments and earnings</v>
      </c>
      <c r="L694" s="1" t="str">
        <f aca="false">'Raw Atomic Data (Pro)'!D694</f>
        <v>fee-commission-structure</v>
      </c>
      <c r="M694" s="1" t="str">
        <f aca="false">'Raw Atomic Data (Pro)'!E694</f>
        <v>fact</v>
      </c>
      <c r="N694" s="1" t="n">
        <f aca="false">IF(OR(M694="friction",M694="need",M694="workaround"),1,0)</f>
        <v>0</v>
      </c>
      <c r="O694" s="1" t="n">
        <f aca="false">IF(COUNTIFS($K$2:K694,K694,$L$2:L694,L694,$M$2:M694,M694,$J$2:J694,J694)=1,1,0)</f>
        <v>1</v>
      </c>
      <c r="P694" s="1" t="n">
        <f aca="false">IF(AND(N694=1,S694=1,COUNTIFS($L$2:L694,L694,$J$2:J694,J694,$N$2:N694,1,$S$2:S694,1)=1),1,0)</f>
        <v>0</v>
      </c>
      <c r="Q694" s="1" t="n">
        <f aca="false">IF(AND(N694=1,S694=1,COUNTIFS($L$2:L694,L694,$K$2:K694,K694,$N$2:N694,1,$S$2:S694,1)=1),1,0)</f>
        <v>0</v>
      </c>
      <c r="R694" s="1" t="n">
        <f aca="false">IF(AND(N694=1,COUNTIFS($K$2:K694,K694,$L$2:L694,L694,$J$2:J694,J694,$N$2:N694,1)=1),1,0)</f>
        <v>0</v>
      </c>
      <c r="S694" s="1" t="n">
        <f aca="false">IF(AND(K694&lt;&gt;"Context and provider model",K694&lt;&gt;"Motivation"),1,0)</f>
        <v>1</v>
      </c>
    </row>
    <row r="695" customFormat="false" ht="15" hidden="false" customHeight="true" outlineLevel="0" collapsed="false">
      <c r="J695" s="1" t="str">
        <f aca="false">'Raw Atomic Data (Pro)'!A695</f>
        <v>Anita</v>
      </c>
      <c r="K695" s="1" t="str">
        <f aca="false">'Raw Atomic Data (Pro)'!C695</f>
        <v>Payments and earnings</v>
      </c>
      <c r="L695" s="1" t="str">
        <f aca="false">'Raw Atomic Data (Pro)'!D695</f>
        <v>fee-commission-structure</v>
      </c>
      <c r="M695" s="1" t="str">
        <f aca="false">'Raw Atomic Data (Pro)'!E695</f>
        <v>value-statement</v>
      </c>
      <c r="N695" s="1" t="n">
        <f aca="false">IF(OR(M695="friction",M695="need",M695="workaround"),1,0)</f>
        <v>0</v>
      </c>
      <c r="O695" s="1" t="n">
        <f aca="false">IF(COUNTIFS($K$2:K695,K695,$L$2:L695,L695,$M$2:M695,M695,$J$2:J695,J695)=1,1,0)</f>
        <v>1</v>
      </c>
      <c r="P695" s="1" t="n">
        <f aca="false">IF(AND(N695=1,S695=1,COUNTIFS($L$2:L695,L695,$J$2:J695,J695,$N$2:N695,1,$S$2:S695,1)=1),1,0)</f>
        <v>0</v>
      </c>
      <c r="Q695" s="1" t="n">
        <f aca="false">IF(AND(N695=1,S695=1,COUNTIFS($L$2:L695,L695,$K$2:K695,K695,$N$2:N695,1,$S$2:S695,1)=1),1,0)</f>
        <v>0</v>
      </c>
      <c r="R695" s="1" t="n">
        <f aca="false">IF(AND(N695=1,COUNTIFS($K$2:K695,K695,$L$2:L695,L695,$J$2:J695,J695,$N$2:N695,1)=1),1,0)</f>
        <v>0</v>
      </c>
      <c r="S695" s="1" t="n">
        <f aca="false">IF(AND(K695&lt;&gt;"Context and provider model",K695&lt;&gt;"Motivation"),1,0)</f>
        <v>1</v>
      </c>
    </row>
    <row r="696" customFormat="false" ht="15" hidden="false" customHeight="true" outlineLevel="0" collapsed="false">
      <c r="J696" s="1" t="str">
        <f aca="false">'Raw Atomic Data (Pro)'!A696</f>
        <v>Anita</v>
      </c>
      <c r="K696" s="1" t="str">
        <f aca="false">'Raw Atomic Data (Pro)'!C696</f>
        <v>Payments and earnings</v>
      </c>
      <c r="L696" s="1" t="str">
        <f aca="false">'Raw Atomic Data (Pro)'!D696</f>
        <v>pricing-rate-setting</v>
      </c>
      <c r="M696" s="1" t="str">
        <f aca="false">'Raw Atomic Data (Pro)'!E696</f>
        <v>fact</v>
      </c>
      <c r="N696" s="1" t="n">
        <f aca="false">IF(OR(M696="friction",M696="need",M696="workaround"),1,0)</f>
        <v>0</v>
      </c>
      <c r="O696" s="1" t="n">
        <f aca="false">IF(COUNTIFS($K$2:K696,K696,$L$2:L696,L696,$M$2:M696,M696,$J$2:J696,J696)=1,1,0)</f>
        <v>1</v>
      </c>
      <c r="P696" s="1" t="n">
        <f aca="false">IF(AND(N696=1,S696=1,COUNTIFS($L$2:L696,L696,$J$2:J696,J696,$N$2:N696,1,$S$2:S696,1)=1),1,0)</f>
        <v>0</v>
      </c>
      <c r="Q696" s="1" t="n">
        <f aca="false">IF(AND(N696=1,S696=1,COUNTIFS($L$2:L696,L696,$K$2:K696,K696,$N$2:N696,1,$S$2:S696,1)=1),1,0)</f>
        <v>0</v>
      </c>
      <c r="R696" s="1" t="n">
        <f aca="false">IF(AND(N696=1,COUNTIFS($K$2:K696,K696,$L$2:L696,L696,$J$2:J696,J696,$N$2:N696,1)=1),1,0)</f>
        <v>0</v>
      </c>
      <c r="S696" s="1" t="n">
        <f aca="false">IF(AND(K696&lt;&gt;"Context and provider model",K696&lt;&gt;"Motivation"),1,0)</f>
        <v>1</v>
      </c>
    </row>
    <row r="697" customFormat="false" ht="15" hidden="false" customHeight="true" outlineLevel="0" collapsed="false">
      <c r="J697" s="1" t="str">
        <f aca="false">'Raw Atomic Data (Pro)'!A697</f>
        <v>Anita</v>
      </c>
      <c r="K697" s="1" t="str">
        <f aca="false">'Raw Atomic Data (Pro)'!C697</f>
        <v>Payments and earnings</v>
      </c>
      <c r="L697" s="1" t="str">
        <f aca="false">'Raw Atomic Data (Pro)'!D697</f>
        <v>tipping</v>
      </c>
      <c r="M697" s="1" t="str">
        <f aca="false">'Raw Atomic Data (Pro)'!E697</f>
        <v>fact</v>
      </c>
      <c r="N697" s="1" t="n">
        <f aca="false">IF(OR(M697="friction",M697="need",M697="workaround"),1,0)</f>
        <v>0</v>
      </c>
      <c r="O697" s="1" t="n">
        <f aca="false">IF(COUNTIFS($K$2:K697,K697,$L$2:L697,L697,$M$2:M697,M697,$J$2:J697,J697)=1,1,0)</f>
        <v>1</v>
      </c>
      <c r="P697" s="1" t="n">
        <f aca="false">IF(AND(N697=1,S697=1,COUNTIFS($L$2:L697,L697,$J$2:J697,J697,$N$2:N697,1,$S$2:S697,1)=1),1,0)</f>
        <v>0</v>
      </c>
      <c r="Q697" s="1" t="n">
        <f aca="false">IF(AND(N697=1,S697=1,COUNTIFS($L$2:L697,L697,$K$2:K697,K697,$N$2:N697,1,$S$2:S697,1)=1),1,0)</f>
        <v>0</v>
      </c>
      <c r="R697" s="1" t="n">
        <f aca="false">IF(AND(N697=1,COUNTIFS($K$2:K697,K697,$L$2:L697,L697,$J$2:J697,J697,$N$2:N697,1)=1),1,0)</f>
        <v>0</v>
      </c>
      <c r="S697" s="1" t="n">
        <f aca="false">IF(AND(K697&lt;&gt;"Context and provider model",K697&lt;&gt;"Motivation"),1,0)</f>
        <v>1</v>
      </c>
    </row>
    <row r="698" customFormat="false" ht="15" hidden="false" customHeight="true" outlineLevel="0" collapsed="false">
      <c r="J698" s="1" t="str">
        <f aca="false">'Raw Atomic Data (Pro)'!A698</f>
        <v>Anita</v>
      </c>
      <c r="K698" s="1" t="str">
        <f aca="false">'Raw Atomic Data (Pro)'!C698</f>
        <v>Payments and earnings</v>
      </c>
      <c r="L698" s="1" t="str">
        <f aca="false">'Raw Atomic Data (Pro)'!D698</f>
        <v>tipping</v>
      </c>
      <c r="M698" s="1" t="str">
        <f aca="false">'Raw Atomic Data (Pro)'!E698</f>
        <v>need</v>
      </c>
      <c r="N698" s="1" t="n">
        <f aca="false">IF(OR(M698="friction",M698="need",M698="workaround"),1,0)</f>
        <v>1</v>
      </c>
      <c r="O698" s="1" t="n">
        <f aca="false">IF(COUNTIFS($K$2:K698,K698,$L$2:L698,L698,$M$2:M698,M698,$J$2:J698,J698)=1,1,0)</f>
        <v>1</v>
      </c>
      <c r="P698" s="1" t="n">
        <f aca="false">IF(AND(N698=1,S698=1,COUNTIFS($L$2:L698,L698,$J$2:J698,J698,$N$2:N698,1,$S$2:S698,1)=1),1,0)</f>
        <v>1</v>
      </c>
      <c r="Q698" s="1" t="n">
        <f aca="false">IF(AND(N698=1,S698=1,COUNTIFS($L$2:L698,L698,$K$2:K698,K698,$N$2:N698,1,$S$2:S698,1)=1),1,0)</f>
        <v>1</v>
      </c>
      <c r="R698" s="1" t="n">
        <f aca="false">IF(AND(N698=1,COUNTIFS($K$2:K698,K698,$L$2:L698,L698,$J$2:J698,J698,$N$2:N698,1)=1),1,0)</f>
        <v>1</v>
      </c>
      <c r="S698" s="1" t="n">
        <f aca="false">IF(AND(K698&lt;&gt;"Context and provider model",K698&lt;&gt;"Motivation"),1,0)</f>
        <v>1</v>
      </c>
    </row>
    <row r="699" customFormat="false" ht="15" hidden="false" customHeight="true" outlineLevel="0" collapsed="false">
      <c r="J699" s="1" t="str">
        <f aca="false">'Raw Atomic Data (Pro)'!A699</f>
        <v>Anita</v>
      </c>
      <c r="K699" s="1" t="str">
        <f aca="false">'Raw Atomic Data (Pro)'!C699</f>
        <v>Payments and earnings</v>
      </c>
      <c r="L699" s="1" t="str">
        <f aca="false">'Raw Atomic Data (Pro)'!D699</f>
        <v>pricing-rate-setting</v>
      </c>
      <c r="M699" s="1" t="str">
        <f aca="false">'Raw Atomic Data (Pro)'!E699</f>
        <v>value-statement</v>
      </c>
      <c r="N699" s="1" t="n">
        <f aca="false">IF(OR(M699="friction",M699="need",M699="workaround"),1,0)</f>
        <v>0</v>
      </c>
      <c r="O699" s="1" t="n">
        <f aca="false">IF(COUNTIFS($K$2:K699,K699,$L$2:L699,L699,$M$2:M699,M699,$J$2:J699,J699)=1,1,0)</f>
        <v>1</v>
      </c>
      <c r="P699" s="1" t="n">
        <f aca="false">IF(AND(N699=1,S699=1,COUNTIFS($L$2:L699,L699,$J$2:J699,J699,$N$2:N699,1,$S$2:S699,1)=1),1,0)</f>
        <v>0</v>
      </c>
      <c r="Q699" s="1" t="n">
        <f aca="false">IF(AND(N699=1,S699=1,COUNTIFS($L$2:L699,L699,$K$2:K699,K699,$N$2:N699,1,$S$2:S699,1)=1),1,0)</f>
        <v>0</v>
      </c>
      <c r="R699" s="1" t="n">
        <f aca="false">IF(AND(N699=1,COUNTIFS($K$2:K699,K699,$L$2:L699,L699,$J$2:J699,J699,$N$2:N699,1)=1),1,0)</f>
        <v>0</v>
      </c>
      <c r="S699" s="1" t="n">
        <f aca="false">IF(AND(K699&lt;&gt;"Context and provider model",K699&lt;&gt;"Motivation"),1,0)</f>
        <v>1</v>
      </c>
    </row>
    <row r="700" customFormat="false" ht="15" hidden="false" customHeight="true" outlineLevel="0" collapsed="false">
      <c r="J700" s="1" t="str">
        <f aca="false">'Raw Atomic Data (Pro)'!A700</f>
        <v>Anita</v>
      </c>
      <c r="K700" s="1" t="str">
        <f aca="false">'Raw Atomic Data (Pro)'!C700</f>
        <v>Payments and earnings</v>
      </c>
      <c r="L700" s="1" t="str">
        <f aca="false">'Raw Atomic Data (Pro)'!D700</f>
        <v>business-model-fit</v>
      </c>
      <c r="M700" s="1" t="str">
        <f aca="false">'Raw Atomic Data (Pro)'!E700</f>
        <v>friction</v>
      </c>
      <c r="N700" s="1" t="n">
        <f aca="false">IF(OR(M700="friction",M700="need",M700="workaround"),1,0)</f>
        <v>1</v>
      </c>
      <c r="O700" s="1" t="n">
        <f aca="false">IF(COUNTIFS($K$2:K700,K700,$L$2:L700,L700,$M$2:M700,M700,$J$2:J700,J700)=1,1,0)</f>
        <v>1</v>
      </c>
      <c r="P700" s="1" t="n">
        <f aca="false">IF(AND(N700=1,S700=1,COUNTIFS($L$2:L700,L700,$J$2:J700,J700,$N$2:N700,1,$S$2:S700,1)=1),1,0)</f>
        <v>1</v>
      </c>
      <c r="Q700" s="1" t="n">
        <f aca="false">IF(AND(N700=1,S700=1,COUNTIFS($L$2:L700,L700,$K$2:K700,K700,$N$2:N700,1,$S$2:S700,1)=1),1,0)</f>
        <v>1</v>
      </c>
      <c r="R700" s="1" t="n">
        <f aca="false">IF(AND(N700=1,COUNTIFS($K$2:K700,K700,$L$2:L700,L700,$J$2:J700,J700,$N$2:N700,1)=1),1,0)</f>
        <v>1</v>
      </c>
      <c r="S700" s="1" t="n">
        <f aca="false">IF(AND(K700&lt;&gt;"Context and provider model",K700&lt;&gt;"Motivation"),1,0)</f>
        <v>1</v>
      </c>
    </row>
    <row r="701" customFormat="false" ht="15" hidden="false" customHeight="true" outlineLevel="0" collapsed="false">
      <c r="J701" s="1" t="str">
        <f aca="false">'Raw Atomic Data (Pro)'!A701</f>
        <v>Becky</v>
      </c>
      <c r="K701" s="1" t="str">
        <f aca="false">'Raw Atomic Data (Pro)'!C701</f>
        <v>Payments and earnings</v>
      </c>
      <c r="L701" s="1" t="str">
        <f aca="false">'Raw Atomic Data (Pro)'!D701</f>
        <v>pricing-rate-setting</v>
      </c>
      <c r="M701" s="1" t="str">
        <f aca="false">'Raw Atomic Data (Pro)'!E701</f>
        <v>fact</v>
      </c>
      <c r="N701" s="1" t="n">
        <f aca="false">IF(OR(M701="friction",M701="need",M701="workaround"),1,0)</f>
        <v>0</v>
      </c>
      <c r="O701" s="1" t="n">
        <f aca="false">IF(COUNTIFS($K$2:K701,K701,$L$2:L701,L701,$M$2:M701,M701,$J$2:J701,J701)=1,1,0)</f>
        <v>1</v>
      </c>
      <c r="P701" s="1" t="n">
        <f aca="false">IF(AND(N701=1,S701=1,COUNTIFS($L$2:L701,L701,$J$2:J701,J701,$N$2:N701,1,$S$2:S701,1)=1),1,0)</f>
        <v>0</v>
      </c>
      <c r="Q701" s="1" t="n">
        <f aca="false">IF(AND(N701=1,S701=1,COUNTIFS($L$2:L701,L701,$K$2:K701,K701,$N$2:N701,1,$S$2:S701,1)=1),1,0)</f>
        <v>0</v>
      </c>
      <c r="R701" s="1" t="n">
        <f aca="false">IF(AND(N701=1,COUNTIFS($K$2:K701,K701,$L$2:L701,L701,$J$2:J701,J701,$N$2:N701,1)=1),1,0)</f>
        <v>0</v>
      </c>
      <c r="S701" s="1" t="n">
        <f aca="false">IF(AND(K701&lt;&gt;"Context and provider model",K701&lt;&gt;"Motivation"),1,0)</f>
        <v>1</v>
      </c>
    </row>
    <row r="702" customFormat="false" ht="15" hidden="false" customHeight="true" outlineLevel="0" collapsed="false">
      <c r="J702" s="1" t="str">
        <f aca="false">'Raw Atomic Data (Pro)'!A702</f>
        <v>Becky</v>
      </c>
      <c r="K702" s="1" t="str">
        <f aca="false">'Raw Atomic Data (Pro)'!C702</f>
        <v>Payments and earnings</v>
      </c>
      <c r="L702" s="1" t="str">
        <f aca="false">'Raw Atomic Data (Pro)'!D702</f>
        <v>pricing-rate-setting</v>
      </c>
      <c r="M702" s="1" t="str">
        <f aca="false">'Raw Atomic Data (Pro)'!E702</f>
        <v>fact</v>
      </c>
      <c r="N702" s="1" t="n">
        <f aca="false">IF(OR(M702="friction",M702="need",M702="workaround"),1,0)</f>
        <v>0</v>
      </c>
      <c r="O702" s="1" t="n">
        <f aca="false">IF(COUNTIFS($K$2:K702,K702,$L$2:L702,L702,$M$2:M702,M702,$J$2:J702,J702)=1,1,0)</f>
        <v>0</v>
      </c>
      <c r="P702" s="1" t="n">
        <f aca="false">IF(AND(N702=1,S702=1,COUNTIFS($L$2:L702,L702,$J$2:J702,J702,$N$2:N702,1,$S$2:S702,1)=1),1,0)</f>
        <v>0</v>
      </c>
      <c r="Q702" s="1" t="n">
        <f aca="false">IF(AND(N702=1,S702=1,COUNTIFS($L$2:L702,L702,$K$2:K702,K702,$N$2:N702,1,$S$2:S702,1)=1),1,0)</f>
        <v>0</v>
      </c>
      <c r="R702" s="1" t="n">
        <f aca="false">IF(AND(N702=1,COUNTIFS($K$2:K702,K702,$L$2:L702,L702,$J$2:J702,J702,$N$2:N702,1)=1),1,0)</f>
        <v>0</v>
      </c>
      <c r="S702" s="1" t="n">
        <f aca="false">IF(AND(K702&lt;&gt;"Context and provider model",K702&lt;&gt;"Motivation"),1,0)</f>
        <v>1</v>
      </c>
    </row>
    <row r="703" customFormat="false" ht="15" hidden="false" customHeight="true" outlineLevel="0" collapsed="false">
      <c r="J703" s="1" t="str">
        <f aca="false">'Raw Atomic Data (Pro)'!A703</f>
        <v>Becky</v>
      </c>
      <c r="K703" s="1" t="str">
        <f aca="false">'Raw Atomic Data (Pro)'!C703</f>
        <v>Payments and earnings</v>
      </c>
      <c r="L703" s="1" t="str">
        <f aca="false">'Raw Atomic Data (Pro)'!D703</f>
        <v>off-platform-clients-leakage</v>
      </c>
      <c r="M703" s="1" t="str">
        <f aca="false">'Raw Atomic Data (Pro)'!E703</f>
        <v>fact</v>
      </c>
      <c r="N703" s="1" t="n">
        <f aca="false">IF(OR(M703="friction",M703="need",M703="workaround"),1,0)</f>
        <v>0</v>
      </c>
      <c r="O703" s="1" t="n">
        <f aca="false">IF(COUNTIFS($K$2:K703,K703,$L$2:L703,L703,$M$2:M703,M703,$J$2:J703,J703)=1,1,0)</f>
        <v>1</v>
      </c>
      <c r="P703" s="1" t="n">
        <f aca="false">IF(AND(N703=1,S703=1,COUNTIFS($L$2:L703,L703,$J$2:J703,J703,$N$2:N703,1,$S$2:S703,1)=1),1,0)</f>
        <v>0</v>
      </c>
      <c r="Q703" s="1" t="n">
        <f aca="false">IF(AND(N703=1,S703=1,COUNTIFS($L$2:L703,L703,$K$2:K703,K703,$N$2:N703,1,$S$2:S703,1)=1),1,0)</f>
        <v>0</v>
      </c>
      <c r="R703" s="1" t="n">
        <f aca="false">IF(AND(N703=1,COUNTIFS($K$2:K703,K703,$L$2:L703,L703,$J$2:J703,J703,$N$2:N703,1)=1),1,0)</f>
        <v>0</v>
      </c>
      <c r="S703" s="1" t="n">
        <f aca="false">IF(AND(K703&lt;&gt;"Context and provider model",K703&lt;&gt;"Motivation"),1,0)</f>
        <v>1</v>
      </c>
    </row>
    <row r="704" customFormat="false" ht="15" hidden="false" customHeight="true" outlineLevel="0" collapsed="false">
      <c r="J704" s="1" t="str">
        <f aca="false">'Raw Atomic Data (Pro)'!A704</f>
        <v>Becky</v>
      </c>
      <c r="K704" s="1" t="str">
        <f aca="false">'Raw Atomic Data (Pro)'!C704</f>
        <v>Payments and earnings</v>
      </c>
      <c r="L704" s="1" t="str">
        <f aca="false">'Raw Atomic Data (Pro)'!D704</f>
        <v>fee-commission-structure</v>
      </c>
      <c r="M704" s="1" t="str">
        <f aca="false">'Raw Atomic Data (Pro)'!E704</f>
        <v>need</v>
      </c>
      <c r="N704" s="1" t="n">
        <f aca="false">IF(OR(M704="friction",M704="need",M704="workaround"),1,0)</f>
        <v>1</v>
      </c>
      <c r="O704" s="1" t="n">
        <f aca="false">IF(COUNTIFS($K$2:K704,K704,$L$2:L704,L704,$M$2:M704,M704,$J$2:J704,J704)=1,1,0)</f>
        <v>1</v>
      </c>
      <c r="P704" s="1" t="n">
        <f aca="false">IF(AND(N704=1,S704=1,COUNTIFS($L$2:L704,L704,$J$2:J704,J704,$N$2:N704,1,$S$2:S704,1)=1),1,0)</f>
        <v>1</v>
      </c>
      <c r="Q704" s="1" t="n">
        <f aca="false">IF(AND(N704=1,S704=1,COUNTIFS($L$2:L704,L704,$K$2:K704,K704,$N$2:N704,1,$S$2:S704,1)=1),1,0)</f>
        <v>1</v>
      </c>
      <c r="R704" s="1" t="n">
        <f aca="false">IF(AND(N704=1,COUNTIFS($K$2:K704,K704,$L$2:L704,L704,$J$2:J704,J704,$N$2:N704,1)=1),1,0)</f>
        <v>1</v>
      </c>
      <c r="S704" s="1" t="n">
        <f aca="false">IF(AND(K704&lt;&gt;"Context and provider model",K704&lt;&gt;"Motivation"),1,0)</f>
        <v>1</v>
      </c>
    </row>
    <row r="705" customFormat="false" ht="15" hidden="false" customHeight="true" outlineLevel="0" collapsed="false">
      <c r="J705" s="1" t="str">
        <f aca="false">'Raw Atomic Data (Pro)'!A705</f>
        <v>Becky</v>
      </c>
      <c r="K705" s="1" t="str">
        <f aca="false">'Raw Atomic Data (Pro)'!C705</f>
        <v>Payments and earnings</v>
      </c>
      <c r="L705" s="1" t="str">
        <f aca="false">'Raw Atomic Data (Pro)'!D705</f>
        <v>payout-timing-tracking</v>
      </c>
      <c r="M705" s="1" t="str">
        <f aca="false">'Raw Atomic Data (Pro)'!E705</f>
        <v>fact</v>
      </c>
      <c r="N705" s="1" t="n">
        <f aca="false">IF(OR(M705="friction",M705="need",M705="workaround"),1,0)</f>
        <v>0</v>
      </c>
      <c r="O705" s="1" t="n">
        <f aca="false">IF(COUNTIFS($K$2:K705,K705,$L$2:L705,L705,$M$2:M705,M705,$J$2:J705,J705)=1,1,0)</f>
        <v>1</v>
      </c>
      <c r="P705" s="1" t="n">
        <f aca="false">IF(AND(N705=1,S705=1,COUNTIFS($L$2:L705,L705,$J$2:J705,J705,$N$2:N705,1,$S$2:S705,1)=1),1,0)</f>
        <v>0</v>
      </c>
      <c r="Q705" s="1" t="n">
        <f aca="false">IF(AND(N705=1,S705=1,COUNTIFS($L$2:L705,L705,$K$2:K705,K705,$N$2:N705,1,$S$2:S705,1)=1),1,0)</f>
        <v>0</v>
      </c>
      <c r="R705" s="1" t="n">
        <f aca="false">IF(AND(N705=1,COUNTIFS($K$2:K705,K705,$L$2:L705,L705,$J$2:J705,J705,$N$2:N705,1)=1),1,0)</f>
        <v>0</v>
      </c>
      <c r="S705" s="1" t="n">
        <f aca="false">IF(AND(K705&lt;&gt;"Context and provider model",K705&lt;&gt;"Motivation"),1,0)</f>
        <v>1</v>
      </c>
    </row>
    <row r="706" customFormat="false" ht="15" hidden="false" customHeight="true" outlineLevel="0" collapsed="false">
      <c r="J706" s="1" t="str">
        <f aca="false">'Raw Atomic Data (Pro)'!A706</f>
        <v>Becky</v>
      </c>
      <c r="K706" s="1" t="str">
        <f aca="false">'Raw Atomic Data (Pro)'!C706</f>
        <v>Payments and earnings</v>
      </c>
      <c r="L706" s="1" t="str">
        <f aca="false">'Raw Atomic Data (Pro)'!D706</f>
        <v>payout-timing-tracking</v>
      </c>
      <c r="M706" s="1" t="str">
        <f aca="false">'Raw Atomic Data (Pro)'!E706</f>
        <v>workaround</v>
      </c>
      <c r="N706" s="1" t="n">
        <f aca="false">IF(OR(M706="friction",M706="need",M706="workaround"),1,0)</f>
        <v>1</v>
      </c>
      <c r="O706" s="1" t="n">
        <f aca="false">IF(COUNTIFS($K$2:K706,K706,$L$2:L706,L706,$M$2:M706,M706,$J$2:J706,J706)=1,1,0)</f>
        <v>1</v>
      </c>
      <c r="P706" s="1" t="n">
        <f aca="false">IF(AND(N706=1,S706=1,COUNTIFS($L$2:L706,L706,$J$2:J706,J706,$N$2:N706,1,$S$2:S706,1)=1),1,0)</f>
        <v>1</v>
      </c>
      <c r="Q706" s="1" t="n">
        <f aca="false">IF(AND(N706=1,S706=1,COUNTIFS($L$2:L706,L706,$K$2:K706,K706,$N$2:N706,1,$S$2:S706,1)=1),1,0)</f>
        <v>0</v>
      </c>
      <c r="R706" s="1" t="n">
        <f aca="false">IF(AND(N706=1,COUNTIFS($K$2:K706,K706,$L$2:L706,L706,$J$2:J706,J706,$N$2:N706,1)=1),1,0)</f>
        <v>1</v>
      </c>
      <c r="S706" s="1" t="n">
        <f aca="false">IF(AND(K706&lt;&gt;"Context and provider model",K706&lt;&gt;"Motivation"),1,0)</f>
        <v>1</v>
      </c>
    </row>
    <row r="707" customFormat="false" ht="15" hidden="false" customHeight="true" outlineLevel="0" collapsed="false">
      <c r="J707" s="1" t="str">
        <f aca="false">'Raw Atomic Data (Pro)'!A707</f>
        <v>Bruna</v>
      </c>
      <c r="K707" s="1" t="str">
        <f aca="false">'Raw Atomic Data (Pro)'!C707</f>
        <v>Payments and earnings</v>
      </c>
      <c r="L707" s="1" t="str">
        <f aca="false">'Raw Atomic Data (Pro)'!D707</f>
        <v>booking-confirmation-mechanics</v>
      </c>
      <c r="M707" s="1" t="str">
        <f aca="false">'Raw Atomic Data (Pro)'!E707</f>
        <v>value-statement</v>
      </c>
      <c r="N707" s="1" t="n">
        <f aca="false">IF(OR(M707="friction",M707="need",M707="workaround"),1,0)</f>
        <v>0</v>
      </c>
      <c r="O707" s="1" t="n">
        <f aca="false">IF(COUNTIFS($K$2:K707,K707,$L$2:L707,L707,$M$2:M707,M707,$J$2:J707,J707)=1,1,0)</f>
        <v>1</v>
      </c>
      <c r="P707" s="1" t="n">
        <f aca="false">IF(AND(N707=1,S707=1,COUNTIFS($L$2:L707,L707,$J$2:J707,J707,$N$2:N707,1,$S$2:S707,1)=1),1,0)</f>
        <v>0</v>
      </c>
      <c r="Q707" s="1" t="n">
        <f aca="false">IF(AND(N707=1,S707=1,COUNTIFS($L$2:L707,L707,$K$2:K707,K707,$N$2:N707,1,$S$2:S707,1)=1),1,0)</f>
        <v>0</v>
      </c>
      <c r="R707" s="1" t="n">
        <f aca="false">IF(AND(N707=1,COUNTIFS($K$2:K707,K707,$L$2:L707,L707,$J$2:J707,J707,$N$2:N707,1)=1),1,0)</f>
        <v>0</v>
      </c>
      <c r="S707" s="1" t="n">
        <f aca="false">IF(AND(K707&lt;&gt;"Context and provider model",K707&lt;&gt;"Motivation"),1,0)</f>
        <v>1</v>
      </c>
    </row>
    <row r="708" customFormat="false" ht="15" hidden="false" customHeight="true" outlineLevel="0" collapsed="false">
      <c r="J708" s="1" t="str">
        <f aca="false">'Raw Atomic Data (Pro)'!A708</f>
        <v>Bruna</v>
      </c>
      <c r="K708" s="1" t="str">
        <f aca="false">'Raw Atomic Data (Pro)'!C708</f>
        <v>Payments and earnings</v>
      </c>
      <c r="L708" s="1" t="str">
        <f aca="false">'Raw Atomic Data (Pro)'!D708</f>
        <v>fee-commission-structure</v>
      </c>
      <c r="M708" s="1" t="str">
        <f aca="false">'Raw Atomic Data (Pro)'!E708</f>
        <v>friction</v>
      </c>
      <c r="N708" s="1" t="n">
        <f aca="false">IF(OR(M708="friction",M708="need",M708="workaround"),1,0)</f>
        <v>1</v>
      </c>
      <c r="O708" s="1" t="n">
        <f aca="false">IF(COUNTIFS($K$2:K708,K708,$L$2:L708,L708,$M$2:M708,M708,$J$2:J708,J708)=1,1,0)</f>
        <v>1</v>
      </c>
      <c r="P708" s="1" t="n">
        <f aca="false">IF(AND(N708=1,S708=1,COUNTIFS($L$2:L708,L708,$J$2:J708,J708,$N$2:N708,1,$S$2:S708,1)=1),1,0)</f>
        <v>1</v>
      </c>
      <c r="Q708" s="1" t="n">
        <f aca="false">IF(AND(N708=1,S708=1,COUNTIFS($L$2:L708,L708,$K$2:K708,K708,$N$2:N708,1,$S$2:S708,1)=1),1,0)</f>
        <v>0</v>
      </c>
      <c r="R708" s="1" t="n">
        <f aca="false">IF(AND(N708=1,COUNTIFS($K$2:K708,K708,$L$2:L708,L708,$J$2:J708,J708,$N$2:N708,1)=1),1,0)</f>
        <v>1</v>
      </c>
      <c r="S708" s="1" t="n">
        <f aca="false">IF(AND(K708&lt;&gt;"Context and provider model",K708&lt;&gt;"Motivation"),1,0)</f>
        <v>1</v>
      </c>
    </row>
    <row r="709" customFormat="false" ht="15" hidden="false" customHeight="true" outlineLevel="0" collapsed="false">
      <c r="J709" s="1" t="str">
        <f aca="false">'Raw Atomic Data (Pro)'!A709</f>
        <v>Bruna</v>
      </c>
      <c r="K709" s="1" t="str">
        <f aca="false">'Raw Atomic Data (Pro)'!C709</f>
        <v>Payments and earnings</v>
      </c>
      <c r="L709" s="1" t="str">
        <f aca="false">'Raw Atomic Data (Pro)'!D709</f>
        <v>fee-commission-structure</v>
      </c>
      <c r="M709" s="1" t="str">
        <f aca="false">'Raw Atomic Data (Pro)'!E709</f>
        <v>friction</v>
      </c>
      <c r="N709" s="1" t="n">
        <f aca="false">IF(OR(M709="friction",M709="need",M709="workaround"),1,0)</f>
        <v>1</v>
      </c>
      <c r="O709" s="1" t="n">
        <f aca="false">IF(COUNTIFS($K$2:K709,K709,$L$2:L709,L709,$M$2:M709,M709,$J$2:J709,J709)=1,1,0)</f>
        <v>0</v>
      </c>
      <c r="P709" s="1" t="n">
        <f aca="false">IF(AND(N709=1,S709=1,COUNTIFS($L$2:L709,L709,$J$2:J709,J709,$N$2:N709,1,$S$2:S709,1)=1),1,0)</f>
        <v>0</v>
      </c>
      <c r="Q709" s="1" t="n">
        <f aca="false">IF(AND(N709=1,S709=1,COUNTIFS($L$2:L709,L709,$K$2:K709,K709,$N$2:N709,1,$S$2:S709,1)=1),1,0)</f>
        <v>0</v>
      </c>
      <c r="R709" s="1" t="n">
        <f aca="false">IF(AND(N709=1,COUNTIFS($K$2:K709,K709,$L$2:L709,L709,$J$2:J709,J709,$N$2:N709,1)=1),1,0)</f>
        <v>0</v>
      </c>
      <c r="S709" s="1" t="n">
        <f aca="false">IF(AND(K709&lt;&gt;"Context and provider model",K709&lt;&gt;"Motivation"),1,0)</f>
        <v>1</v>
      </c>
    </row>
    <row r="710" customFormat="false" ht="15" hidden="false" customHeight="true" outlineLevel="0" collapsed="false">
      <c r="J710" s="1" t="str">
        <f aca="false">'Raw Atomic Data (Pro)'!A710</f>
        <v>Bruna</v>
      </c>
      <c r="K710" s="1" t="str">
        <f aca="false">'Raw Atomic Data (Pro)'!C710</f>
        <v>Payments and earnings</v>
      </c>
      <c r="L710" s="1" t="str">
        <f aca="false">'Raw Atomic Data (Pro)'!D710</f>
        <v>fee-commission-structure</v>
      </c>
      <c r="M710" s="1" t="str">
        <f aca="false">'Raw Atomic Data (Pro)'!E710</f>
        <v>fact</v>
      </c>
      <c r="N710" s="1" t="n">
        <f aca="false">IF(OR(M710="friction",M710="need",M710="workaround"),1,0)</f>
        <v>0</v>
      </c>
      <c r="O710" s="1" t="n">
        <f aca="false">IF(COUNTIFS($K$2:K710,K710,$L$2:L710,L710,$M$2:M710,M710,$J$2:J710,J710)=1,1,0)</f>
        <v>1</v>
      </c>
      <c r="P710" s="1" t="n">
        <f aca="false">IF(AND(N710=1,S710=1,COUNTIFS($L$2:L710,L710,$J$2:J710,J710,$N$2:N710,1,$S$2:S710,1)=1),1,0)</f>
        <v>0</v>
      </c>
      <c r="Q710" s="1" t="n">
        <f aca="false">IF(AND(N710=1,S710=1,COUNTIFS($L$2:L710,L710,$K$2:K710,K710,$N$2:N710,1,$S$2:S710,1)=1),1,0)</f>
        <v>0</v>
      </c>
      <c r="R710" s="1" t="n">
        <f aca="false">IF(AND(N710=1,COUNTIFS($K$2:K710,K710,$L$2:L710,L710,$J$2:J710,J710,$N$2:N710,1)=1),1,0)</f>
        <v>0</v>
      </c>
      <c r="S710" s="1" t="n">
        <f aca="false">IF(AND(K710&lt;&gt;"Context and provider model",K710&lt;&gt;"Motivation"),1,0)</f>
        <v>1</v>
      </c>
    </row>
    <row r="711" customFormat="false" ht="15" hidden="false" customHeight="true" outlineLevel="0" collapsed="false">
      <c r="J711" s="1" t="str">
        <f aca="false">'Raw Atomic Data (Pro)'!A711</f>
        <v>Bruna</v>
      </c>
      <c r="K711" s="1" t="str">
        <f aca="false">'Raw Atomic Data (Pro)'!C711</f>
        <v>Payments and earnings</v>
      </c>
      <c r="L711" s="1" t="str">
        <f aca="false">'Raw Atomic Data (Pro)'!D711</f>
        <v>pricing-rate-setting</v>
      </c>
      <c r="M711" s="1" t="str">
        <f aca="false">'Raw Atomic Data (Pro)'!E711</f>
        <v>fact</v>
      </c>
      <c r="N711" s="1" t="n">
        <f aca="false">IF(OR(M711="friction",M711="need",M711="workaround"),1,0)</f>
        <v>0</v>
      </c>
      <c r="O711" s="1" t="n">
        <f aca="false">IF(COUNTIFS($K$2:K711,K711,$L$2:L711,L711,$M$2:M711,M711,$J$2:J711,J711)=1,1,0)</f>
        <v>1</v>
      </c>
      <c r="P711" s="1" t="n">
        <f aca="false">IF(AND(N711=1,S711=1,COUNTIFS($L$2:L711,L711,$J$2:J711,J711,$N$2:N711,1,$S$2:S711,1)=1),1,0)</f>
        <v>0</v>
      </c>
      <c r="Q711" s="1" t="n">
        <f aca="false">IF(AND(N711=1,S711=1,COUNTIFS($L$2:L711,L711,$K$2:K711,K711,$N$2:N711,1,$S$2:S711,1)=1),1,0)</f>
        <v>0</v>
      </c>
      <c r="R711" s="1" t="n">
        <f aca="false">IF(AND(N711=1,COUNTIFS($K$2:K711,K711,$L$2:L711,L711,$J$2:J711,J711,$N$2:N711,1)=1),1,0)</f>
        <v>0</v>
      </c>
      <c r="S711" s="1" t="n">
        <f aca="false">IF(AND(K711&lt;&gt;"Context and provider model",K711&lt;&gt;"Motivation"),1,0)</f>
        <v>1</v>
      </c>
    </row>
    <row r="712" customFormat="false" ht="15" hidden="false" customHeight="true" outlineLevel="0" collapsed="false">
      <c r="J712" s="1" t="str">
        <f aca="false">'Raw Atomic Data (Pro)'!A712</f>
        <v>Bruna</v>
      </c>
      <c r="K712" s="1" t="str">
        <f aca="false">'Raw Atomic Data (Pro)'!C712</f>
        <v>Payments and earnings</v>
      </c>
      <c r="L712" s="1" t="str">
        <f aca="false">'Raw Atomic Data (Pro)'!D712</f>
        <v>client-acquisition-discovery</v>
      </c>
      <c r="M712" s="1" t="str">
        <f aca="false">'Raw Atomic Data (Pro)'!E712</f>
        <v>workaround</v>
      </c>
      <c r="N712" s="1" t="n">
        <f aca="false">IF(OR(M712="friction",M712="need",M712="workaround"),1,0)</f>
        <v>1</v>
      </c>
      <c r="O712" s="1" t="n">
        <f aca="false">IF(COUNTIFS($K$2:K712,K712,$L$2:L712,L712,$M$2:M712,M712,$J$2:J712,J712)=1,1,0)</f>
        <v>1</v>
      </c>
      <c r="P712" s="1" t="n">
        <f aca="false">IF(AND(N712=1,S712=1,COUNTIFS($L$2:L712,L712,$J$2:J712,J712,$N$2:N712,1,$S$2:S712,1)=1),1,0)</f>
        <v>1</v>
      </c>
      <c r="Q712" s="1" t="n">
        <f aca="false">IF(AND(N712=1,S712=1,COUNTIFS($L$2:L712,L712,$K$2:K712,K712,$N$2:N712,1,$S$2:S712,1)=1),1,0)</f>
        <v>1</v>
      </c>
      <c r="R712" s="1" t="n">
        <f aca="false">IF(AND(N712=1,COUNTIFS($K$2:K712,K712,$L$2:L712,L712,$J$2:J712,J712,$N$2:N712,1)=1),1,0)</f>
        <v>1</v>
      </c>
      <c r="S712" s="1" t="n">
        <f aca="false">IF(AND(K712&lt;&gt;"Context and provider model",K712&lt;&gt;"Motivation"),1,0)</f>
        <v>1</v>
      </c>
    </row>
    <row r="713" customFormat="false" ht="15" hidden="false" customHeight="true" outlineLevel="0" collapsed="false">
      <c r="J713" s="1" t="str">
        <f aca="false">'Raw Atomic Data (Pro)'!A713</f>
        <v>Bruna</v>
      </c>
      <c r="K713" s="1" t="str">
        <f aca="false">'Raw Atomic Data (Pro)'!C713</f>
        <v>Payments and earnings</v>
      </c>
      <c r="L713" s="1" t="str">
        <f aca="false">'Raw Atomic Data (Pro)'!D713</f>
        <v>client-acquisition-discovery</v>
      </c>
      <c r="M713" s="1" t="str">
        <f aca="false">'Raw Atomic Data (Pro)'!E713</f>
        <v>need</v>
      </c>
      <c r="N713" s="1" t="n">
        <f aca="false">IF(OR(M713="friction",M713="need",M713="workaround"),1,0)</f>
        <v>1</v>
      </c>
      <c r="O713" s="1" t="n">
        <f aca="false">IF(COUNTIFS($K$2:K713,K713,$L$2:L713,L713,$M$2:M713,M713,$J$2:J713,J713)=1,1,0)</f>
        <v>1</v>
      </c>
      <c r="P713" s="1" t="n">
        <f aca="false">IF(AND(N713=1,S713=1,COUNTIFS($L$2:L713,L713,$J$2:J713,J713,$N$2:N713,1,$S$2:S713,1)=1),1,0)</f>
        <v>0</v>
      </c>
      <c r="Q713" s="1" t="n">
        <f aca="false">IF(AND(N713=1,S713=1,COUNTIFS($L$2:L713,L713,$K$2:K713,K713,$N$2:N713,1,$S$2:S713,1)=1),1,0)</f>
        <v>0</v>
      </c>
      <c r="R713" s="1" t="n">
        <f aca="false">IF(AND(N713=1,COUNTIFS($K$2:K713,K713,$L$2:L713,L713,$J$2:J713,J713,$N$2:N713,1)=1),1,0)</f>
        <v>0</v>
      </c>
      <c r="S713" s="1" t="n">
        <f aca="false">IF(AND(K713&lt;&gt;"Context and provider model",K713&lt;&gt;"Motivation"),1,0)</f>
        <v>1</v>
      </c>
    </row>
    <row r="714" customFormat="false" ht="15" hidden="false" customHeight="true" outlineLevel="0" collapsed="false">
      <c r="J714" s="1" t="str">
        <f aca="false">'Raw Atomic Data (Pro)'!A714</f>
        <v>Colin</v>
      </c>
      <c r="K714" s="1" t="str">
        <f aca="false">'Raw Atomic Data (Pro)'!C714</f>
        <v>Payments and earnings</v>
      </c>
      <c r="L714" s="1" t="str">
        <f aca="false">'Raw Atomic Data (Pro)'!D714</f>
        <v>booking-confirmation-mechanics</v>
      </c>
      <c r="M714" s="1" t="str">
        <f aca="false">'Raw Atomic Data (Pro)'!E714</f>
        <v>value-statement</v>
      </c>
      <c r="N714" s="1" t="n">
        <f aca="false">IF(OR(M714="friction",M714="need",M714="workaround"),1,0)</f>
        <v>0</v>
      </c>
      <c r="O714" s="1" t="n">
        <f aca="false">IF(COUNTIFS($K$2:K714,K714,$L$2:L714,L714,$M$2:M714,M714,$J$2:J714,J714)=1,1,0)</f>
        <v>1</v>
      </c>
      <c r="P714" s="1" t="n">
        <f aca="false">IF(AND(N714=1,S714=1,COUNTIFS($L$2:L714,L714,$J$2:J714,J714,$N$2:N714,1,$S$2:S714,1)=1),1,0)</f>
        <v>0</v>
      </c>
      <c r="Q714" s="1" t="n">
        <f aca="false">IF(AND(N714=1,S714=1,COUNTIFS($L$2:L714,L714,$K$2:K714,K714,$N$2:N714,1,$S$2:S714,1)=1),1,0)</f>
        <v>0</v>
      </c>
      <c r="R714" s="1" t="n">
        <f aca="false">IF(AND(N714=1,COUNTIFS($K$2:K714,K714,$L$2:L714,L714,$J$2:J714,J714,$N$2:N714,1)=1),1,0)</f>
        <v>0</v>
      </c>
      <c r="S714" s="1" t="n">
        <f aca="false">IF(AND(K714&lt;&gt;"Context and provider model",K714&lt;&gt;"Motivation"),1,0)</f>
        <v>1</v>
      </c>
    </row>
    <row r="715" customFormat="false" ht="15" hidden="false" customHeight="true" outlineLevel="0" collapsed="false">
      <c r="J715" s="1" t="str">
        <f aca="false">'Raw Atomic Data (Pro)'!A715</f>
        <v>Colin</v>
      </c>
      <c r="K715" s="1" t="str">
        <f aca="false">'Raw Atomic Data (Pro)'!C715</f>
        <v>Payments and earnings</v>
      </c>
      <c r="L715" s="1" t="str">
        <f aca="false">'Raw Atomic Data (Pro)'!D715</f>
        <v>pricing-rate-setting</v>
      </c>
      <c r="M715" s="1" t="str">
        <f aca="false">'Raw Atomic Data (Pro)'!E715</f>
        <v>fact</v>
      </c>
      <c r="N715" s="1" t="n">
        <f aca="false">IF(OR(M715="friction",M715="need",M715="workaround"),1,0)</f>
        <v>0</v>
      </c>
      <c r="O715" s="1" t="n">
        <f aca="false">IF(COUNTIFS($K$2:K715,K715,$L$2:L715,L715,$M$2:M715,M715,$J$2:J715,J715)=1,1,0)</f>
        <v>1</v>
      </c>
      <c r="P715" s="1" t="n">
        <f aca="false">IF(AND(N715=1,S715=1,COUNTIFS($L$2:L715,L715,$J$2:J715,J715,$N$2:N715,1,$S$2:S715,1)=1),1,0)</f>
        <v>0</v>
      </c>
      <c r="Q715" s="1" t="n">
        <f aca="false">IF(AND(N715=1,S715=1,COUNTIFS($L$2:L715,L715,$K$2:K715,K715,$N$2:N715,1,$S$2:S715,1)=1),1,0)</f>
        <v>0</v>
      </c>
      <c r="R715" s="1" t="n">
        <f aca="false">IF(AND(N715=1,COUNTIFS($K$2:K715,K715,$L$2:L715,L715,$J$2:J715,J715,$N$2:N715,1)=1),1,0)</f>
        <v>0</v>
      </c>
      <c r="S715" s="1" t="n">
        <f aca="false">IF(AND(K715&lt;&gt;"Context and provider model",K715&lt;&gt;"Motivation"),1,0)</f>
        <v>1</v>
      </c>
    </row>
    <row r="716" customFormat="false" ht="15" hidden="false" customHeight="true" outlineLevel="0" collapsed="false">
      <c r="J716" s="1" t="str">
        <f aca="false">'Raw Atomic Data (Pro)'!A716</f>
        <v>Colin</v>
      </c>
      <c r="K716" s="1" t="str">
        <f aca="false">'Raw Atomic Data (Pro)'!C716</f>
        <v>Payments and earnings</v>
      </c>
      <c r="L716" s="1" t="str">
        <f aca="false">'Raw Atomic Data (Pro)'!D716</f>
        <v>pricing-rate-setting</v>
      </c>
      <c r="M716" s="1" t="str">
        <f aca="false">'Raw Atomic Data (Pro)'!E716</f>
        <v>fact</v>
      </c>
      <c r="N716" s="1" t="n">
        <f aca="false">IF(OR(M716="friction",M716="need",M716="workaround"),1,0)</f>
        <v>0</v>
      </c>
      <c r="O716" s="1" t="n">
        <f aca="false">IF(COUNTIFS($K$2:K716,K716,$L$2:L716,L716,$M$2:M716,M716,$J$2:J716,J716)=1,1,0)</f>
        <v>0</v>
      </c>
      <c r="P716" s="1" t="n">
        <f aca="false">IF(AND(N716=1,S716=1,COUNTIFS($L$2:L716,L716,$J$2:J716,J716,$N$2:N716,1,$S$2:S716,1)=1),1,0)</f>
        <v>0</v>
      </c>
      <c r="Q716" s="1" t="n">
        <f aca="false">IF(AND(N716=1,S716=1,COUNTIFS($L$2:L716,L716,$K$2:K716,K716,$N$2:N716,1,$S$2:S716,1)=1),1,0)</f>
        <v>0</v>
      </c>
      <c r="R716" s="1" t="n">
        <f aca="false">IF(AND(N716=1,COUNTIFS($K$2:K716,K716,$L$2:L716,L716,$J$2:J716,J716,$N$2:N716,1)=1),1,0)</f>
        <v>0</v>
      </c>
      <c r="S716" s="1" t="n">
        <f aca="false">IF(AND(K716&lt;&gt;"Context and provider model",K716&lt;&gt;"Motivation"),1,0)</f>
        <v>1</v>
      </c>
    </row>
    <row r="717" customFormat="false" ht="15" hidden="false" customHeight="true" outlineLevel="0" collapsed="false">
      <c r="J717" s="1" t="str">
        <f aca="false">'Raw Atomic Data (Pro)'!A717</f>
        <v>Colin</v>
      </c>
      <c r="K717" s="1" t="str">
        <f aca="false">'Raw Atomic Data (Pro)'!C717</f>
        <v>Payments and earnings</v>
      </c>
      <c r="L717" s="1" t="str">
        <f aca="false">'Raw Atomic Data (Pro)'!D717</f>
        <v>booking-confirmation-mechanics</v>
      </c>
      <c r="M717" s="1" t="str">
        <f aca="false">'Raw Atomic Data (Pro)'!E717</f>
        <v>value-statement</v>
      </c>
      <c r="N717" s="1" t="n">
        <f aca="false">IF(OR(M717="friction",M717="need",M717="workaround"),1,0)</f>
        <v>0</v>
      </c>
      <c r="O717" s="1" t="n">
        <f aca="false">IF(COUNTIFS($K$2:K717,K717,$L$2:L717,L717,$M$2:M717,M717,$J$2:J717,J717)=1,1,0)</f>
        <v>0</v>
      </c>
      <c r="P717" s="1" t="n">
        <f aca="false">IF(AND(N717=1,S717=1,COUNTIFS($L$2:L717,L717,$J$2:J717,J717,$N$2:N717,1,$S$2:S717,1)=1),1,0)</f>
        <v>0</v>
      </c>
      <c r="Q717" s="1" t="n">
        <f aca="false">IF(AND(N717=1,S717=1,COUNTIFS($L$2:L717,L717,$K$2:K717,K717,$N$2:N717,1,$S$2:S717,1)=1),1,0)</f>
        <v>0</v>
      </c>
      <c r="R717" s="1" t="n">
        <f aca="false">IF(AND(N717=1,COUNTIFS($K$2:K717,K717,$L$2:L717,L717,$J$2:J717,J717,$N$2:N717,1)=1),1,0)</f>
        <v>0</v>
      </c>
      <c r="S717" s="1" t="n">
        <f aca="false">IF(AND(K717&lt;&gt;"Context and provider model",K717&lt;&gt;"Motivation"),1,0)</f>
        <v>1</v>
      </c>
    </row>
    <row r="718" customFormat="false" ht="15" hidden="false" customHeight="true" outlineLevel="0" collapsed="false">
      <c r="J718" s="1" t="str">
        <f aca="false">'Raw Atomic Data (Pro)'!A718</f>
        <v>Colin</v>
      </c>
      <c r="K718" s="1" t="str">
        <f aca="false">'Raw Atomic Data (Pro)'!C718</f>
        <v>Payments and earnings</v>
      </c>
      <c r="L718" s="1" t="str">
        <f aca="false">'Raw Atomic Data (Pro)'!D718</f>
        <v>booking-confirmation-mechanics</v>
      </c>
      <c r="M718" s="1" t="str">
        <f aca="false">'Raw Atomic Data (Pro)'!E718</f>
        <v>workaround</v>
      </c>
      <c r="N718" s="1" t="n">
        <f aca="false">IF(OR(M718="friction",M718="need",M718="workaround"),1,0)</f>
        <v>1</v>
      </c>
      <c r="O718" s="1" t="n">
        <f aca="false">IF(COUNTIFS($K$2:K718,K718,$L$2:L718,L718,$M$2:M718,M718,$J$2:J718,J718)=1,1,0)</f>
        <v>1</v>
      </c>
      <c r="P718" s="1" t="n">
        <f aca="false">IF(AND(N718=1,S718=1,COUNTIFS($L$2:L718,L718,$J$2:J718,J718,$N$2:N718,1,$S$2:S718,1)=1),1,0)</f>
        <v>1</v>
      </c>
      <c r="Q718" s="1" t="n">
        <f aca="false">IF(AND(N718=1,S718=1,COUNTIFS($L$2:L718,L718,$K$2:K718,K718,$N$2:N718,1,$S$2:S718,1)=1),1,0)</f>
        <v>0</v>
      </c>
      <c r="R718" s="1" t="n">
        <f aca="false">IF(AND(N718=1,COUNTIFS($K$2:K718,K718,$L$2:L718,L718,$J$2:J718,J718,$N$2:N718,1)=1),1,0)</f>
        <v>1</v>
      </c>
      <c r="S718" s="1" t="n">
        <f aca="false">IF(AND(K718&lt;&gt;"Context and provider model",K718&lt;&gt;"Motivation"),1,0)</f>
        <v>1</v>
      </c>
    </row>
    <row r="719" customFormat="false" ht="15" hidden="false" customHeight="true" outlineLevel="0" collapsed="false">
      <c r="J719" s="1" t="str">
        <f aca="false">'Raw Atomic Data (Pro)'!A719</f>
        <v>Colin</v>
      </c>
      <c r="K719" s="1" t="str">
        <f aca="false">'Raw Atomic Data (Pro)'!C719</f>
        <v>Payments and earnings</v>
      </c>
      <c r="L719" s="1" t="str">
        <f aca="false">'Raw Atomic Data (Pro)'!D719</f>
        <v>tipping</v>
      </c>
      <c r="M719" s="1" t="str">
        <f aca="false">'Raw Atomic Data (Pro)'!E719</f>
        <v>fact</v>
      </c>
      <c r="N719" s="1" t="n">
        <f aca="false">IF(OR(M719="friction",M719="need",M719="workaround"),1,0)</f>
        <v>0</v>
      </c>
      <c r="O719" s="1" t="n">
        <f aca="false">IF(COUNTIFS($K$2:K719,K719,$L$2:L719,L719,$M$2:M719,M719,$J$2:J719,J719)=1,1,0)</f>
        <v>1</v>
      </c>
      <c r="P719" s="1" t="n">
        <f aca="false">IF(AND(N719=1,S719=1,COUNTIFS($L$2:L719,L719,$J$2:J719,J719,$N$2:N719,1,$S$2:S719,1)=1),1,0)</f>
        <v>0</v>
      </c>
      <c r="Q719" s="1" t="n">
        <f aca="false">IF(AND(N719=1,S719=1,COUNTIFS($L$2:L719,L719,$K$2:K719,K719,$N$2:N719,1,$S$2:S719,1)=1),1,0)</f>
        <v>0</v>
      </c>
      <c r="R719" s="1" t="n">
        <f aca="false">IF(AND(N719=1,COUNTIFS($K$2:K719,K719,$L$2:L719,L719,$J$2:J719,J719,$N$2:N719,1)=1),1,0)</f>
        <v>0</v>
      </c>
      <c r="S719" s="1" t="n">
        <f aca="false">IF(AND(K719&lt;&gt;"Context and provider model",K719&lt;&gt;"Motivation"),1,0)</f>
        <v>1</v>
      </c>
    </row>
    <row r="720" customFormat="false" ht="15" hidden="false" customHeight="true" outlineLevel="0" collapsed="false">
      <c r="J720" s="1" t="str">
        <f aca="false">'Raw Atomic Data (Pro)'!A720</f>
        <v>Colin</v>
      </c>
      <c r="K720" s="1" t="str">
        <f aca="false">'Raw Atomic Data (Pro)'!C720</f>
        <v>Payments and earnings</v>
      </c>
      <c r="L720" s="1" t="str">
        <f aca="false">'Raw Atomic Data (Pro)'!D720</f>
        <v>business-model-fit</v>
      </c>
      <c r="M720" s="1" t="str">
        <f aca="false">'Raw Atomic Data (Pro)'!E720</f>
        <v>fact</v>
      </c>
      <c r="N720" s="1" t="n">
        <f aca="false">IF(OR(M720="friction",M720="need",M720="workaround"),1,0)</f>
        <v>0</v>
      </c>
      <c r="O720" s="1" t="n">
        <f aca="false">IF(COUNTIFS($K$2:K720,K720,$L$2:L720,L720,$M$2:M720,M720,$J$2:J720,J720)=1,1,0)</f>
        <v>1</v>
      </c>
      <c r="P720" s="1" t="n">
        <f aca="false">IF(AND(N720=1,S720=1,COUNTIFS($L$2:L720,L720,$J$2:J720,J720,$N$2:N720,1,$S$2:S720,1)=1),1,0)</f>
        <v>0</v>
      </c>
      <c r="Q720" s="1" t="n">
        <f aca="false">IF(AND(N720=1,S720=1,COUNTIFS($L$2:L720,L720,$K$2:K720,K720,$N$2:N720,1,$S$2:S720,1)=1),1,0)</f>
        <v>0</v>
      </c>
      <c r="R720" s="1" t="n">
        <f aca="false">IF(AND(N720=1,COUNTIFS($K$2:K720,K720,$L$2:L720,L720,$J$2:J720,J720,$N$2:N720,1)=1),1,0)</f>
        <v>0</v>
      </c>
      <c r="S720" s="1" t="n">
        <f aca="false">IF(AND(K720&lt;&gt;"Context and provider model",K720&lt;&gt;"Motivation"),1,0)</f>
        <v>1</v>
      </c>
    </row>
    <row r="721" customFormat="false" ht="15" hidden="false" customHeight="true" outlineLevel="0" collapsed="false">
      <c r="J721" s="1" t="str">
        <f aca="false">'Raw Atomic Data (Pro)'!A721</f>
        <v>Dawn</v>
      </c>
      <c r="K721" s="1" t="str">
        <f aca="false">'Raw Atomic Data (Pro)'!C721</f>
        <v>Payments and earnings</v>
      </c>
      <c r="L721" s="1" t="str">
        <f aca="false">'Raw Atomic Data (Pro)'!D721</f>
        <v>pricing-rate-setting</v>
      </c>
      <c r="M721" s="1" t="str">
        <f aca="false">'Raw Atomic Data (Pro)'!E721</f>
        <v>fact</v>
      </c>
      <c r="N721" s="1" t="n">
        <f aca="false">IF(OR(M721="friction",M721="need",M721="workaround"),1,0)</f>
        <v>0</v>
      </c>
      <c r="O721" s="1" t="n">
        <f aca="false">IF(COUNTIFS($K$2:K721,K721,$L$2:L721,L721,$M$2:M721,M721,$J$2:J721,J721)=1,1,0)</f>
        <v>1</v>
      </c>
      <c r="P721" s="1" t="n">
        <f aca="false">IF(AND(N721=1,S721=1,COUNTIFS($L$2:L721,L721,$J$2:J721,J721,$N$2:N721,1,$S$2:S721,1)=1),1,0)</f>
        <v>0</v>
      </c>
      <c r="Q721" s="1" t="n">
        <f aca="false">IF(AND(N721=1,S721=1,COUNTIFS($L$2:L721,L721,$K$2:K721,K721,$N$2:N721,1,$S$2:S721,1)=1),1,0)</f>
        <v>0</v>
      </c>
      <c r="R721" s="1" t="n">
        <f aca="false">IF(AND(N721=1,COUNTIFS($K$2:K721,K721,$L$2:L721,L721,$J$2:J721,J721,$N$2:N721,1)=1),1,0)</f>
        <v>0</v>
      </c>
      <c r="S721" s="1" t="n">
        <f aca="false">IF(AND(K721&lt;&gt;"Context and provider model",K721&lt;&gt;"Motivation"),1,0)</f>
        <v>1</v>
      </c>
    </row>
    <row r="722" customFormat="false" ht="15" hidden="false" customHeight="true" outlineLevel="0" collapsed="false">
      <c r="J722" s="1" t="str">
        <f aca="false">'Raw Atomic Data (Pro)'!A722</f>
        <v>Erika</v>
      </c>
      <c r="K722" s="1" t="str">
        <f aca="false">'Raw Atomic Data (Pro)'!C722</f>
        <v>Payments and earnings</v>
      </c>
      <c r="L722" s="1" t="str">
        <f aca="false">'Raw Atomic Data (Pro)'!D722</f>
        <v>pricing-rate-setting</v>
      </c>
      <c r="M722" s="1" t="str">
        <f aca="false">'Raw Atomic Data (Pro)'!E722</f>
        <v>fact</v>
      </c>
      <c r="N722" s="1" t="n">
        <f aca="false">IF(OR(M722="friction",M722="need",M722="workaround"),1,0)</f>
        <v>0</v>
      </c>
      <c r="O722" s="1" t="n">
        <f aca="false">IF(COUNTIFS($K$2:K722,K722,$L$2:L722,L722,$M$2:M722,M722,$J$2:J722,J722)=1,1,0)</f>
        <v>1</v>
      </c>
      <c r="P722" s="1" t="n">
        <f aca="false">IF(AND(N722=1,S722=1,COUNTIFS($L$2:L722,L722,$J$2:J722,J722,$N$2:N722,1,$S$2:S722,1)=1),1,0)</f>
        <v>0</v>
      </c>
      <c r="Q722" s="1" t="n">
        <f aca="false">IF(AND(N722=1,S722=1,COUNTIFS($L$2:L722,L722,$K$2:K722,K722,$N$2:N722,1,$S$2:S722,1)=1),1,0)</f>
        <v>0</v>
      </c>
      <c r="R722" s="1" t="n">
        <f aca="false">IF(AND(N722=1,COUNTIFS($K$2:K722,K722,$L$2:L722,L722,$J$2:J722,J722,$N$2:N722,1)=1),1,0)</f>
        <v>0</v>
      </c>
      <c r="S722" s="1" t="n">
        <f aca="false">IF(AND(K722&lt;&gt;"Context and provider model",K722&lt;&gt;"Motivation"),1,0)</f>
        <v>1</v>
      </c>
    </row>
    <row r="723" customFormat="false" ht="15" hidden="false" customHeight="true" outlineLevel="0" collapsed="false">
      <c r="J723" s="1" t="str">
        <f aca="false">'Raw Atomic Data (Pro)'!A723</f>
        <v>Erika</v>
      </c>
      <c r="K723" s="1" t="str">
        <f aca="false">'Raw Atomic Data (Pro)'!C723</f>
        <v>Payments and earnings</v>
      </c>
      <c r="L723" s="1" t="str">
        <f aca="false">'Raw Atomic Data (Pro)'!D723</f>
        <v>pricing-rate-setting</v>
      </c>
      <c r="M723" s="1" t="str">
        <f aca="false">'Raw Atomic Data (Pro)'!E723</f>
        <v>fact</v>
      </c>
      <c r="N723" s="1" t="n">
        <f aca="false">IF(OR(M723="friction",M723="need",M723="workaround"),1,0)</f>
        <v>0</v>
      </c>
      <c r="O723" s="1" t="n">
        <f aca="false">IF(COUNTIFS($K$2:K723,K723,$L$2:L723,L723,$M$2:M723,M723,$J$2:J723,J723)=1,1,0)</f>
        <v>0</v>
      </c>
      <c r="P723" s="1" t="n">
        <f aca="false">IF(AND(N723=1,S723=1,COUNTIFS($L$2:L723,L723,$J$2:J723,J723,$N$2:N723,1,$S$2:S723,1)=1),1,0)</f>
        <v>0</v>
      </c>
      <c r="Q723" s="1" t="n">
        <f aca="false">IF(AND(N723=1,S723=1,COUNTIFS($L$2:L723,L723,$K$2:K723,K723,$N$2:N723,1,$S$2:S723,1)=1),1,0)</f>
        <v>0</v>
      </c>
      <c r="R723" s="1" t="n">
        <f aca="false">IF(AND(N723=1,COUNTIFS($K$2:K723,K723,$L$2:L723,L723,$J$2:J723,J723,$N$2:N723,1)=1),1,0)</f>
        <v>0</v>
      </c>
      <c r="S723" s="1" t="n">
        <f aca="false">IF(AND(K723&lt;&gt;"Context and provider model",K723&lt;&gt;"Motivation"),1,0)</f>
        <v>1</v>
      </c>
    </row>
    <row r="724" customFormat="false" ht="15" hidden="false" customHeight="true" outlineLevel="0" collapsed="false">
      <c r="J724" s="1" t="str">
        <f aca="false">'Raw Atomic Data (Pro)'!A724</f>
        <v>Erika</v>
      </c>
      <c r="K724" s="1" t="str">
        <f aca="false">'Raw Atomic Data (Pro)'!C724</f>
        <v>Payments and earnings</v>
      </c>
      <c r="L724" s="1" t="str">
        <f aca="false">'Raw Atomic Data (Pro)'!D724</f>
        <v>fee-commission-structure</v>
      </c>
      <c r="M724" s="1" t="str">
        <f aca="false">'Raw Atomic Data (Pro)'!E724</f>
        <v>fact</v>
      </c>
      <c r="N724" s="1" t="n">
        <f aca="false">IF(OR(M724="friction",M724="need",M724="workaround"),1,0)</f>
        <v>0</v>
      </c>
      <c r="O724" s="1" t="n">
        <f aca="false">IF(COUNTIFS($K$2:K724,K724,$L$2:L724,L724,$M$2:M724,M724,$J$2:J724,J724)=1,1,0)</f>
        <v>1</v>
      </c>
      <c r="P724" s="1" t="n">
        <f aca="false">IF(AND(N724=1,S724=1,COUNTIFS($L$2:L724,L724,$J$2:J724,J724,$N$2:N724,1,$S$2:S724,1)=1),1,0)</f>
        <v>0</v>
      </c>
      <c r="Q724" s="1" t="n">
        <f aca="false">IF(AND(N724=1,S724=1,COUNTIFS($L$2:L724,L724,$K$2:K724,K724,$N$2:N724,1,$S$2:S724,1)=1),1,0)</f>
        <v>0</v>
      </c>
      <c r="R724" s="1" t="n">
        <f aca="false">IF(AND(N724=1,COUNTIFS($K$2:K724,K724,$L$2:L724,L724,$J$2:J724,J724,$N$2:N724,1)=1),1,0)</f>
        <v>0</v>
      </c>
      <c r="S724" s="1" t="n">
        <f aca="false">IF(AND(K724&lt;&gt;"Context and provider model",K724&lt;&gt;"Motivation"),1,0)</f>
        <v>1</v>
      </c>
    </row>
    <row r="725" customFormat="false" ht="15" hidden="false" customHeight="true" outlineLevel="0" collapsed="false">
      <c r="J725" s="1" t="str">
        <f aca="false">'Raw Atomic Data (Pro)'!A725</f>
        <v>Erika</v>
      </c>
      <c r="K725" s="1" t="str">
        <f aca="false">'Raw Atomic Data (Pro)'!C725</f>
        <v>Payments and earnings</v>
      </c>
      <c r="L725" s="1" t="str">
        <f aca="false">'Raw Atomic Data (Pro)'!D725</f>
        <v>fee-commission-structure</v>
      </c>
      <c r="M725" s="1" t="str">
        <f aca="false">'Raw Atomic Data (Pro)'!E725</f>
        <v>value-statement</v>
      </c>
      <c r="N725" s="1" t="n">
        <f aca="false">IF(OR(M725="friction",M725="need",M725="workaround"),1,0)</f>
        <v>0</v>
      </c>
      <c r="O725" s="1" t="n">
        <f aca="false">IF(COUNTIFS($K$2:K725,K725,$L$2:L725,L725,$M$2:M725,M725,$J$2:J725,J725)=1,1,0)</f>
        <v>1</v>
      </c>
      <c r="P725" s="1" t="n">
        <f aca="false">IF(AND(N725=1,S725=1,COUNTIFS($L$2:L725,L725,$J$2:J725,J725,$N$2:N725,1,$S$2:S725,1)=1),1,0)</f>
        <v>0</v>
      </c>
      <c r="Q725" s="1" t="n">
        <f aca="false">IF(AND(N725=1,S725=1,COUNTIFS($L$2:L725,L725,$K$2:K725,K725,$N$2:N725,1,$S$2:S725,1)=1),1,0)</f>
        <v>0</v>
      </c>
      <c r="R725" s="1" t="n">
        <f aca="false">IF(AND(N725=1,COUNTIFS($K$2:K725,K725,$L$2:L725,L725,$J$2:J725,J725,$N$2:N725,1)=1),1,0)</f>
        <v>0</v>
      </c>
      <c r="S725" s="1" t="n">
        <f aca="false">IF(AND(K725&lt;&gt;"Context and provider model",K725&lt;&gt;"Motivation"),1,0)</f>
        <v>1</v>
      </c>
    </row>
    <row r="726" customFormat="false" ht="15" hidden="false" customHeight="true" outlineLevel="0" collapsed="false">
      <c r="J726" s="1" t="str">
        <f aca="false">'Raw Atomic Data (Pro)'!A726</f>
        <v>Erika</v>
      </c>
      <c r="K726" s="1" t="str">
        <f aca="false">'Raw Atomic Data (Pro)'!C726</f>
        <v>Payments and earnings</v>
      </c>
      <c r="L726" s="1" t="str">
        <f aca="false">'Raw Atomic Data (Pro)'!D726</f>
        <v>fee-commission-structure</v>
      </c>
      <c r="M726" s="1" t="str">
        <f aca="false">'Raw Atomic Data (Pro)'!E726</f>
        <v>fact</v>
      </c>
      <c r="N726" s="1" t="n">
        <f aca="false">IF(OR(M726="friction",M726="need",M726="workaround"),1,0)</f>
        <v>0</v>
      </c>
      <c r="O726" s="1" t="n">
        <f aca="false">IF(COUNTIFS($K$2:K726,K726,$L$2:L726,L726,$M$2:M726,M726,$J$2:J726,J726)=1,1,0)</f>
        <v>0</v>
      </c>
      <c r="P726" s="1" t="n">
        <f aca="false">IF(AND(N726=1,S726=1,COUNTIFS($L$2:L726,L726,$J$2:J726,J726,$N$2:N726,1,$S$2:S726,1)=1),1,0)</f>
        <v>0</v>
      </c>
      <c r="Q726" s="1" t="n">
        <f aca="false">IF(AND(N726=1,S726=1,COUNTIFS($L$2:L726,L726,$K$2:K726,K726,$N$2:N726,1,$S$2:S726,1)=1),1,0)</f>
        <v>0</v>
      </c>
      <c r="R726" s="1" t="n">
        <f aca="false">IF(AND(N726=1,COUNTIFS($K$2:K726,K726,$L$2:L726,L726,$J$2:J726,J726,$N$2:N726,1)=1),1,0)</f>
        <v>0</v>
      </c>
      <c r="S726" s="1" t="n">
        <f aca="false">IF(AND(K726&lt;&gt;"Context and provider model",K726&lt;&gt;"Motivation"),1,0)</f>
        <v>1</v>
      </c>
    </row>
    <row r="727" customFormat="false" ht="15" hidden="false" customHeight="true" outlineLevel="0" collapsed="false">
      <c r="J727" s="1" t="str">
        <f aca="false">'Raw Atomic Data (Pro)'!A727</f>
        <v>Erika</v>
      </c>
      <c r="K727" s="1" t="str">
        <f aca="false">'Raw Atomic Data (Pro)'!C727</f>
        <v>Payments and earnings</v>
      </c>
      <c r="L727" s="1" t="str">
        <f aca="false">'Raw Atomic Data (Pro)'!D727</f>
        <v>fee-commission-structure</v>
      </c>
      <c r="M727" s="1" t="str">
        <f aca="false">'Raw Atomic Data (Pro)'!E727</f>
        <v>value-statement</v>
      </c>
      <c r="N727" s="1" t="n">
        <f aca="false">IF(OR(M727="friction",M727="need",M727="workaround"),1,0)</f>
        <v>0</v>
      </c>
      <c r="O727" s="1" t="n">
        <f aca="false">IF(COUNTIFS($K$2:K727,K727,$L$2:L727,L727,$M$2:M727,M727,$J$2:J727,J727)=1,1,0)</f>
        <v>0</v>
      </c>
      <c r="P727" s="1" t="n">
        <f aca="false">IF(AND(N727=1,S727=1,COUNTIFS($L$2:L727,L727,$J$2:J727,J727,$N$2:N727,1,$S$2:S727,1)=1),1,0)</f>
        <v>0</v>
      </c>
      <c r="Q727" s="1" t="n">
        <f aca="false">IF(AND(N727=1,S727=1,COUNTIFS($L$2:L727,L727,$K$2:K727,K727,$N$2:N727,1,$S$2:S727,1)=1),1,0)</f>
        <v>0</v>
      </c>
      <c r="R727" s="1" t="n">
        <f aca="false">IF(AND(N727=1,COUNTIFS($K$2:K727,K727,$L$2:L727,L727,$J$2:J727,J727,$N$2:N727,1)=1),1,0)</f>
        <v>0</v>
      </c>
      <c r="S727" s="1" t="n">
        <f aca="false">IF(AND(K727&lt;&gt;"Context and provider model",K727&lt;&gt;"Motivation"),1,0)</f>
        <v>1</v>
      </c>
    </row>
    <row r="728" customFormat="false" ht="15" hidden="false" customHeight="true" outlineLevel="0" collapsed="false">
      <c r="J728" s="1" t="str">
        <f aca="false">'Raw Atomic Data (Pro)'!A728</f>
        <v>Erika</v>
      </c>
      <c r="K728" s="1" t="str">
        <f aca="false">'Raw Atomic Data (Pro)'!C728</f>
        <v>Payments and earnings</v>
      </c>
      <c r="L728" s="1" t="str">
        <f aca="false">'Raw Atomic Data (Pro)'!D728</f>
        <v>insurance-liability-coverage</v>
      </c>
      <c r="M728" s="1" t="str">
        <f aca="false">'Raw Atomic Data (Pro)'!E728</f>
        <v>fact</v>
      </c>
      <c r="N728" s="1" t="n">
        <f aca="false">IF(OR(M728="friction",M728="need",M728="workaround"),1,0)</f>
        <v>0</v>
      </c>
      <c r="O728" s="1" t="n">
        <f aca="false">IF(COUNTIFS($K$2:K728,K728,$L$2:L728,L728,$M$2:M728,M728,$J$2:J728,J728)=1,1,0)</f>
        <v>1</v>
      </c>
      <c r="P728" s="1" t="n">
        <f aca="false">IF(AND(N728=1,S728=1,COUNTIFS($L$2:L728,L728,$J$2:J728,J728,$N$2:N728,1,$S$2:S728,1)=1),1,0)</f>
        <v>0</v>
      </c>
      <c r="Q728" s="1" t="n">
        <f aca="false">IF(AND(N728=1,S728=1,COUNTIFS($L$2:L728,L728,$K$2:K728,K728,$N$2:N728,1,$S$2:S728,1)=1),1,0)</f>
        <v>0</v>
      </c>
      <c r="R728" s="1" t="n">
        <f aca="false">IF(AND(N728=1,COUNTIFS($K$2:K728,K728,$L$2:L728,L728,$J$2:J728,J728,$N$2:N728,1)=1),1,0)</f>
        <v>0</v>
      </c>
      <c r="S728" s="1" t="n">
        <f aca="false">IF(AND(K728&lt;&gt;"Context and provider model",K728&lt;&gt;"Motivation"),1,0)</f>
        <v>1</v>
      </c>
    </row>
    <row r="729" customFormat="false" ht="15" hidden="false" customHeight="true" outlineLevel="0" collapsed="false">
      <c r="J729" s="1" t="str">
        <f aca="false">'Raw Atomic Data (Pro)'!A729</f>
        <v>Erika</v>
      </c>
      <c r="K729" s="1" t="str">
        <f aca="false">'Raw Atomic Data (Pro)'!C729</f>
        <v>Payments and earnings</v>
      </c>
      <c r="L729" s="1" t="str">
        <f aca="false">'Raw Atomic Data (Pro)'!D729</f>
        <v>insurance-liability-coverage</v>
      </c>
      <c r="M729" s="1" t="str">
        <f aca="false">'Raw Atomic Data (Pro)'!E729</f>
        <v>friction</v>
      </c>
      <c r="N729" s="1" t="n">
        <f aca="false">IF(OR(M729="friction",M729="need",M729="workaround"),1,0)</f>
        <v>1</v>
      </c>
      <c r="O729" s="1" t="n">
        <f aca="false">IF(COUNTIFS($K$2:K729,K729,$L$2:L729,L729,$M$2:M729,M729,$J$2:J729,J729)=1,1,0)</f>
        <v>1</v>
      </c>
      <c r="P729" s="1" t="n">
        <f aca="false">IF(AND(N729=1,S729=1,COUNTIFS($L$2:L729,L729,$J$2:J729,J729,$N$2:N729,1,$S$2:S729,1)=1),1,0)</f>
        <v>1</v>
      </c>
      <c r="Q729" s="1" t="n">
        <f aca="false">IF(AND(N729=1,S729=1,COUNTIFS($L$2:L729,L729,$K$2:K729,K729,$N$2:N729,1,$S$2:S729,1)=1),1,0)</f>
        <v>1</v>
      </c>
      <c r="R729" s="1" t="n">
        <f aca="false">IF(AND(N729=1,COUNTIFS($K$2:K729,K729,$L$2:L729,L729,$J$2:J729,J729,$N$2:N729,1)=1),1,0)</f>
        <v>1</v>
      </c>
      <c r="S729" s="1" t="n">
        <f aca="false">IF(AND(K729&lt;&gt;"Context and provider model",K729&lt;&gt;"Motivation"),1,0)</f>
        <v>1</v>
      </c>
    </row>
    <row r="730" customFormat="false" ht="15" hidden="false" customHeight="true" outlineLevel="0" collapsed="false">
      <c r="J730" s="1" t="str">
        <f aca="false">'Raw Atomic Data (Pro)'!A730</f>
        <v>Erika</v>
      </c>
      <c r="K730" s="1" t="str">
        <f aca="false">'Raw Atomic Data (Pro)'!C730</f>
        <v>Payments and earnings</v>
      </c>
      <c r="L730" s="1" t="str">
        <f aca="false">'Raw Atomic Data (Pro)'!D730</f>
        <v>insurance-liability-coverage</v>
      </c>
      <c r="M730" s="1" t="str">
        <f aca="false">'Raw Atomic Data (Pro)'!E730</f>
        <v>need</v>
      </c>
      <c r="N730" s="1" t="n">
        <f aca="false">IF(OR(M730="friction",M730="need",M730="workaround"),1,0)</f>
        <v>1</v>
      </c>
      <c r="O730" s="1" t="n">
        <f aca="false">IF(COUNTIFS($K$2:K730,K730,$L$2:L730,L730,$M$2:M730,M730,$J$2:J730,J730)=1,1,0)</f>
        <v>1</v>
      </c>
      <c r="P730" s="1" t="n">
        <f aca="false">IF(AND(N730=1,S730=1,COUNTIFS($L$2:L730,L730,$J$2:J730,J730,$N$2:N730,1,$S$2:S730,1)=1),1,0)</f>
        <v>0</v>
      </c>
      <c r="Q730" s="1" t="n">
        <f aca="false">IF(AND(N730=1,S730=1,COUNTIFS($L$2:L730,L730,$K$2:K730,K730,$N$2:N730,1,$S$2:S730,1)=1),1,0)</f>
        <v>0</v>
      </c>
      <c r="R730" s="1" t="n">
        <f aca="false">IF(AND(N730=1,COUNTIFS($K$2:K730,K730,$L$2:L730,L730,$J$2:J730,J730,$N$2:N730,1)=1),1,0)</f>
        <v>0</v>
      </c>
      <c r="S730" s="1" t="n">
        <f aca="false">IF(AND(K730&lt;&gt;"Context and provider model",K730&lt;&gt;"Motivation"),1,0)</f>
        <v>1</v>
      </c>
    </row>
    <row r="731" customFormat="false" ht="15" hidden="false" customHeight="true" outlineLevel="0" collapsed="false">
      <c r="J731" s="1" t="str">
        <f aca="false">'Raw Atomic Data (Pro)'!A731</f>
        <v>Kristin</v>
      </c>
      <c r="K731" s="1" t="str">
        <f aca="false">'Raw Atomic Data (Pro)'!C731</f>
        <v>Payments and earnings</v>
      </c>
      <c r="L731" s="1" t="str">
        <f aca="false">'Raw Atomic Data (Pro)'!D731</f>
        <v>fee-commission-structure</v>
      </c>
      <c r="M731" s="1" t="str">
        <f aca="false">'Raw Atomic Data (Pro)'!E731</f>
        <v>value-statement</v>
      </c>
      <c r="N731" s="1" t="n">
        <f aca="false">IF(OR(M731="friction",M731="need",M731="workaround"),1,0)</f>
        <v>0</v>
      </c>
      <c r="O731" s="1" t="n">
        <f aca="false">IF(COUNTIFS($K$2:K731,K731,$L$2:L731,L731,$M$2:M731,M731,$J$2:J731,J731)=1,1,0)</f>
        <v>1</v>
      </c>
      <c r="P731" s="1" t="n">
        <f aca="false">IF(AND(N731=1,S731=1,COUNTIFS($L$2:L731,L731,$J$2:J731,J731,$N$2:N731,1,$S$2:S731,1)=1),1,0)</f>
        <v>0</v>
      </c>
      <c r="Q731" s="1" t="n">
        <f aca="false">IF(AND(N731=1,S731=1,COUNTIFS($L$2:L731,L731,$K$2:K731,K731,$N$2:N731,1,$S$2:S731,1)=1),1,0)</f>
        <v>0</v>
      </c>
      <c r="R731" s="1" t="n">
        <f aca="false">IF(AND(N731=1,COUNTIFS($K$2:K731,K731,$L$2:L731,L731,$J$2:J731,J731,$N$2:N731,1)=1),1,0)</f>
        <v>0</v>
      </c>
      <c r="S731" s="1" t="n">
        <f aca="false">IF(AND(K731&lt;&gt;"Context and provider model",K731&lt;&gt;"Motivation"),1,0)</f>
        <v>1</v>
      </c>
    </row>
    <row r="732" customFormat="false" ht="15" hidden="false" customHeight="true" outlineLevel="0" collapsed="false">
      <c r="J732" s="1" t="str">
        <f aca="false">'Raw Atomic Data (Pro)'!A732</f>
        <v>Kristin</v>
      </c>
      <c r="K732" s="1" t="str">
        <f aca="false">'Raw Atomic Data (Pro)'!C732</f>
        <v>Payments and earnings</v>
      </c>
      <c r="L732" s="1" t="str">
        <f aca="false">'Raw Atomic Data (Pro)'!D732</f>
        <v>private-business-parallel-ops</v>
      </c>
      <c r="M732" s="1" t="str">
        <f aca="false">'Raw Atomic Data (Pro)'!E732</f>
        <v>fact</v>
      </c>
      <c r="N732" s="1" t="n">
        <f aca="false">IF(OR(M732="friction",M732="need",M732="workaround"),1,0)</f>
        <v>0</v>
      </c>
      <c r="O732" s="1" t="n">
        <f aca="false">IF(COUNTIFS($K$2:K732,K732,$L$2:L732,L732,$M$2:M732,M732,$J$2:J732,J732)=1,1,0)</f>
        <v>1</v>
      </c>
      <c r="P732" s="1" t="n">
        <f aca="false">IF(AND(N732=1,S732=1,COUNTIFS($L$2:L732,L732,$J$2:J732,J732,$N$2:N732,1,$S$2:S732,1)=1),1,0)</f>
        <v>0</v>
      </c>
      <c r="Q732" s="1" t="n">
        <f aca="false">IF(AND(N732=1,S732=1,COUNTIFS($L$2:L732,L732,$K$2:K732,K732,$N$2:N732,1,$S$2:S732,1)=1),1,0)</f>
        <v>0</v>
      </c>
      <c r="R732" s="1" t="n">
        <f aca="false">IF(AND(N732=1,COUNTIFS($K$2:K732,K732,$L$2:L732,L732,$J$2:J732,J732,$N$2:N732,1)=1),1,0)</f>
        <v>0</v>
      </c>
      <c r="S732" s="1" t="n">
        <f aca="false">IF(AND(K732&lt;&gt;"Context and provider model",K732&lt;&gt;"Motivation"),1,0)</f>
        <v>1</v>
      </c>
    </row>
    <row r="733" customFormat="false" ht="15" hidden="false" customHeight="true" outlineLevel="0" collapsed="false">
      <c r="J733" s="1" t="str">
        <f aca="false">'Raw Atomic Data (Pro)'!A733</f>
        <v>Kristin</v>
      </c>
      <c r="K733" s="1" t="str">
        <f aca="false">'Raw Atomic Data (Pro)'!C733</f>
        <v>Payments and earnings</v>
      </c>
      <c r="L733" s="1" t="str">
        <f aca="false">'Raw Atomic Data (Pro)'!D733</f>
        <v>booking-confirmation-mechanics</v>
      </c>
      <c r="M733" s="1" t="str">
        <f aca="false">'Raw Atomic Data (Pro)'!E733</f>
        <v>fact</v>
      </c>
      <c r="N733" s="1" t="n">
        <f aca="false">IF(OR(M733="friction",M733="need",M733="workaround"),1,0)</f>
        <v>0</v>
      </c>
      <c r="O733" s="1" t="n">
        <f aca="false">IF(COUNTIFS($K$2:K733,K733,$L$2:L733,L733,$M$2:M733,M733,$J$2:J733,J733)=1,1,0)</f>
        <v>1</v>
      </c>
      <c r="P733" s="1" t="n">
        <f aca="false">IF(AND(N733=1,S733=1,COUNTIFS($L$2:L733,L733,$J$2:J733,J733,$N$2:N733,1,$S$2:S733,1)=1),1,0)</f>
        <v>0</v>
      </c>
      <c r="Q733" s="1" t="n">
        <f aca="false">IF(AND(N733=1,S733=1,COUNTIFS($L$2:L733,L733,$K$2:K733,K733,$N$2:N733,1,$S$2:S733,1)=1),1,0)</f>
        <v>0</v>
      </c>
      <c r="R733" s="1" t="n">
        <f aca="false">IF(AND(N733=1,COUNTIFS($K$2:K733,K733,$L$2:L733,L733,$J$2:J733,J733,$N$2:N733,1)=1),1,0)</f>
        <v>0</v>
      </c>
      <c r="S733" s="1" t="n">
        <f aca="false">IF(AND(K733&lt;&gt;"Context and provider model",K733&lt;&gt;"Motivation"),1,0)</f>
        <v>1</v>
      </c>
    </row>
    <row r="734" customFormat="false" ht="15" hidden="false" customHeight="true" outlineLevel="0" collapsed="false">
      <c r="J734" s="1" t="str">
        <f aca="false">'Raw Atomic Data (Pro)'!A734</f>
        <v>Kristin</v>
      </c>
      <c r="K734" s="1" t="str">
        <f aca="false">'Raw Atomic Data (Pro)'!C734</f>
        <v>Payments and earnings</v>
      </c>
      <c r="L734" s="1" t="str">
        <f aca="false">'Raw Atomic Data (Pro)'!D734</f>
        <v>payout-timing-tracking</v>
      </c>
      <c r="M734" s="1" t="str">
        <f aca="false">'Raw Atomic Data (Pro)'!E734</f>
        <v>fact</v>
      </c>
      <c r="N734" s="1" t="n">
        <f aca="false">IF(OR(M734="friction",M734="need",M734="workaround"),1,0)</f>
        <v>0</v>
      </c>
      <c r="O734" s="1" t="n">
        <f aca="false">IF(COUNTIFS($K$2:K734,K734,$L$2:L734,L734,$M$2:M734,M734,$J$2:J734,J734)=1,1,0)</f>
        <v>1</v>
      </c>
      <c r="P734" s="1" t="n">
        <f aca="false">IF(AND(N734=1,S734=1,COUNTIFS($L$2:L734,L734,$J$2:J734,J734,$N$2:N734,1,$S$2:S734,1)=1),1,0)</f>
        <v>0</v>
      </c>
      <c r="Q734" s="1" t="n">
        <f aca="false">IF(AND(N734=1,S734=1,COUNTIFS($L$2:L734,L734,$K$2:K734,K734,$N$2:N734,1,$S$2:S734,1)=1),1,0)</f>
        <v>0</v>
      </c>
      <c r="R734" s="1" t="n">
        <f aca="false">IF(AND(N734=1,COUNTIFS($K$2:K734,K734,$L$2:L734,L734,$J$2:J734,J734,$N$2:N734,1)=1),1,0)</f>
        <v>0</v>
      </c>
      <c r="S734" s="1" t="n">
        <f aca="false">IF(AND(K734&lt;&gt;"Context and provider model",K734&lt;&gt;"Motivation"),1,0)</f>
        <v>1</v>
      </c>
    </row>
    <row r="735" customFormat="false" ht="15" hidden="false" customHeight="true" outlineLevel="0" collapsed="false">
      <c r="J735" s="1" t="str">
        <f aca="false">'Raw Atomic Data (Pro)'!A735</f>
        <v>Kristin</v>
      </c>
      <c r="K735" s="1" t="str">
        <f aca="false">'Raw Atomic Data (Pro)'!C735</f>
        <v>Payments and earnings</v>
      </c>
      <c r="L735" s="1" t="str">
        <f aca="false">'Raw Atomic Data (Pro)'!D735</f>
        <v>pricing-rate-setting</v>
      </c>
      <c r="M735" s="1" t="str">
        <f aca="false">'Raw Atomic Data (Pro)'!E735</f>
        <v>fact</v>
      </c>
      <c r="N735" s="1" t="n">
        <f aca="false">IF(OR(M735="friction",M735="need",M735="workaround"),1,0)</f>
        <v>0</v>
      </c>
      <c r="O735" s="1" t="n">
        <f aca="false">IF(COUNTIFS($K$2:K735,K735,$L$2:L735,L735,$M$2:M735,M735,$J$2:J735,J735)=1,1,0)</f>
        <v>1</v>
      </c>
      <c r="P735" s="1" t="n">
        <f aca="false">IF(AND(N735=1,S735=1,COUNTIFS($L$2:L735,L735,$J$2:J735,J735,$N$2:N735,1,$S$2:S735,1)=1),1,0)</f>
        <v>0</v>
      </c>
      <c r="Q735" s="1" t="n">
        <f aca="false">IF(AND(N735=1,S735=1,COUNTIFS($L$2:L735,L735,$K$2:K735,K735,$N$2:N735,1,$S$2:S735,1)=1),1,0)</f>
        <v>0</v>
      </c>
      <c r="R735" s="1" t="n">
        <f aca="false">IF(AND(N735=1,COUNTIFS($K$2:K735,K735,$L$2:L735,L735,$J$2:J735,J735,$N$2:N735,1)=1),1,0)</f>
        <v>0</v>
      </c>
      <c r="S735" s="1" t="n">
        <f aca="false">IF(AND(K735&lt;&gt;"Context and provider model",K735&lt;&gt;"Motivation"),1,0)</f>
        <v>1</v>
      </c>
    </row>
    <row r="736" customFormat="false" ht="15" hidden="false" customHeight="true" outlineLevel="0" collapsed="false">
      <c r="J736" s="1" t="str">
        <f aca="false">'Raw Atomic Data (Pro)'!A736</f>
        <v>Kristin</v>
      </c>
      <c r="K736" s="1" t="str">
        <f aca="false">'Raw Atomic Data (Pro)'!C736</f>
        <v>Payments and earnings</v>
      </c>
      <c r="L736" s="1" t="str">
        <f aca="false">'Raw Atomic Data (Pro)'!D736</f>
        <v>pricing-rate-setting</v>
      </c>
      <c r="M736" s="1" t="str">
        <f aca="false">'Raw Atomic Data (Pro)'!E736</f>
        <v>fact</v>
      </c>
      <c r="N736" s="1" t="n">
        <f aca="false">IF(OR(M736="friction",M736="need",M736="workaround"),1,0)</f>
        <v>0</v>
      </c>
      <c r="O736" s="1" t="n">
        <f aca="false">IF(COUNTIFS($K$2:K736,K736,$L$2:L736,L736,$M$2:M736,M736,$J$2:J736,J736)=1,1,0)</f>
        <v>0</v>
      </c>
      <c r="P736" s="1" t="n">
        <f aca="false">IF(AND(N736=1,S736=1,COUNTIFS($L$2:L736,L736,$J$2:J736,J736,$N$2:N736,1,$S$2:S736,1)=1),1,0)</f>
        <v>0</v>
      </c>
      <c r="Q736" s="1" t="n">
        <f aca="false">IF(AND(N736=1,S736=1,COUNTIFS($L$2:L736,L736,$K$2:K736,K736,$N$2:N736,1,$S$2:S736,1)=1),1,0)</f>
        <v>0</v>
      </c>
      <c r="R736" s="1" t="n">
        <f aca="false">IF(AND(N736=1,COUNTIFS($K$2:K736,K736,$L$2:L736,L736,$J$2:J736,J736,$N$2:N736,1)=1),1,0)</f>
        <v>0</v>
      </c>
      <c r="S736" s="1" t="n">
        <f aca="false">IF(AND(K736&lt;&gt;"Context and provider model",K736&lt;&gt;"Motivation"),1,0)</f>
        <v>1</v>
      </c>
    </row>
    <row r="737" customFormat="false" ht="15" hidden="false" customHeight="true" outlineLevel="0" collapsed="false">
      <c r="J737" s="1" t="str">
        <f aca="false">'Raw Atomic Data (Pro)'!A737</f>
        <v>Kristin</v>
      </c>
      <c r="K737" s="1" t="str">
        <f aca="false">'Raw Atomic Data (Pro)'!C737</f>
        <v>Payments and earnings</v>
      </c>
      <c r="L737" s="1" t="str">
        <f aca="false">'Raw Atomic Data (Pro)'!D737</f>
        <v>fee-commission-structure</v>
      </c>
      <c r="M737" s="1" t="str">
        <f aca="false">'Raw Atomic Data (Pro)'!E737</f>
        <v>value-statement</v>
      </c>
      <c r="N737" s="1" t="n">
        <f aca="false">IF(OR(M737="friction",M737="need",M737="workaround"),1,0)</f>
        <v>0</v>
      </c>
      <c r="O737" s="1" t="n">
        <f aca="false">IF(COUNTIFS($K$2:K737,K737,$L$2:L737,L737,$M$2:M737,M737,$J$2:J737,J737)=1,1,0)</f>
        <v>0</v>
      </c>
      <c r="P737" s="1" t="n">
        <f aca="false">IF(AND(N737=1,S737=1,COUNTIFS($L$2:L737,L737,$J$2:J737,J737,$N$2:N737,1,$S$2:S737,1)=1),1,0)</f>
        <v>0</v>
      </c>
      <c r="Q737" s="1" t="n">
        <f aca="false">IF(AND(N737=1,S737=1,COUNTIFS($L$2:L737,L737,$K$2:K737,K737,$N$2:N737,1,$S$2:S737,1)=1),1,0)</f>
        <v>0</v>
      </c>
      <c r="R737" s="1" t="n">
        <f aca="false">IF(AND(N737=1,COUNTIFS($K$2:K737,K737,$L$2:L737,L737,$J$2:J737,J737,$N$2:N737,1)=1),1,0)</f>
        <v>0</v>
      </c>
      <c r="S737" s="1" t="n">
        <f aca="false">IF(AND(K737&lt;&gt;"Context and provider model",K737&lt;&gt;"Motivation"),1,0)</f>
        <v>1</v>
      </c>
    </row>
    <row r="738" customFormat="false" ht="15" hidden="false" customHeight="true" outlineLevel="0" collapsed="false">
      <c r="J738" s="1" t="str">
        <f aca="false">'Raw Atomic Data (Pro)'!A738</f>
        <v>Naomi</v>
      </c>
      <c r="K738" s="1" t="str">
        <f aca="false">'Raw Atomic Data (Pro)'!C738</f>
        <v>Payments and earnings</v>
      </c>
      <c r="L738" s="1" t="str">
        <f aca="false">'Raw Atomic Data (Pro)'!D738</f>
        <v>business-model-fit</v>
      </c>
      <c r="M738" s="1" t="str">
        <f aca="false">'Raw Atomic Data (Pro)'!E738</f>
        <v>fact</v>
      </c>
      <c r="N738" s="1" t="n">
        <f aca="false">IF(OR(M738="friction",M738="need",M738="workaround"),1,0)</f>
        <v>0</v>
      </c>
      <c r="O738" s="1" t="n">
        <f aca="false">IF(COUNTIFS($K$2:K738,K738,$L$2:L738,L738,$M$2:M738,M738,$J$2:J738,J738)=1,1,0)</f>
        <v>1</v>
      </c>
      <c r="P738" s="1" t="n">
        <f aca="false">IF(AND(N738=1,S738=1,COUNTIFS($L$2:L738,L738,$J$2:J738,J738,$N$2:N738,1,$S$2:S738,1)=1),1,0)</f>
        <v>0</v>
      </c>
      <c r="Q738" s="1" t="n">
        <f aca="false">IF(AND(N738=1,S738=1,COUNTIFS($L$2:L738,L738,$K$2:K738,K738,$N$2:N738,1,$S$2:S738,1)=1),1,0)</f>
        <v>0</v>
      </c>
      <c r="R738" s="1" t="n">
        <f aca="false">IF(AND(N738=1,COUNTIFS($K$2:K738,K738,$L$2:L738,L738,$J$2:J738,J738,$N$2:N738,1)=1),1,0)</f>
        <v>0</v>
      </c>
      <c r="S738" s="1" t="n">
        <f aca="false">IF(AND(K738&lt;&gt;"Context and provider model",K738&lt;&gt;"Motivation"),1,0)</f>
        <v>1</v>
      </c>
    </row>
    <row r="739" customFormat="false" ht="15" hidden="false" customHeight="true" outlineLevel="0" collapsed="false">
      <c r="J739" s="1" t="str">
        <f aca="false">'Raw Atomic Data (Pro)'!A739</f>
        <v>Naomi</v>
      </c>
      <c r="K739" s="1" t="str">
        <f aca="false">'Raw Atomic Data (Pro)'!C739</f>
        <v>Payments and earnings</v>
      </c>
      <c r="L739" s="1" t="str">
        <f aca="false">'Raw Atomic Data (Pro)'!D739</f>
        <v>private-business-parallel-ops</v>
      </c>
      <c r="M739" s="1" t="str">
        <f aca="false">'Raw Atomic Data (Pro)'!E739</f>
        <v>fact</v>
      </c>
      <c r="N739" s="1" t="n">
        <f aca="false">IF(OR(M739="friction",M739="need",M739="workaround"),1,0)</f>
        <v>0</v>
      </c>
      <c r="O739" s="1" t="n">
        <f aca="false">IF(COUNTIFS($K$2:K739,K739,$L$2:L739,L739,$M$2:M739,M739,$J$2:J739,J739)=1,1,0)</f>
        <v>1</v>
      </c>
      <c r="P739" s="1" t="n">
        <f aca="false">IF(AND(N739=1,S739=1,COUNTIFS($L$2:L739,L739,$J$2:J739,J739,$N$2:N739,1,$S$2:S739,1)=1),1,0)</f>
        <v>0</v>
      </c>
      <c r="Q739" s="1" t="n">
        <f aca="false">IF(AND(N739=1,S739=1,COUNTIFS($L$2:L739,L739,$K$2:K739,K739,$N$2:N739,1,$S$2:S739,1)=1),1,0)</f>
        <v>0</v>
      </c>
      <c r="R739" s="1" t="n">
        <f aca="false">IF(AND(N739=1,COUNTIFS($K$2:K739,K739,$L$2:L739,L739,$J$2:J739,J739,$N$2:N739,1)=1),1,0)</f>
        <v>0</v>
      </c>
      <c r="S739" s="1" t="n">
        <f aca="false">IF(AND(K739&lt;&gt;"Context and provider model",K739&lt;&gt;"Motivation"),1,0)</f>
        <v>1</v>
      </c>
    </row>
    <row r="740" customFormat="false" ht="15" hidden="false" customHeight="true" outlineLevel="0" collapsed="false">
      <c r="J740" s="1" t="str">
        <f aca="false">'Raw Atomic Data (Pro)'!A740</f>
        <v>Naomi</v>
      </c>
      <c r="K740" s="1" t="str">
        <f aca="false">'Raw Atomic Data (Pro)'!C740</f>
        <v>Payments and earnings</v>
      </c>
      <c r="L740" s="1" t="str">
        <f aca="false">'Raw Atomic Data (Pro)'!D740</f>
        <v>payout-timing-tracking</v>
      </c>
      <c r="M740" s="1" t="str">
        <f aca="false">'Raw Atomic Data (Pro)'!E740</f>
        <v>need</v>
      </c>
      <c r="N740" s="1" t="n">
        <f aca="false">IF(OR(M740="friction",M740="need",M740="workaround"),1,0)</f>
        <v>1</v>
      </c>
      <c r="O740" s="1" t="n">
        <f aca="false">IF(COUNTIFS($K$2:K740,K740,$L$2:L740,L740,$M$2:M740,M740,$J$2:J740,J740)=1,1,0)</f>
        <v>1</v>
      </c>
      <c r="P740" s="1" t="n">
        <f aca="false">IF(AND(N740=1,S740=1,COUNTIFS($L$2:L740,L740,$J$2:J740,J740,$N$2:N740,1,$S$2:S740,1)=1),1,0)</f>
        <v>1</v>
      </c>
      <c r="Q740" s="1" t="n">
        <f aca="false">IF(AND(N740=1,S740=1,COUNTIFS($L$2:L740,L740,$K$2:K740,K740,$N$2:N740,1,$S$2:S740,1)=1),1,0)</f>
        <v>0</v>
      </c>
      <c r="R740" s="1" t="n">
        <f aca="false">IF(AND(N740=1,COUNTIFS($K$2:K740,K740,$L$2:L740,L740,$J$2:J740,J740,$N$2:N740,1)=1),1,0)</f>
        <v>1</v>
      </c>
      <c r="S740" s="1" t="n">
        <f aca="false">IF(AND(K740&lt;&gt;"Context and provider model",K740&lt;&gt;"Motivation"),1,0)</f>
        <v>1</v>
      </c>
    </row>
    <row r="741" customFormat="false" ht="15" hidden="false" customHeight="true" outlineLevel="0" collapsed="false">
      <c r="J741" s="1" t="str">
        <f aca="false">'Raw Atomic Data (Pro)'!A741</f>
        <v>Naomi</v>
      </c>
      <c r="K741" s="1" t="str">
        <f aca="false">'Raw Atomic Data (Pro)'!C741</f>
        <v>Payments and earnings</v>
      </c>
      <c r="L741" s="1" t="str">
        <f aca="false">'Raw Atomic Data (Pro)'!D741</f>
        <v>pricing-rate-setting</v>
      </c>
      <c r="M741" s="1" t="str">
        <f aca="false">'Raw Atomic Data (Pro)'!E741</f>
        <v>fact</v>
      </c>
      <c r="N741" s="1" t="n">
        <f aca="false">IF(OR(M741="friction",M741="need",M741="workaround"),1,0)</f>
        <v>0</v>
      </c>
      <c r="O741" s="1" t="n">
        <f aca="false">IF(COUNTIFS($K$2:K741,K741,$L$2:L741,L741,$M$2:M741,M741,$J$2:J741,J741)=1,1,0)</f>
        <v>1</v>
      </c>
      <c r="P741" s="1" t="n">
        <f aca="false">IF(AND(N741=1,S741=1,COUNTIFS($L$2:L741,L741,$J$2:J741,J741,$N$2:N741,1,$S$2:S741,1)=1),1,0)</f>
        <v>0</v>
      </c>
      <c r="Q741" s="1" t="n">
        <f aca="false">IF(AND(N741=1,S741=1,COUNTIFS($L$2:L741,L741,$K$2:K741,K741,$N$2:N741,1,$S$2:S741,1)=1),1,0)</f>
        <v>0</v>
      </c>
      <c r="R741" s="1" t="n">
        <f aca="false">IF(AND(N741=1,COUNTIFS($K$2:K741,K741,$L$2:L741,L741,$J$2:J741,J741,$N$2:N741,1)=1),1,0)</f>
        <v>0</v>
      </c>
      <c r="S741" s="1" t="n">
        <f aca="false">IF(AND(K741&lt;&gt;"Context and provider model",K741&lt;&gt;"Motivation"),1,0)</f>
        <v>1</v>
      </c>
    </row>
    <row r="742" customFormat="false" ht="15" hidden="false" customHeight="true" outlineLevel="0" collapsed="false">
      <c r="J742" s="1" t="str">
        <f aca="false">'Raw Atomic Data (Pro)'!A742</f>
        <v>Naomi</v>
      </c>
      <c r="K742" s="1" t="str">
        <f aca="false">'Raw Atomic Data (Pro)'!C742</f>
        <v>Payments and earnings</v>
      </c>
      <c r="L742" s="1" t="str">
        <f aca="false">'Raw Atomic Data (Pro)'!D742</f>
        <v>business-model-fit</v>
      </c>
      <c r="M742" s="1" t="str">
        <f aca="false">'Raw Atomic Data (Pro)'!E742</f>
        <v>fact</v>
      </c>
      <c r="N742" s="1" t="n">
        <f aca="false">IF(OR(M742="friction",M742="need",M742="workaround"),1,0)</f>
        <v>0</v>
      </c>
      <c r="O742" s="1" t="n">
        <f aca="false">IF(COUNTIFS($K$2:K742,K742,$L$2:L742,L742,$M$2:M742,M742,$J$2:J742,J742)=1,1,0)</f>
        <v>0</v>
      </c>
      <c r="P742" s="1" t="n">
        <f aca="false">IF(AND(N742=1,S742=1,COUNTIFS($L$2:L742,L742,$J$2:J742,J742,$N$2:N742,1,$S$2:S742,1)=1),1,0)</f>
        <v>0</v>
      </c>
      <c r="Q742" s="1" t="n">
        <f aca="false">IF(AND(N742=1,S742=1,COUNTIFS($L$2:L742,L742,$K$2:K742,K742,$N$2:N742,1,$S$2:S742,1)=1),1,0)</f>
        <v>0</v>
      </c>
      <c r="R742" s="1" t="n">
        <f aca="false">IF(AND(N742=1,COUNTIFS($K$2:K742,K742,$L$2:L742,L742,$J$2:J742,J742,$N$2:N742,1)=1),1,0)</f>
        <v>0</v>
      </c>
      <c r="S742" s="1" t="n">
        <f aca="false">IF(AND(K742&lt;&gt;"Context and provider model",K742&lt;&gt;"Motivation"),1,0)</f>
        <v>1</v>
      </c>
    </row>
    <row r="743" customFormat="false" ht="15" hidden="false" customHeight="true" outlineLevel="0" collapsed="false">
      <c r="J743" s="1" t="str">
        <f aca="false">'Raw Atomic Data (Pro)'!A743</f>
        <v>Shania</v>
      </c>
      <c r="K743" s="1" t="str">
        <f aca="false">'Raw Atomic Data (Pro)'!C743</f>
        <v>Payments and earnings</v>
      </c>
      <c r="L743" s="1" t="str">
        <f aca="false">'Raw Atomic Data (Pro)'!D743</f>
        <v>booking-confirmation-mechanics</v>
      </c>
      <c r="M743" s="1" t="str">
        <f aca="false">'Raw Atomic Data (Pro)'!E743</f>
        <v>fact</v>
      </c>
      <c r="N743" s="1" t="n">
        <f aca="false">IF(OR(M743="friction",M743="need",M743="workaround"),1,0)</f>
        <v>0</v>
      </c>
      <c r="O743" s="1" t="n">
        <f aca="false">IF(COUNTIFS($K$2:K743,K743,$L$2:L743,L743,$M$2:M743,M743,$J$2:J743,J743)=1,1,0)</f>
        <v>1</v>
      </c>
      <c r="P743" s="1" t="n">
        <f aca="false">IF(AND(N743=1,S743=1,COUNTIFS($L$2:L743,L743,$J$2:J743,J743,$N$2:N743,1,$S$2:S743,1)=1),1,0)</f>
        <v>0</v>
      </c>
      <c r="Q743" s="1" t="n">
        <f aca="false">IF(AND(N743=1,S743=1,COUNTIFS($L$2:L743,L743,$K$2:K743,K743,$N$2:N743,1,$S$2:S743,1)=1),1,0)</f>
        <v>0</v>
      </c>
      <c r="R743" s="1" t="n">
        <f aca="false">IF(AND(N743=1,COUNTIFS($K$2:K743,K743,$L$2:L743,L743,$J$2:J743,J743,$N$2:N743,1)=1),1,0)</f>
        <v>0</v>
      </c>
      <c r="S743" s="1" t="n">
        <f aca="false">IF(AND(K743&lt;&gt;"Context and provider model",K743&lt;&gt;"Motivation"),1,0)</f>
        <v>1</v>
      </c>
    </row>
    <row r="744" customFormat="false" ht="15" hidden="false" customHeight="true" outlineLevel="0" collapsed="false">
      <c r="J744" s="1" t="str">
        <f aca="false">'Raw Atomic Data (Pro)'!A744</f>
        <v>Shania</v>
      </c>
      <c r="K744" s="1" t="str">
        <f aca="false">'Raw Atomic Data (Pro)'!C744</f>
        <v>Payments and earnings</v>
      </c>
      <c r="L744" s="1" t="str">
        <f aca="false">'Raw Atomic Data (Pro)'!D744</f>
        <v>booking-confirmation-mechanics</v>
      </c>
      <c r="M744" s="1" t="str">
        <f aca="false">'Raw Atomic Data (Pro)'!E744</f>
        <v>fact</v>
      </c>
      <c r="N744" s="1" t="n">
        <f aca="false">IF(OR(M744="friction",M744="need",M744="workaround"),1,0)</f>
        <v>0</v>
      </c>
      <c r="O744" s="1" t="n">
        <f aca="false">IF(COUNTIFS($K$2:K744,K744,$L$2:L744,L744,$M$2:M744,M744,$J$2:J744,J744)=1,1,0)</f>
        <v>0</v>
      </c>
      <c r="P744" s="1" t="n">
        <f aca="false">IF(AND(N744=1,S744=1,COUNTIFS($L$2:L744,L744,$J$2:J744,J744,$N$2:N744,1,$S$2:S744,1)=1),1,0)</f>
        <v>0</v>
      </c>
      <c r="Q744" s="1" t="n">
        <f aca="false">IF(AND(N744=1,S744=1,COUNTIFS($L$2:L744,L744,$K$2:K744,K744,$N$2:N744,1,$S$2:S744,1)=1),1,0)</f>
        <v>0</v>
      </c>
      <c r="R744" s="1" t="n">
        <f aca="false">IF(AND(N744=1,COUNTIFS($K$2:K744,K744,$L$2:L744,L744,$J$2:J744,J744,$N$2:N744,1)=1),1,0)</f>
        <v>0</v>
      </c>
      <c r="S744" s="1" t="n">
        <f aca="false">IF(AND(K744&lt;&gt;"Context and provider model",K744&lt;&gt;"Motivation"),1,0)</f>
        <v>1</v>
      </c>
    </row>
    <row r="745" customFormat="false" ht="15" hidden="false" customHeight="true" outlineLevel="0" collapsed="false">
      <c r="J745" s="1" t="str">
        <f aca="false">'Raw Atomic Data (Pro)'!A745</f>
        <v>Shania</v>
      </c>
      <c r="K745" s="1" t="str">
        <f aca="false">'Raw Atomic Data (Pro)'!C745</f>
        <v>Payments and earnings</v>
      </c>
      <c r="L745" s="1" t="str">
        <f aca="false">'Raw Atomic Data (Pro)'!D745</f>
        <v>pricing-rate-setting</v>
      </c>
      <c r="M745" s="1" t="str">
        <f aca="false">'Raw Atomic Data (Pro)'!E745</f>
        <v>fact</v>
      </c>
      <c r="N745" s="1" t="n">
        <f aca="false">IF(OR(M745="friction",M745="need",M745="workaround"),1,0)</f>
        <v>0</v>
      </c>
      <c r="O745" s="1" t="n">
        <f aca="false">IF(COUNTIFS($K$2:K745,K745,$L$2:L745,L745,$M$2:M745,M745,$J$2:J745,J745)=1,1,0)</f>
        <v>1</v>
      </c>
      <c r="P745" s="1" t="n">
        <f aca="false">IF(AND(N745=1,S745=1,COUNTIFS($L$2:L745,L745,$J$2:J745,J745,$N$2:N745,1,$S$2:S745,1)=1),1,0)</f>
        <v>0</v>
      </c>
      <c r="Q745" s="1" t="n">
        <f aca="false">IF(AND(N745=1,S745=1,COUNTIFS($L$2:L745,L745,$K$2:K745,K745,$N$2:N745,1,$S$2:S745,1)=1),1,0)</f>
        <v>0</v>
      </c>
      <c r="R745" s="1" t="n">
        <f aca="false">IF(AND(N745=1,COUNTIFS($K$2:K745,K745,$L$2:L745,L745,$J$2:J745,J745,$N$2:N745,1)=1),1,0)</f>
        <v>0</v>
      </c>
      <c r="S745" s="1" t="n">
        <f aca="false">IF(AND(K745&lt;&gt;"Context and provider model",K745&lt;&gt;"Motivation"),1,0)</f>
        <v>1</v>
      </c>
    </row>
    <row r="746" customFormat="false" ht="15" hidden="false" customHeight="true" outlineLevel="0" collapsed="false">
      <c r="J746" s="1" t="str">
        <f aca="false">'Raw Atomic Data (Pro)'!A746</f>
        <v>Shania</v>
      </c>
      <c r="K746" s="1" t="str">
        <f aca="false">'Raw Atomic Data (Pro)'!C746</f>
        <v>Payments and earnings</v>
      </c>
      <c r="L746" s="1" t="str">
        <f aca="false">'Raw Atomic Data (Pro)'!D746</f>
        <v>pricing-rate-setting</v>
      </c>
      <c r="M746" s="1" t="str">
        <f aca="false">'Raw Atomic Data (Pro)'!E746</f>
        <v>fact</v>
      </c>
      <c r="N746" s="1" t="n">
        <f aca="false">IF(OR(M746="friction",M746="need",M746="workaround"),1,0)</f>
        <v>0</v>
      </c>
      <c r="O746" s="1" t="n">
        <f aca="false">IF(COUNTIFS($K$2:K746,K746,$L$2:L746,L746,$M$2:M746,M746,$J$2:J746,J746)=1,1,0)</f>
        <v>0</v>
      </c>
      <c r="P746" s="1" t="n">
        <f aca="false">IF(AND(N746=1,S746=1,COUNTIFS($L$2:L746,L746,$J$2:J746,J746,$N$2:N746,1,$S$2:S746,1)=1),1,0)</f>
        <v>0</v>
      </c>
      <c r="Q746" s="1" t="n">
        <f aca="false">IF(AND(N746=1,S746=1,COUNTIFS($L$2:L746,L746,$K$2:K746,K746,$N$2:N746,1,$S$2:S746,1)=1),1,0)</f>
        <v>0</v>
      </c>
      <c r="R746" s="1" t="n">
        <f aca="false">IF(AND(N746=1,COUNTIFS($K$2:K746,K746,$L$2:L746,L746,$J$2:J746,J746,$N$2:N746,1)=1),1,0)</f>
        <v>0</v>
      </c>
      <c r="S746" s="1" t="n">
        <f aca="false">IF(AND(K746&lt;&gt;"Context and provider model",K746&lt;&gt;"Motivation"),1,0)</f>
        <v>1</v>
      </c>
    </row>
    <row r="747" customFormat="false" ht="15" hidden="false" customHeight="true" outlineLevel="0" collapsed="false">
      <c r="J747" s="1" t="str">
        <f aca="false">'Raw Atomic Data (Pro)'!A747</f>
        <v>Shania</v>
      </c>
      <c r="K747" s="1" t="str">
        <f aca="false">'Raw Atomic Data (Pro)'!C747</f>
        <v>Payments and earnings</v>
      </c>
      <c r="L747" s="1" t="str">
        <f aca="false">'Raw Atomic Data (Pro)'!D747</f>
        <v>pricing-rate-setting</v>
      </c>
      <c r="M747" s="1" t="str">
        <f aca="false">'Raw Atomic Data (Pro)'!E747</f>
        <v>fact</v>
      </c>
      <c r="N747" s="1" t="n">
        <f aca="false">IF(OR(M747="friction",M747="need",M747="workaround"),1,0)</f>
        <v>0</v>
      </c>
      <c r="O747" s="1" t="n">
        <f aca="false">IF(COUNTIFS($K$2:K747,K747,$L$2:L747,L747,$M$2:M747,M747,$J$2:J747,J747)=1,1,0)</f>
        <v>0</v>
      </c>
      <c r="P747" s="1" t="n">
        <f aca="false">IF(AND(N747=1,S747=1,COUNTIFS($L$2:L747,L747,$J$2:J747,J747,$N$2:N747,1,$S$2:S747,1)=1),1,0)</f>
        <v>0</v>
      </c>
      <c r="Q747" s="1" t="n">
        <f aca="false">IF(AND(N747=1,S747=1,COUNTIFS($L$2:L747,L747,$K$2:K747,K747,$N$2:N747,1,$S$2:S747,1)=1),1,0)</f>
        <v>0</v>
      </c>
      <c r="R747" s="1" t="n">
        <f aca="false">IF(AND(N747=1,COUNTIFS($K$2:K747,K747,$L$2:L747,L747,$J$2:J747,J747,$N$2:N747,1)=1),1,0)</f>
        <v>0</v>
      </c>
      <c r="S747" s="1" t="n">
        <f aca="false">IF(AND(K747&lt;&gt;"Context and provider model",K747&lt;&gt;"Motivation"),1,0)</f>
        <v>1</v>
      </c>
    </row>
    <row r="748" customFormat="false" ht="15" hidden="false" customHeight="true" outlineLevel="0" collapsed="false">
      <c r="J748" s="1" t="str">
        <f aca="false">'Raw Atomic Data (Pro)'!A748</f>
        <v>Shania</v>
      </c>
      <c r="K748" s="1" t="str">
        <f aca="false">'Raw Atomic Data (Pro)'!C748</f>
        <v>Payments and earnings</v>
      </c>
      <c r="L748" s="1" t="str">
        <f aca="false">'Raw Atomic Data (Pro)'!D748</f>
        <v>pricing-rate-setting</v>
      </c>
      <c r="M748" s="1" t="str">
        <f aca="false">'Raw Atomic Data (Pro)'!E748</f>
        <v>fact</v>
      </c>
      <c r="N748" s="1" t="n">
        <f aca="false">IF(OR(M748="friction",M748="need",M748="workaround"),1,0)</f>
        <v>0</v>
      </c>
      <c r="O748" s="1" t="n">
        <f aca="false">IF(COUNTIFS($K$2:K748,K748,$L$2:L748,L748,$M$2:M748,M748,$J$2:J748,J748)=1,1,0)</f>
        <v>0</v>
      </c>
      <c r="P748" s="1" t="n">
        <f aca="false">IF(AND(N748=1,S748=1,COUNTIFS($L$2:L748,L748,$J$2:J748,J748,$N$2:N748,1,$S$2:S748,1)=1),1,0)</f>
        <v>0</v>
      </c>
      <c r="Q748" s="1" t="n">
        <f aca="false">IF(AND(N748=1,S748=1,COUNTIFS($L$2:L748,L748,$K$2:K748,K748,$N$2:N748,1,$S$2:S748,1)=1),1,0)</f>
        <v>0</v>
      </c>
      <c r="R748" s="1" t="n">
        <f aca="false">IF(AND(N748=1,COUNTIFS($K$2:K748,K748,$L$2:L748,L748,$J$2:J748,J748,$N$2:N748,1)=1),1,0)</f>
        <v>0</v>
      </c>
      <c r="S748" s="1" t="n">
        <f aca="false">IF(AND(K748&lt;&gt;"Context and provider model",K748&lt;&gt;"Motivation"),1,0)</f>
        <v>1</v>
      </c>
    </row>
    <row r="749" customFormat="false" ht="15" hidden="false" customHeight="true" outlineLevel="0" collapsed="false">
      <c r="J749" s="1" t="str">
        <f aca="false">'Raw Atomic Data (Pro)'!A749</f>
        <v>Shania</v>
      </c>
      <c r="K749" s="1" t="str">
        <f aca="false">'Raw Atomic Data (Pro)'!C749</f>
        <v>Payments and earnings</v>
      </c>
      <c r="L749" s="1" t="str">
        <f aca="false">'Raw Atomic Data (Pro)'!D749</f>
        <v>pricing-rate-setting</v>
      </c>
      <c r="M749" s="1" t="str">
        <f aca="false">'Raw Atomic Data (Pro)'!E749</f>
        <v>fact</v>
      </c>
      <c r="N749" s="1" t="n">
        <f aca="false">IF(OR(M749="friction",M749="need",M749="workaround"),1,0)</f>
        <v>0</v>
      </c>
      <c r="O749" s="1" t="n">
        <f aca="false">IF(COUNTIFS($K$2:K749,K749,$L$2:L749,L749,$M$2:M749,M749,$J$2:J749,J749)=1,1,0)</f>
        <v>0</v>
      </c>
      <c r="P749" s="1" t="n">
        <f aca="false">IF(AND(N749=1,S749=1,COUNTIFS($L$2:L749,L749,$J$2:J749,J749,$N$2:N749,1,$S$2:S749,1)=1),1,0)</f>
        <v>0</v>
      </c>
      <c r="Q749" s="1" t="n">
        <f aca="false">IF(AND(N749=1,S749=1,COUNTIFS($L$2:L749,L749,$K$2:K749,K749,$N$2:N749,1,$S$2:S749,1)=1),1,0)</f>
        <v>0</v>
      </c>
      <c r="R749" s="1" t="n">
        <f aca="false">IF(AND(N749=1,COUNTIFS($K$2:K749,K749,$L$2:L749,L749,$J$2:J749,J749,$N$2:N749,1)=1),1,0)</f>
        <v>0</v>
      </c>
      <c r="S749" s="1" t="n">
        <f aca="false">IF(AND(K749&lt;&gt;"Context and provider model",K749&lt;&gt;"Motivation"),1,0)</f>
        <v>1</v>
      </c>
    </row>
    <row r="750" customFormat="false" ht="15" hidden="false" customHeight="true" outlineLevel="0" collapsed="false">
      <c r="J750" s="1" t="str">
        <f aca="false">'Raw Atomic Data (Pro)'!A750</f>
        <v>Shania</v>
      </c>
      <c r="K750" s="1" t="str">
        <f aca="false">'Raw Atomic Data (Pro)'!C750</f>
        <v>Payments and earnings</v>
      </c>
      <c r="L750" s="1" t="str">
        <f aca="false">'Raw Atomic Data (Pro)'!D750</f>
        <v>pricing-rate-setting</v>
      </c>
      <c r="M750" s="1" t="str">
        <f aca="false">'Raw Atomic Data (Pro)'!E750</f>
        <v>fact</v>
      </c>
      <c r="N750" s="1" t="n">
        <f aca="false">IF(OR(M750="friction",M750="need",M750="workaround"),1,0)</f>
        <v>0</v>
      </c>
      <c r="O750" s="1" t="n">
        <f aca="false">IF(COUNTIFS($K$2:K750,K750,$L$2:L750,L750,$M$2:M750,M750,$J$2:J750,J750)=1,1,0)</f>
        <v>0</v>
      </c>
      <c r="P750" s="1" t="n">
        <f aca="false">IF(AND(N750=1,S750=1,COUNTIFS($L$2:L750,L750,$J$2:J750,J750,$N$2:N750,1,$S$2:S750,1)=1),1,0)</f>
        <v>0</v>
      </c>
      <c r="Q750" s="1" t="n">
        <f aca="false">IF(AND(N750=1,S750=1,COUNTIFS($L$2:L750,L750,$K$2:K750,K750,$N$2:N750,1,$S$2:S750,1)=1),1,0)</f>
        <v>0</v>
      </c>
      <c r="R750" s="1" t="n">
        <f aca="false">IF(AND(N750=1,COUNTIFS($K$2:K750,K750,$L$2:L750,L750,$J$2:J750,J750,$N$2:N750,1)=1),1,0)</f>
        <v>0</v>
      </c>
      <c r="S750" s="1" t="n">
        <f aca="false">IF(AND(K750&lt;&gt;"Context and provider model",K750&lt;&gt;"Motivation"),1,0)</f>
        <v>1</v>
      </c>
    </row>
    <row r="751" customFormat="false" ht="15" hidden="false" customHeight="true" outlineLevel="0" collapsed="false">
      <c r="J751" s="1" t="str">
        <f aca="false">'Raw Atomic Data (Pro)'!A751</f>
        <v>Shania</v>
      </c>
      <c r="K751" s="1" t="str">
        <f aca="false">'Raw Atomic Data (Pro)'!C751</f>
        <v>Payments and earnings</v>
      </c>
      <c r="L751" s="1" t="str">
        <f aca="false">'Raw Atomic Data (Pro)'!D751</f>
        <v>fee-commission-structure</v>
      </c>
      <c r="M751" s="1" t="str">
        <f aca="false">'Raw Atomic Data (Pro)'!E751</f>
        <v>value-statement</v>
      </c>
      <c r="N751" s="1" t="n">
        <f aca="false">IF(OR(M751="friction",M751="need",M751="workaround"),1,0)</f>
        <v>0</v>
      </c>
      <c r="O751" s="1" t="n">
        <f aca="false">IF(COUNTIFS($K$2:K751,K751,$L$2:L751,L751,$M$2:M751,M751,$J$2:J751,J751)=1,1,0)</f>
        <v>1</v>
      </c>
      <c r="P751" s="1" t="n">
        <f aca="false">IF(AND(N751=1,S751=1,COUNTIFS($L$2:L751,L751,$J$2:J751,J751,$N$2:N751,1,$S$2:S751,1)=1),1,0)</f>
        <v>0</v>
      </c>
      <c r="Q751" s="1" t="n">
        <f aca="false">IF(AND(N751=1,S751=1,COUNTIFS($L$2:L751,L751,$K$2:K751,K751,$N$2:N751,1,$S$2:S751,1)=1),1,0)</f>
        <v>0</v>
      </c>
      <c r="R751" s="1" t="n">
        <f aca="false">IF(AND(N751=1,COUNTIFS($K$2:K751,K751,$L$2:L751,L751,$J$2:J751,J751,$N$2:N751,1)=1),1,0)</f>
        <v>0</v>
      </c>
      <c r="S751" s="1" t="n">
        <f aca="false">IF(AND(K751&lt;&gt;"Context and provider model",K751&lt;&gt;"Motivation"),1,0)</f>
        <v>1</v>
      </c>
    </row>
    <row r="752" customFormat="false" ht="15" hidden="false" customHeight="true" outlineLevel="0" collapsed="false">
      <c r="J752" s="1" t="str">
        <f aca="false">'Raw Atomic Data (Pro)'!A752</f>
        <v>Shania</v>
      </c>
      <c r="K752" s="1" t="str">
        <f aca="false">'Raw Atomic Data (Pro)'!C752</f>
        <v>Payments and earnings</v>
      </c>
      <c r="L752" s="1" t="str">
        <f aca="false">'Raw Atomic Data (Pro)'!D752</f>
        <v>fee-commission-structure</v>
      </c>
      <c r="M752" s="1" t="str">
        <f aca="false">'Raw Atomic Data (Pro)'!E752</f>
        <v>need</v>
      </c>
      <c r="N752" s="1" t="n">
        <f aca="false">IF(OR(M752="friction",M752="need",M752="workaround"),1,0)</f>
        <v>1</v>
      </c>
      <c r="O752" s="1" t="n">
        <f aca="false">IF(COUNTIFS($K$2:K752,K752,$L$2:L752,L752,$M$2:M752,M752,$J$2:J752,J752)=1,1,0)</f>
        <v>1</v>
      </c>
      <c r="P752" s="1" t="n">
        <f aca="false">IF(AND(N752=1,S752=1,COUNTIFS($L$2:L752,L752,$J$2:J752,J752,$N$2:N752,1,$S$2:S752,1)=1),1,0)</f>
        <v>1</v>
      </c>
      <c r="Q752" s="1" t="n">
        <f aca="false">IF(AND(N752=1,S752=1,COUNTIFS($L$2:L752,L752,$K$2:K752,K752,$N$2:N752,1,$S$2:S752,1)=1),1,0)</f>
        <v>0</v>
      </c>
      <c r="R752" s="1" t="n">
        <f aca="false">IF(AND(N752=1,COUNTIFS($K$2:K752,K752,$L$2:L752,L752,$J$2:J752,J752,$N$2:N752,1)=1),1,0)</f>
        <v>1</v>
      </c>
      <c r="S752" s="1" t="n">
        <f aca="false">IF(AND(K752&lt;&gt;"Context and provider model",K752&lt;&gt;"Motivation"),1,0)</f>
        <v>1</v>
      </c>
    </row>
    <row r="753" customFormat="false" ht="15" hidden="false" customHeight="true" outlineLevel="0" collapsed="false">
      <c r="J753" s="1" t="str">
        <f aca="false">'Raw Atomic Data (Pro)'!A753</f>
        <v>Tianrui</v>
      </c>
      <c r="K753" s="1" t="str">
        <f aca="false">'Raw Atomic Data (Pro)'!C753</f>
        <v>Payments and earnings</v>
      </c>
      <c r="L753" s="1" t="str">
        <f aca="false">'Raw Atomic Data (Pro)'!D753</f>
        <v>pricing-rate-setting</v>
      </c>
      <c r="M753" s="1" t="str">
        <f aca="false">'Raw Atomic Data (Pro)'!E753</f>
        <v>workaround</v>
      </c>
      <c r="N753" s="1" t="n">
        <f aca="false">IF(OR(M753="friction",M753="need",M753="workaround"),1,0)</f>
        <v>1</v>
      </c>
      <c r="O753" s="1" t="n">
        <f aca="false">IF(COUNTIFS($K$2:K753,K753,$L$2:L753,L753,$M$2:M753,M753,$J$2:J753,J753)=1,1,0)</f>
        <v>1</v>
      </c>
      <c r="P753" s="1" t="n">
        <f aca="false">IF(AND(N753=1,S753=1,COUNTIFS($L$2:L753,L753,$J$2:J753,J753,$N$2:N753,1,$S$2:S753,1)=1),1,0)</f>
        <v>1</v>
      </c>
      <c r="Q753" s="1" t="n">
        <f aca="false">IF(AND(N753=1,S753=1,COUNTIFS($L$2:L753,L753,$K$2:K753,K753,$N$2:N753,1,$S$2:S753,1)=1),1,0)</f>
        <v>0</v>
      </c>
      <c r="R753" s="1" t="n">
        <f aca="false">IF(AND(N753=1,COUNTIFS($K$2:K753,K753,$L$2:L753,L753,$J$2:J753,J753,$N$2:N753,1)=1),1,0)</f>
        <v>1</v>
      </c>
      <c r="S753" s="1" t="n">
        <f aca="false">IF(AND(K753&lt;&gt;"Context and provider model",K753&lt;&gt;"Motivation"),1,0)</f>
        <v>1</v>
      </c>
    </row>
    <row r="754" customFormat="false" ht="15" hidden="false" customHeight="true" outlineLevel="0" collapsed="false">
      <c r="J754" s="1" t="str">
        <f aca="false">'Raw Atomic Data (Pro)'!A754</f>
        <v>Tianrui</v>
      </c>
      <c r="K754" s="1" t="str">
        <f aca="false">'Raw Atomic Data (Pro)'!C754</f>
        <v>Payments and earnings</v>
      </c>
      <c r="L754" s="1" t="str">
        <f aca="false">'Raw Atomic Data (Pro)'!D754</f>
        <v>fee-commission-structure</v>
      </c>
      <c r="M754" s="1" t="str">
        <f aca="false">'Raw Atomic Data (Pro)'!E754</f>
        <v>friction</v>
      </c>
      <c r="N754" s="1" t="n">
        <f aca="false">IF(OR(M754="friction",M754="need",M754="workaround"),1,0)</f>
        <v>1</v>
      </c>
      <c r="O754" s="1" t="n">
        <f aca="false">IF(COUNTIFS($K$2:K754,K754,$L$2:L754,L754,$M$2:M754,M754,$J$2:J754,J754)=1,1,0)</f>
        <v>1</v>
      </c>
      <c r="P754" s="1" t="n">
        <f aca="false">IF(AND(N754=1,S754=1,COUNTIFS($L$2:L754,L754,$J$2:J754,J754,$N$2:N754,1,$S$2:S754,1)=1),1,0)</f>
        <v>1</v>
      </c>
      <c r="Q754" s="1" t="n">
        <f aca="false">IF(AND(N754=1,S754=1,COUNTIFS($L$2:L754,L754,$K$2:K754,K754,$N$2:N754,1,$S$2:S754,1)=1),1,0)</f>
        <v>0</v>
      </c>
      <c r="R754" s="1" t="n">
        <f aca="false">IF(AND(N754=1,COUNTIFS($K$2:K754,K754,$L$2:L754,L754,$J$2:J754,J754,$N$2:N754,1)=1),1,0)</f>
        <v>1</v>
      </c>
      <c r="S754" s="1" t="n">
        <f aca="false">IF(AND(K754&lt;&gt;"Context and provider model",K754&lt;&gt;"Motivation"),1,0)</f>
        <v>1</v>
      </c>
    </row>
    <row r="755" customFormat="false" ht="15" hidden="false" customHeight="true" outlineLevel="0" collapsed="false">
      <c r="J755" s="1" t="str">
        <f aca="false">'Raw Atomic Data (Pro)'!A755</f>
        <v>Tianrui</v>
      </c>
      <c r="K755" s="1" t="str">
        <f aca="false">'Raw Atomic Data (Pro)'!C755</f>
        <v>Payments and earnings</v>
      </c>
      <c r="L755" s="1" t="str">
        <f aca="false">'Raw Atomic Data (Pro)'!D755</f>
        <v>fee-commission-structure</v>
      </c>
      <c r="M755" s="1" t="str">
        <f aca="false">'Raw Atomic Data (Pro)'!E755</f>
        <v>fact</v>
      </c>
      <c r="N755" s="1" t="n">
        <f aca="false">IF(OR(M755="friction",M755="need",M755="workaround"),1,0)</f>
        <v>0</v>
      </c>
      <c r="O755" s="1" t="n">
        <f aca="false">IF(COUNTIFS($K$2:K755,K755,$L$2:L755,L755,$M$2:M755,M755,$J$2:J755,J755)=1,1,0)</f>
        <v>1</v>
      </c>
      <c r="P755" s="1" t="n">
        <f aca="false">IF(AND(N755=1,S755=1,COUNTIFS($L$2:L755,L755,$J$2:J755,J755,$N$2:N755,1,$S$2:S755,1)=1),1,0)</f>
        <v>0</v>
      </c>
      <c r="Q755" s="1" t="n">
        <f aca="false">IF(AND(N755=1,S755=1,COUNTIFS($L$2:L755,L755,$K$2:K755,K755,$N$2:N755,1,$S$2:S755,1)=1),1,0)</f>
        <v>0</v>
      </c>
      <c r="R755" s="1" t="n">
        <f aca="false">IF(AND(N755=1,COUNTIFS($K$2:K755,K755,$L$2:L755,L755,$J$2:J755,J755,$N$2:N755,1)=1),1,0)</f>
        <v>0</v>
      </c>
      <c r="S755" s="1" t="n">
        <f aca="false">IF(AND(K755&lt;&gt;"Context and provider model",K755&lt;&gt;"Motivation"),1,0)</f>
        <v>1</v>
      </c>
    </row>
    <row r="756" customFormat="false" ht="15" hidden="false" customHeight="true" outlineLevel="0" collapsed="false">
      <c r="J756" s="1" t="str">
        <f aca="false">'Raw Atomic Data (Pro)'!A756</f>
        <v>Tianrui</v>
      </c>
      <c r="K756" s="1" t="str">
        <f aca="false">'Raw Atomic Data (Pro)'!C756</f>
        <v>Payments and earnings</v>
      </c>
      <c r="L756" s="1" t="str">
        <f aca="false">'Raw Atomic Data (Pro)'!D756</f>
        <v>fee-commission-structure</v>
      </c>
      <c r="M756" s="1" t="str">
        <f aca="false">'Raw Atomic Data (Pro)'!E756</f>
        <v>need</v>
      </c>
      <c r="N756" s="1" t="n">
        <f aca="false">IF(OR(M756="friction",M756="need",M756="workaround"),1,0)</f>
        <v>1</v>
      </c>
      <c r="O756" s="1" t="n">
        <f aca="false">IF(COUNTIFS($K$2:K756,K756,$L$2:L756,L756,$M$2:M756,M756,$J$2:J756,J756)=1,1,0)</f>
        <v>1</v>
      </c>
      <c r="P756" s="1" t="n">
        <f aca="false">IF(AND(N756=1,S756=1,COUNTIFS($L$2:L756,L756,$J$2:J756,J756,$N$2:N756,1,$S$2:S756,1)=1),1,0)</f>
        <v>0</v>
      </c>
      <c r="Q756" s="1" t="n">
        <f aca="false">IF(AND(N756=1,S756=1,COUNTIFS($L$2:L756,L756,$K$2:K756,K756,$N$2:N756,1,$S$2:S756,1)=1),1,0)</f>
        <v>0</v>
      </c>
      <c r="R756" s="1" t="n">
        <f aca="false">IF(AND(N756=1,COUNTIFS($K$2:K756,K756,$L$2:L756,L756,$J$2:J756,J756,$N$2:N756,1)=1),1,0)</f>
        <v>0</v>
      </c>
      <c r="S756" s="1" t="n">
        <f aca="false">IF(AND(K756&lt;&gt;"Context and provider model",K756&lt;&gt;"Motivation"),1,0)</f>
        <v>1</v>
      </c>
    </row>
    <row r="757" customFormat="false" ht="15" hidden="false" customHeight="true" outlineLevel="0" collapsed="false">
      <c r="J757" s="1" t="str">
        <f aca="false">'Raw Atomic Data (Pro)'!A757</f>
        <v>Tianrui</v>
      </c>
      <c r="K757" s="1" t="str">
        <f aca="false">'Raw Atomic Data (Pro)'!C757</f>
        <v>Payments and earnings</v>
      </c>
      <c r="L757" s="1" t="str">
        <f aca="false">'Raw Atomic Data (Pro)'!D757</f>
        <v>pricing-rate-setting</v>
      </c>
      <c r="M757" s="1" t="str">
        <f aca="false">'Raw Atomic Data (Pro)'!E757</f>
        <v>fact</v>
      </c>
      <c r="N757" s="1" t="n">
        <f aca="false">IF(OR(M757="friction",M757="need",M757="workaround"),1,0)</f>
        <v>0</v>
      </c>
      <c r="O757" s="1" t="n">
        <f aca="false">IF(COUNTIFS($K$2:K757,K757,$L$2:L757,L757,$M$2:M757,M757,$J$2:J757,J757)=1,1,0)</f>
        <v>1</v>
      </c>
      <c r="P757" s="1" t="n">
        <f aca="false">IF(AND(N757=1,S757=1,COUNTIFS($L$2:L757,L757,$J$2:J757,J757,$N$2:N757,1,$S$2:S757,1)=1),1,0)</f>
        <v>0</v>
      </c>
      <c r="Q757" s="1" t="n">
        <f aca="false">IF(AND(N757=1,S757=1,COUNTIFS($L$2:L757,L757,$K$2:K757,K757,$N$2:N757,1,$S$2:S757,1)=1),1,0)</f>
        <v>0</v>
      </c>
      <c r="R757" s="1" t="n">
        <f aca="false">IF(AND(N757=1,COUNTIFS($K$2:K757,K757,$L$2:L757,L757,$J$2:J757,J757,$N$2:N757,1)=1),1,0)</f>
        <v>0</v>
      </c>
      <c r="S757" s="1" t="n">
        <f aca="false">IF(AND(K757&lt;&gt;"Context and provider model",K757&lt;&gt;"Motivation"),1,0)</f>
        <v>1</v>
      </c>
    </row>
    <row r="758" customFormat="false" ht="15" hidden="false" customHeight="true" outlineLevel="0" collapsed="false">
      <c r="J758" s="1" t="str">
        <f aca="false">'Raw Atomic Data (Pro)'!A758</f>
        <v>Tianrui</v>
      </c>
      <c r="K758" s="1" t="str">
        <f aca="false">'Raw Atomic Data (Pro)'!C758</f>
        <v>Payments and earnings</v>
      </c>
      <c r="L758" s="1" t="str">
        <f aca="false">'Raw Atomic Data (Pro)'!D758</f>
        <v>pricing-rate-setting</v>
      </c>
      <c r="M758" s="1" t="str">
        <f aca="false">'Raw Atomic Data (Pro)'!E758</f>
        <v>fact</v>
      </c>
      <c r="N758" s="1" t="n">
        <f aca="false">IF(OR(M758="friction",M758="need",M758="workaround"),1,0)</f>
        <v>0</v>
      </c>
      <c r="O758" s="1" t="n">
        <f aca="false">IF(COUNTIFS($K$2:K758,K758,$L$2:L758,L758,$M$2:M758,M758,$J$2:J758,J758)=1,1,0)</f>
        <v>0</v>
      </c>
      <c r="P758" s="1" t="n">
        <f aca="false">IF(AND(N758=1,S758=1,COUNTIFS($L$2:L758,L758,$J$2:J758,J758,$N$2:N758,1,$S$2:S758,1)=1),1,0)</f>
        <v>0</v>
      </c>
      <c r="Q758" s="1" t="n">
        <f aca="false">IF(AND(N758=1,S758=1,COUNTIFS($L$2:L758,L758,$K$2:K758,K758,$N$2:N758,1,$S$2:S758,1)=1),1,0)</f>
        <v>0</v>
      </c>
      <c r="R758" s="1" t="n">
        <f aca="false">IF(AND(N758=1,COUNTIFS($K$2:K758,K758,$L$2:L758,L758,$J$2:J758,J758,$N$2:N758,1)=1),1,0)</f>
        <v>0</v>
      </c>
      <c r="S758" s="1" t="n">
        <f aca="false">IF(AND(K758&lt;&gt;"Context and provider model",K758&lt;&gt;"Motivation"),1,0)</f>
        <v>1</v>
      </c>
    </row>
    <row r="759" customFormat="false" ht="15" hidden="false" customHeight="true" outlineLevel="0" collapsed="false">
      <c r="J759" s="1" t="str">
        <f aca="false">'Raw Atomic Data (Pro)'!A759</f>
        <v>Tianrui</v>
      </c>
      <c r="K759" s="1" t="str">
        <f aca="false">'Raw Atomic Data (Pro)'!C759</f>
        <v>Payments and earnings</v>
      </c>
      <c r="L759" s="1" t="str">
        <f aca="false">'Raw Atomic Data (Pro)'!D759</f>
        <v>payout-timing-tracking</v>
      </c>
      <c r="M759" s="1" t="str">
        <f aca="false">'Raw Atomic Data (Pro)'!E759</f>
        <v>friction</v>
      </c>
      <c r="N759" s="1" t="n">
        <f aca="false">IF(OR(M759="friction",M759="need",M759="workaround"),1,0)</f>
        <v>1</v>
      </c>
      <c r="O759" s="1" t="n">
        <f aca="false">IF(COUNTIFS($K$2:K759,K759,$L$2:L759,L759,$M$2:M759,M759,$J$2:J759,J759)=1,1,0)</f>
        <v>1</v>
      </c>
      <c r="P759" s="1" t="n">
        <f aca="false">IF(AND(N759=1,S759=1,COUNTIFS($L$2:L759,L759,$J$2:J759,J759,$N$2:N759,1,$S$2:S759,1)=1),1,0)</f>
        <v>1</v>
      </c>
      <c r="Q759" s="1" t="n">
        <f aca="false">IF(AND(N759=1,S759=1,COUNTIFS($L$2:L759,L759,$K$2:K759,K759,$N$2:N759,1,$S$2:S759,1)=1),1,0)</f>
        <v>0</v>
      </c>
      <c r="R759" s="1" t="n">
        <f aca="false">IF(AND(N759=1,COUNTIFS($K$2:K759,K759,$L$2:L759,L759,$J$2:J759,J759,$N$2:N759,1)=1),1,0)</f>
        <v>1</v>
      </c>
      <c r="S759" s="1" t="n">
        <f aca="false">IF(AND(K759&lt;&gt;"Context and provider model",K759&lt;&gt;"Motivation"),1,0)</f>
        <v>1</v>
      </c>
    </row>
    <row r="760" customFormat="false" ht="15" hidden="false" customHeight="true" outlineLevel="0" collapsed="false">
      <c r="J760" s="1" t="str">
        <f aca="false">'Raw Atomic Data (Pro)'!A760</f>
        <v>Tianrui</v>
      </c>
      <c r="K760" s="1" t="str">
        <f aca="false">'Raw Atomic Data (Pro)'!C760</f>
        <v>Payments and earnings</v>
      </c>
      <c r="L760" s="1" t="str">
        <f aca="false">'Raw Atomic Data (Pro)'!D760</f>
        <v>payout-timing-tracking</v>
      </c>
      <c r="M760" s="1" t="str">
        <f aca="false">'Raw Atomic Data (Pro)'!E760</f>
        <v>need</v>
      </c>
      <c r="N760" s="1" t="n">
        <f aca="false">IF(OR(M760="friction",M760="need",M760="workaround"),1,0)</f>
        <v>1</v>
      </c>
      <c r="O760" s="1" t="n">
        <f aca="false">IF(COUNTIFS($K$2:K760,K760,$L$2:L760,L760,$M$2:M760,M760,$J$2:J760,J760)=1,1,0)</f>
        <v>1</v>
      </c>
      <c r="P760" s="1" t="n">
        <f aca="false">IF(AND(N760=1,S760=1,COUNTIFS($L$2:L760,L760,$J$2:J760,J760,$N$2:N760,1,$S$2:S760,1)=1),1,0)</f>
        <v>0</v>
      </c>
      <c r="Q760" s="1" t="n">
        <f aca="false">IF(AND(N760=1,S760=1,COUNTIFS($L$2:L760,L760,$K$2:K760,K760,$N$2:N760,1,$S$2:S760,1)=1),1,0)</f>
        <v>0</v>
      </c>
      <c r="R760" s="1" t="n">
        <f aca="false">IF(AND(N760=1,COUNTIFS($K$2:K760,K760,$L$2:L760,L760,$J$2:J760,J760,$N$2:N760,1)=1),1,0)</f>
        <v>0</v>
      </c>
      <c r="S760" s="1" t="n">
        <f aca="false">IF(AND(K760&lt;&gt;"Context and provider model",K760&lt;&gt;"Motivation"),1,0)</f>
        <v>1</v>
      </c>
    </row>
    <row r="761" customFormat="false" ht="15" hidden="false" customHeight="true" outlineLevel="0" collapsed="false">
      <c r="J761" s="1" t="str">
        <f aca="false">'Raw Atomic Data (Pro)'!A761</f>
        <v>Tianrui</v>
      </c>
      <c r="K761" s="1" t="str">
        <f aca="false">'Raw Atomic Data (Pro)'!C761</f>
        <v>Payments and earnings</v>
      </c>
      <c r="L761" s="1" t="str">
        <f aca="false">'Raw Atomic Data (Pro)'!D761</f>
        <v>pricing-rate-setting</v>
      </c>
      <c r="M761" s="1" t="str">
        <f aca="false">'Raw Atomic Data (Pro)'!E761</f>
        <v>fact</v>
      </c>
      <c r="N761" s="1" t="n">
        <f aca="false">IF(OR(M761="friction",M761="need",M761="workaround"),1,0)</f>
        <v>0</v>
      </c>
      <c r="O761" s="1" t="n">
        <f aca="false">IF(COUNTIFS($K$2:K761,K761,$L$2:L761,L761,$M$2:M761,M761,$J$2:J761,J761)=1,1,0)</f>
        <v>0</v>
      </c>
      <c r="P761" s="1" t="n">
        <f aca="false">IF(AND(N761=1,S761=1,COUNTIFS($L$2:L761,L761,$J$2:J761,J761,$N$2:N761,1,$S$2:S761,1)=1),1,0)</f>
        <v>0</v>
      </c>
      <c r="Q761" s="1" t="n">
        <f aca="false">IF(AND(N761=1,S761=1,COUNTIFS($L$2:L761,L761,$K$2:K761,K761,$N$2:N761,1,$S$2:S761,1)=1),1,0)</f>
        <v>0</v>
      </c>
      <c r="R761" s="1" t="n">
        <f aca="false">IF(AND(N761=1,COUNTIFS($K$2:K761,K761,$L$2:L761,L761,$J$2:J761,J761,$N$2:N761,1)=1),1,0)</f>
        <v>0</v>
      </c>
      <c r="S761" s="1" t="n">
        <f aca="false">IF(AND(K761&lt;&gt;"Context and provider model",K761&lt;&gt;"Motivation"),1,0)</f>
        <v>1</v>
      </c>
    </row>
    <row r="762" customFormat="false" ht="15" hidden="false" customHeight="true" outlineLevel="0" collapsed="false">
      <c r="J762" s="1" t="str">
        <f aca="false">'Raw Atomic Data (Pro)'!A762</f>
        <v>Tifany</v>
      </c>
      <c r="K762" s="1" t="str">
        <f aca="false">'Raw Atomic Data (Pro)'!C762</f>
        <v>Payments and earnings</v>
      </c>
      <c r="L762" s="1" t="str">
        <f aca="false">'Raw Atomic Data (Pro)'!D762</f>
        <v>pricing-rate-setting</v>
      </c>
      <c r="M762" s="1" t="str">
        <f aca="false">'Raw Atomic Data (Pro)'!E762</f>
        <v>fact</v>
      </c>
      <c r="N762" s="1" t="n">
        <f aca="false">IF(OR(M762="friction",M762="need",M762="workaround"),1,0)</f>
        <v>0</v>
      </c>
      <c r="O762" s="1" t="n">
        <f aca="false">IF(COUNTIFS($K$2:K762,K762,$L$2:L762,L762,$M$2:M762,M762,$J$2:J762,J762)=1,1,0)</f>
        <v>1</v>
      </c>
      <c r="P762" s="1" t="n">
        <f aca="false">IF(AND(N762=1,S762=1,COUNTIFS($L$2:L762,L762,$J$2:J762,J762,$N$2:N762,1,$S$2:S762,1)=1),1,0)</f>
        <v>0</v>
      </c>
      <c r="Q762" s="1" t="n">
        <f aca="false">IF(AND(N762=1,S762=1,COUNTIFS($L$2:L762,L762,$K$2:K762,K762,$N$2:N762,1,$S$2:S762,1)=1),1,0)</f>
        <v>0</v>
      </c>
      <c r="R762" s="1" t="n">
        <f aca="false">IF(AND(N762=1,COUNTIFS($K$2:K762,K762,$L$2:L762,L762,$J$2:J762,J762,$N$2:N762,1)=1),1,0)</f>
        <v>0</v>
      </c>
      <c r="S762" s="1" t="n">
        <f aca="false">IF(AND(K762&lt;&gt;"Context and provider model",K762&lt;&gt;"Motivation"),1,0)</f>
        <v>1</v>
      </c>
    </row>
    <row r="763" customFormat="false" ht="15" hidden="false" customHeight="true" outlineLevel="0" collapsed="false">
      <c r="J763" s="1" t="str">
        <f aca="false">'Raw Atomic Data (Pro)'!A763</f>
        <v>Tifany</v>
      </c>
      <c r="K763" s="1" t="str">
        <f aca="false">'Raw Atomic Data (Pro)'!C763</f>
        <v>Payments and earnings</v>
      </c>
      <c r="L763" s="1" t="str">
        <f aca="false">'Raw Atomic Data (Pro)'!D763</f>
        <v>pricing-rate-setting</v>
      </c>
      <c r="M763" s="1" t="str">
        <f aca="false">'Raw Atomic Data (Pro)'!E763</f>
        <v>fact</v>
      </c>
      <c r="N763" s="1" t="n">
        <f aca="false">IF(OR(M763="friction",M763="need",M763="workaround"),1,0)</f>
        <v>0</v>
      </c>
      <c r="O763" s="1" t="n">
        <f aca="false">IF(COUNTIFS($K$2:K763,K763,$L$2:L763,L763,$M$2:M763,M763,$J$2:J763,J763)=1,1,0)</f>
        <v>0</v>
      </c>
      <c r="P763" s="1" t="n">
        <f aca="false">IF(AND(N763=1,S763=1,COUNTIFS($L$2:L763,L763,$J$2:J763,J763,$N$2:N763,1,$S$2:S763,1)=1),1,0)</f>
        <v>0</v>
      </c>
      <c r="Q763" s="1" t="n">
        <f aca="false">IF(AND(N763=1,S763=1,COUNTIFS($L$2:L763,L763,$K$2:K763,K763,$N$2:N763,1,$S$2:S763,1)=1),1,0)</f>
        <v>0</v>
      </c>
      <c r="R763" s="1" t="n">
        <f aca="false">IF(AND(N763=1,COUNTIFS($K$2:K763,K763,$L$2:L763,L763,$J$2:J763,J763,$N$2:N763,1)=1),1,0)</f>
        <v>0</v>
      </c>
      <c r="S763" s="1" t="n">
        <f aca="false">IF(AND(K763&lt;&gt;"Context and provider model",K763&lt;&gt;"Motivation"),1,0)</f>
        <v>1</v>
      </c>
    </row>
    <row r="764" customFormat="false" ht="15" hidden="false" customHeight="true" outlineLevel="0" collapsed="false">
      <c r="J764" s="1" t="str">
        <f aca="false">'Raw Atomic Data (Pro)'!A764</f>
        <v>Tifany</v>
      </c>
      <c r="K764" s="1" t="str">
        <f aca="false">'Raw Atomic Data (Pro)'!C764</f>
        <v>Payments and earnings</v>
      </c>
      <c r="L764" s="1" t="str">
        <f aca="false">'Raw Atomic Data (Pro)'!D764</f>
        <v>pricing-rate-setting</v>
      </c>
      <c r="M764" s="1" t="str">
        <f aca="false">'Raw Atomic Data (Pro)'!E764</f>
        <v>fact</v>
      </c>
      <c r="N764" s="1" t="n">
        <f aca="false">IF(OR(M764="friction",M764="need",M764="workaround"),1,0)</f>
        <v>0</v>
      </c>
      <c r="O764" s="1" t="n">
        <f aca="false">IF(COUNTIFS($K$2:K764,K764,$L$2:L764,L764,$M$2:M764,M764,$J$2:J764,J764)=1,1,0)</f>
        <v>0</v>
      </c>
      <c r="P764" s="1" t="n">
        <f aca="false">IF(AND(N764=1,S764=1,COUNTIFS($L$2:L764,L764,$J$2:J764,J764,$N$2:N764,1,$S$2:S764,1)=1),1,0)</f>
        <v>0</v>
      </c>
      <c r="Q764" s="1" t="n">
        <f aca="false">IF(AND(N764=1,S764=1,COUNTIFS($L$2:L764,L764,$K$2:K764,K764,$N$2:N764,1,$S$2:S764,1)=1),1,0)</f>
        <v>0</v>
      </c>
      <c r="R764" s="1" t="n">
        <f aca="false">IF(AND(N764=1,COUNTIFS($K$2:K764,K764,$L$2:L764,L764,$J$2:J764,J764,$N$2:N764,1)=1),1,0)</f>
        <v>0</v>
      </c>
      <c r="S764" s="1" t="n">
        <f aca="false">IF(AND(K764&lt;&gt;"Context and provider model",K764&lt;&gt;"Motivation"),1,0)</f>
        <v>1</v>
      </c>
    </row>
    <row r="765" customFormat="false" ht="15" hidden="false" customHeight="true" outlineLevel="0" collapsed="false">
      <c r="J765" s="1" t="str">
        <f aca="false">'Raw Atomic Data (Pro)'!A765</f>
        <v>Tifany</v>
      </c>
      <c r="K765" s="1" t="str">
        <f aca="false">'Raw Atomic Data (Pro)'!C765</f>
        <v>Payments and earnings</v>
      </c>
      <c r="L765" s="1" t="str">
        <f aca="false">'Raw Atomic Data (Pro)'!D765</f>
        <v>pricing-rate-setting</v>
      </c>
      <c r="M765" s="1" t="str">
        <f aca="false">'Raw Atomic Data (Pro)'!E765</f>
        <v>fact</v>
      </c>
      <c r="N765" s="1" t="n">
        <f aca="false">IF(OR(M765="friction",M765="need",M765="workaround"),1,0)</f>
        <v>0</v>
      </c>
      <c r="O765" s="1" t="n">
        <f aca="false">IF(COUNTIFS($K$2:K765,K765,$L$2:L765,L765,$M$2:M765,M765,$J$2:J765,J765)=1,1,0)</f>
        <v>0</v>
      </c>
      <c r="P765" s="1" t="n">
        <f aca="false">IF(AND(N765=1,S765=1,COUNTIFS($L$2:L765,L765,$J$2:J765,J765,$N$2:N765,1,$S$2:S765,1)=1),1,0)</f>
        <v>0</v>
      </c>
      <c r="Q765" s="1" t="n">
        <f aca="false">IF(AND(N765=1,S765=1,COUNTIFS($L$2:L765,L765,$K$2:K765,K765,$N$2:N765,1,$S$2:S765,1)=1),1,0)</f>
        <v>0</v>
      </c>
      <c r="R765" s="1" t="n">
        <f aca="false">IF(AND(N765=1,COUNTIFS($K$2:K765,K765,$L$2:L765,L765,$J$2:J765,J765,$N$2:N765,1)=1),1,0)</f>
        <v>0</v>
      </c>
      <c r="S765" s="1" t="n">
        <f aca="false">IF(AND(K765&lt;&gt;"Context and provider model",K765&lt;&gt;"Motivation"),1,0)</f>
        <v>1</v>
      </c>
    </row>
    <row r="766" customFormat="false" ht="15" hidden="false" customHeight="true" outlineLevel="0" collapsed="false">
      <c r="J766" s="1" t="str">
        <f aca="false">'Raw Atomic Data (Pro)'!A766</f>
        <v>Tifany</v>
      </c>
      <c r="K766" s="1" t="str">
        <f aca="false">'Raw Atomic Data (Pro)'!C766</f>
        <v>Payments and earnings</v>
      </c>
      <c r="L766" s="1" t="str">
        <f aca="false">'Raw Atomic Data (Pro)'!D766</f>
        <v>pricing-rate-setting</v>
      </c>
      <c r="M766" s="1" t="str">
        <f aca="false">'Raw Atomic Data (Pro)'!E766</f>
        <v>fact</v>
      </c>
      <c r="N766" s="1" t="n">
        <f aca="false">IF(OR(M766="friction",M766="need",M766="workaround"),1,0)</f>
        <v>0</v>
      </c>
      <c r="O766" s="1" t="n">
        <f aca="false">IF(COUNTIFS($K$2:K766,K766,$L$2:L766,L766,$M$2:M766,M766,$J$2:J766,J766)=1,1,0)</f>
        <v>0</v>
      </c>
      <c r="P766" s="1" t="n">
        <f aca="false">IF(AND(N766=1,S766=1,COUNTIFS($L$2:L766,L766,$J$2:J766,J766,$N$2:N766,1,$S$2:S766,1)=1),1,0)</f>
        <v>0</v>
      </c>
      <c r="Q766" s="1" t="n">
        <f aca="false">IF(AND(N766=1,S766=1,COUNTIFS($L$2:L766,L766,$K$2:K766,K766,$N$2:N766,1,$S$2:S766,1)=1),1,0)</f>
        <v>0</v>
      </c>
      <c r="R766" s="1" t="n">
        <f aca="false">IF(AND(N766=1,COUNTIFS($K$2:K766,K766,$L$2:L766,L766,$J$2:J766,J766,$N$2:N766,1)=1),1,0)</f>
        <v>0</v>
      </c>
      <c r="S766" s="1" t="n">
        <f aca="false">IF(AND(K766&lt;&gt;"Context and provider model",K766&lt;&gt;"Motivation"),1,0)</f>
        <v>1</v>
      </c>
    </row>
    <row r="767" customFormat="false" ht="15" hidden="false" customHeight="true" outlineLevel="0" collapsed="false">
      <c r="J767" s="1" t="str">
        <f aca="false">'Raw Atomic Data (Pro)'!A767</f>
        <v>Tifany</v>
      </c>
      <c r="K767" s="1" t="str">
        <f aca="false">'Raw Atomic Data (Pro)'!C767</f>
        <v>Payments and earnings</v>
      </c>
      <c r="L767" s="1" t="str">
        <f aca="false">'Raw Atomic Data (Pro)'!D767</f>
        <v>pricing-rate-setting</v>
      </c>
      <c r="M767" s="1" t="str">
        <f aca="false">'Raw Atomic Data (Pro)'!E767</f>
        <v>friction</v>
      </c>
      <c r="N767" s="1" t="n">
        <f aca="false">IF(OR(M767="friction",M767="need",M767="workaround"),1,0)</f>
        <v>1</v>
      </c>
      <c r="O767" s="1" t="n">
        <f aca="false">IF(COUNTIFS($K$2:K767,K767,$L$2:L767,L767,$M$2:M767,M767,$J$2:J767,J767)=1,1,0)</f>
        <v>1</v>
      </c>
      <c r="P767" s="1" t="n">
        <f aca="false">IF(AND(N767=1,S767=1,COUNTIFS($L$2:L767,L767,$J$2:J767,J767,$N$2:N767,1,$S$2:S767,1)=1),1,0)</f>
        <v>1</v>
      </c>
      <c r="Q767" s="1" t="n">
        <f aca="false">IF(AND(N767=1,S767=1,COUNTIFS($L$2:L767,L767,$K$2:K767,K767,$N$2:N767,1,$S$2:S767,1)=1),1,0)</f>
        <v>0</v>
      </c>
      <c r="R767" s="1" t="n">
        <f aca="false">IF(AND(N767=1,COUNTIFS($K$2:K767,K767,$L$2:L767,L767,$J$2:J767,J767,$N$2:N767,1)=1),1,0)</f>
        <v>1</v>
      </c>
      <c r="S767" s="1" t="n">
        <f aca="false">IF(AND(K767&lt;&gt;"Context and provider model",K767&lt;&gt;"Motivation"),1,0)</f>
        <v>1</v>
      </c>
    </row>
    <row r="768" customFormat="false" ht="15" hidden="false" customHeight="true" outlineLevel="0" collapsed="false">
      <c r="J768" s="1" t="str">
        <f aca="false">'Raw Atomic Data (Pro)'!A768</f>
        <v>Tifany</v>
      </c>
      <c r="K768" s="1" t="str">
        <f aca="false">'Raw Atomic Data (Pro)'!C768</f>
        <v>Payments and earnings</v>
      </c>
      <c r="L768" s="1" t="str">
        <f aca="false">'Raw Atomic Data (Pro)'!D768</f>
        <v>pricing-rate-setting</v>
      </c>
      <c r="M768" s="1" t="str">
        <f aca="false">'Raw Atomic Data (Pro)'!E768</f>
        <v>fact</v>
      </c>
      <c r="N768" s="1" t="n">
        <f aca="false">IF(OR(M768="friction",M768="need",M768="workaround"),1,0)</f>
        <v>0</v>
      </c>
      <c r="O768" s="1" t="n">
        <f aca="false">IF(COUNTIFS($K$2:K768,K768,$L$2:L768,L768,$M$2:M768,M768,$J$2:J768,J768)=1,1,0)</f>
        <v>0</v>
      </c>
      <c r="P768" s="1" t="n">
        <f aca="false">IF(AND(N768=1,S768=1,COUNTIFS($L$2:L768,L768,$J$2:J768,J768,$N$2:N768,1,$S$2:S768,1)=1),1,0)</f>
        <v>0</v>
      </c>
      <c r="Q768" s="1" t="n">
        <f aca="false">IF(AND(N768=1,S768=1,COUNTIFS($L$2:L768,L768,$K$2:K768,K768,$N$2:N768,1,$S$2:S768,1)=1),1,0)</f>
        <v>0</v>
      </c>
      <c r="R768" s="1" t="n">
        <f aca="false">IF(AND(N768=1,COUNTIFS($K$2:K768,K768,$L$2:L768,L768,$J$2:J768,J768,$N$2:N768,1)=1),1,0)</f>
        <v>0</v>
      </c>
      <c r="S768" s="1" t="n">
        <f aca="false">IF(AND(K768&lt;&gt;"Context and provider model",K768&lt;&gt;"Motivation"),1,0)</f>
        <v>1</v>
      </c>
    </row>
    <row r="769" customFormat="false" ht="15" hidden="false" customHeight="true" outlineLevel="0" collapsed="false">
      <c r="J769" s="1" t="str">
        <f aca="false">'Raw Atomic Data (Pro)'!A769</f>
        <v>Tifany</v>
      </c>
      <c r="K769" s="1" t="str">
        <f aca="false">'Raw Atomic Data (Pro)'!C769</f>
        <v>Payments and earnings</v>
      </c>
      <c r="L769" s="1" t="str">
        <f aca="false">'Raw Atomic Data (Pro)'!D769</f>
        <v>fee-commission-structure</v>
      </c>
      <c r="M769" s="1" t="str">
        <f aca="false">'Raw Atomic Data (Pro)'!E769</f>
        <v>value-statement</v>
      </c>
      <c r="N769" s="1" t="n">
        <f aca="false">IF(OR(M769="friction",M769="need",M769="workaround"),1,0)</f>
        <v>0</v>
      </c>
      <c r="O769" s="1" t="n">
        <f aca="false">IF(COUNTIFS($K$2:K769,K769,$L$2:L769,L769,$M$2:M769,M769,$J$2:J769,J769)=1,1,0)</f>
        <v>1</v>
      </c>
      <c r="P769" s="1" t="n">
        <f aca="false">IF(AND(N769=1,S769=1,COUNTIFS($L$2:L769,L769,$J$2:J769,J769,$N$2:N769,1,$S$2:S769,1)=1),1,0)</f>
        <v>0</v>
      </c>
      <c r="Q769" s="1" t="n">
        <f aca="false">IF(AND(N769=1,S769=1,COUNTIFS($L$2:L769,L769,$K$2:K769,K769,$N$2:N769,1,$S$2:S769,1)=1),1,0)</f>
        <v>0</v>
      </c>
      <c r="R769" s="1" t="n">
        <f aca="false">IF(AND(N769=1,COUNTIFS($K$2:K769,K769,$L$2:L769,L769,$J$2:J769,J769,$N$2:N769,1)=1),1,0)</f>
        <v>0</v>
      </c>
      <c r="S769" s="1" t="n">
        <f aca="false">IF(AND(K769&lt;&gt;"Context and provider model",K769&lt;&gt;"Motivation"),1,0)</f>
        <v>1</v>
      </c>
    </row>
    <row r="770" customFormat="false" ht="15" hidden="false" customHeight="true" outlineLevel="0" collapsed="false">
      <c r="J770" s="1" t="str">
        <f aca="false">'Raw Atomic Data (Pro)'!A770</f>
        <v>Tifany</v>
      </c>
      <c r="K770" s="1" t="str">
        <f aca="false">'Raw Atomic Data (Pro)'!C770</f>
        <v>Payments and earnings</v>
      </c>
      <c r="L770" s="1" t="str">
        <f aca="false">'Raw Atomic Data (Pro)'!D770</f>
        <v>payout-timing-tracking</v>
      </c>
      <c r="M770" s="1" t="str">
        <f aca="false">'Raw Atomic Data (Pro)'!E770</f>
        <v>friction</v>
      </c>
      <c r="N770" s="1" t="n">
        <f aca="false">IF(OR(M770="friction",M770="need",M770="workaround"),1,0)</f>
        <v>1</v>
      </c>
      <c r="O770" s="1" t="n">
        <f aca="false">IF(COUNTIFS($K$2:K770,K770,$L$2:L770,L770,$M$2:M770,M770,$J$2:J770,J770)=1,1,0)</f>
        <v>1</v>
      </c>
      <c r="P770" s="1" t="n">
        <f aca="false">IF(AND(N770=1,S770=1,COUNTIFS($L$2:L770,L770,$J$2:J770,J770,$N$2:N770,1,$S$2:S770,1)=1),1,0)</f>
        <v>1</v>
      </c>
      <c r="Q770" s="1" t="n">
        <f aca="false">IF(AND(N770=1,S770=1,COUNTIFS($L$2:L770,L770,$K$2:K770,K770,$N$2:N770,1,$S$2:S770,1)=1),1,0)</f>
        <v>0</v>
      </c>
      <c r="R770" s="1" t="n">
        <f aca="false">IF(AND(N770=1,COUNTIFS($K$2:K770,K770,$L$2:L770,L770,$J$2:J770,J770,$N$2:N770,1)=1),1,0)</f>
        <v>1</v>
      </c>
      <c r="S770" s="1" t="n">
        <f aca="false">IF(AND(K770&lt;&gt;"Context and provider model",K770&lt;&gt;"Motivation"),1,0)</f>
        <v>1</v>
      </c>
    </row>
    <row r="771" customFormat="false" ht="15" hidden="false" customHeight="true" outlineLevel="0" collapsed="false">
      <c r="J771" s="1" t="str">
        <f aca="false">'Raw Atomic Data (Pro)'!A771</f>
        <v>Tifany</v>
      </c>
      <c r="K771" s="1" t="str">
        <f aca="false">'Raw Atomic Data (Pro)'!C771</f>
        <v>Payments and earnings</v>
      </c>
      <c r="L771" s="1" t="str">
        <f aca="false">'Raw Atomic Data (Pro)'!D771</f>
        <v>private-business-parallel-ops</v>
      </c>
      <c r="M771" s="1" t="str">
        <f aca="false">'Raw Atomic Data (Pro)'!E771</f>
        <v>fact</v>
      </c>
      <c r="N771" s="1" t="n">
        <f aca="false">IF(OR(M771="friction",M771="need",M771="workaround"),1,0)</f>
        <v>0</v>
      </c>
      <c r="O771" s="1" t="n">
        <f aca="false">IF(COUNTIFS($K$2:K771,K771,$L$2:L771,L771,$M$2:M771,M771,$J$2:J771,J771)=1,1,0)</f>
        <v>1</v>
      </c>
      <c r="P771" s="1" t="n">
        <f aca="false">IF(AND(N771=1,S771=1,COUNTIFS($L$2:L771,L771,$J$2:J771,J771,$N$2:N771,1,$S$2:S771,1)=1),1,0)</f>
        <v>0</v>
      </c>
      <c r="Q771" s="1" t="n">
        <f aca="false">IF(AND(N771=1,S771=1,COUNTIFS($L$2:L771,L771,$K$2:K771,K771,$N$2:N771,1,$S$2:S771,1)=1),1,0)</f>
        <v>0</v>
      </c>
      <c r="R771" s="1" t="n">
        <f aca="false">IF(AND(N771=1,COUNTIFS($K$2:K771,K771,$L$2:L771,L771,$J$2:J771,J771,$N$2:N771,1)=1),1,0)</f>
        <v>0</v>
      </c>
      <c r="S771" s="1" t="n">
        <f aca="false">IF(AND(K771&lt;&gt;"Context and provider model",K771&lt;&gt;"Motivation"),1,0)</f>
        <v>1</v>
      </c>
    </row>
    <row r="772" customFormat="false" ht="15" hidden="false" customHeight="true" outlineLevel="0" collapsed="false">
      <c r="J772" s="1" t="str">
        <f aca="false">'Raw Atomic Data (Pro)'!A772</f>
        <v>Ami</v>
      </c>
      <c r="K772" s="1" t="str">
        <f aca="false">'Raw Atomic Data (Pro)'!C772</f>
        <v>Cross-platform behavior</v>
      </c>
      <c r="L772" s="1" t="str">
        <f aca="false">'Raw Atomic Data (Pro)'!D772</f>
        <v>off-platform-clients-leakage</v>
      </c>
      <c r="M772" s="1" t="str">
        <f aca="false">'Raw Atomic Data (Pro)'!E772</f>
        <v>fact</v>
      </c>
      <c r="N772" s="1" t="n">
        <f aca="false">IF(OR(M772="friction",M772="need",M772="workaround"),1,0)</f>
        <v>0</v>
      </c>
      <c r="O772" s="1" t="n">
        <f aca="false">IF(COUNTIFS($K$2:K772,K772,$L$2:L772,L772,$M$2:M772,M772,$J$2:J772,J772)=1,1,0)</f>
        <v>1</v>
      </c>
      <c r="P772" s="1" t="n">
        <f aca="false">IF(AND(N772=1,S772=1,COUNTIFS($L$2:L772,L772,$J$2:J772,J772,$N$2:N772,1,$S$2:S772,1)=1),1,0)</f>
        <v>0</v>
      </c>
      <c r="Q772" s="1" t="n">
        <f aca="false">IF(AND(N772=1,S772=1,COUNTIFS($L$2:L772,L772,$K$2:K772,K772,$N$2:N772,1,$S$2:S772,1)=1),1,0)</f>
        <v>0</v>
      </c>
      <c r="R772" s="1" t="n">
        <f aca="false">IF(AND(N772=1,COUNTIFS($K$2:K772,K772,$L$2:L772,L772,$J$2:J772,J772,$N$2:N772,1)=1),1,0)</f>
        <v>0</v>
      </c>
      <c r="S772" s="1" t="n">
        <f aca="false">IF(AND(K772&lt;&gt;"Context and provider model",K772&lt;&gt;"Motivation"),1,0)</f>
        <v>1</v>
      </c>
    </row>
    <row r="773" customFormat="false" ht="15" hidden="false" customHeight="true" outlineLevel="0" collapsed="false">
      <c r="J773" s="1" t="str">
        <f aca="false">'Raw Atomic Data (Pro)'!A773</f>
        <v>Ami</v>
      </c>
      <c r="K773" s="1" t="str">
        <f aca="false">'Raw Atomic Data (Pro)'!C773</f>
        <v>Cross-platform behavior</v>
      </c>
      <c r="L773" s="1" t="str">
        <f aca="false">'Raw Atomic Data (Pro)'!D773</f>
        <v>insurance-liability-coverage</v>
      </c>
      <c r="M773" s="1" t="str">
        <f aca="false">'Raw Atomic Data (Pro)'!E773</f>
        <v>fact</v>
      </c>
      <c r="N773" s="1" t="n">
        <f aca="false">IF(OR(M773="friction",M773="need",M773="workaround"),1,0)</f>
        <v>0</v>
      </c>
      <c r="O773" s="1" t="n">
        <f aca="false">IF(COUNTIFS($K$2:K773,K773,$L$2:L773,L773,$M$2:M773,M773,$J$2:J773,J773)=1,1,0)</f>
        <v>1</v>
      </c>
      <c r="P773" s="1" t="n">
        <f aca="false">IF(AND(N773=1,S773=1,COUNTIFS($L$2:L773,L773,$J$2:J773,J773,$N$2:N773,1,$S$2:S773,1)=1),1,0)</f>
        <v>0</v>
      </c>
      <c r="Q773" s="1" t="n">
        <f aca="false">IF(AND(N773=1,S773=1,COUNTIFS($L$2:L773,L773,$K$2:K773,K773,$N$2:N773,1,$S$2:S773,1)=1),1,0)</f>
        <v>0</v>
      </c>
      <c r="R773" s="1" t="n">
        <f aca="false">IF(AND(N773=1,COUNTIFS($K$2:K773,K773,$L$2:L773,L773,$J$2:J773,J773,$N$2:N773,1)=1),1,0)</f>
        <v>0</v>
      </c>
      <c r="S773" s="1" t="n">
        <f aca="false">IF(AND(K773&lt;&gt;"Context and provider model",K773&lt;&gt;"Motivation"),1,0)</f>
        <v>1</v>
      </c>
    </row>
    <row r="774" customFormat="false" ht="15" hidden="false" customHeight="true" outlineLevel="0" collapsed="false">
      <c r="J774" s="1" t="str">
        <f aca="false">'Raw Atomic Data (Pro)'!A774</f>
        <v>Ami</v>
      </c>
      <c r="K774" s="1" t="str">
        <f aca="false">'Raw Atomic Data (Pro)'!C774</f>
        <v>Cross-platform behavior</v>
      </c>
      <c r="L774" s="1" t="str">
        <f aca="false">'Raw Atomic Data (Pro)'!D774</f>
        <v>off-platform-clients-leakage</v>
      </c>
      <c r="M774" s="1" t="str">
        <f aca="false">'Raw Atomic Data (Pro)'!E774</f>
        <v>fact</v>
      </c>
      <c r="N774" s="1" t="n">
        <f aca="false">IF(OR(M774="friction",M774="need",M774="workaround"),1,0)</f>
        <v>0</v>
      </c>
      <c r="O774" s="1" t="n">
        <f aca="false">IF(COUNTIFS($K$2:K774,K774,$L$2:L774,L774,$M$2:M774,M774,$J$2:J774,J774)=1,1,0)</f>
        <v>0</v>
      </c>
      <c r="P774" s="1" t="n">
        <f aca="false">IF(AND(N774=1,S774=1,COUNTIFS($L$2:L774,L774,$J$2:J774,J774,$N$2:N774,1,$S$2:S774,1)=1),1,0)</f>
        <v>0</v>
      </c>
      <c r="Q774" s="1" t="n">
        <f aca="false">IF(AND(N774=1,S774=1,COUNTIFS($L$2:L774,L774,$K$2:K774,K774,$N$2:N774,1,$S$2:S774,1)=1),1,0)</f>
        <v>0</v>
      </c>
      <c r="R774" s="1" t="n">
        <f aca="false">IF(AND(N774=1,COUNTIFS($K$2:K774,K774,$L$2:L774,L774,$J$2:J774,J774,$N$2:N774,1)=1),1,0)</f>
        <v>0</v>
      </c>
      <c r="S774" s="1" t="n">
        <f aca="false">IF(AND(K774&lt;&gt;"Context and provider model",K774&lt;&gt;"Motivation"),1,0)</f>
        <v>1</v>
      </c>
    </row>
    <row r="775" customFormat="false" ht="15" hidden="false" customHeight="true" outlineLevel="0" collapsed="false">
      <c r="J775" s="1" t="str">
        <f aca="false">'Raw Atomic Data (Pro)'!A775</f>
        <v>Ami</v>
      </c>
      <c r="K775" s="1" t="str">
        <f aca="false">'Raw Atomic Data (Pro)'!C775</f>
        <v>Cross-platform behavior</v>
      </c>
      <c r="L775" s="1" t="str">
        <f aca="false">'Raw Atomic Data (Pro)'!D775</f>
        <v>insurance-liability-coverage</v>
      </c>
      <c r="M775" s="1" t="str">
        <f aca="false">'Raw Atomic Data (Pro)'!E775</f>
        <v>value-statement</v>
      </c>
      <c r="N775" s="1" t="n">
        <f aca="false">IF(OR(M775="friction",M775="need",M775="workaround"),1,0)</f>
        <v>0</v>
      </c>
      <c r="O775" s="1" t="n">
        <f aca="false">IF(COUNTIFS($K$2:K775,K775,$L$2:L775,L775,$M$2:M775,M775,$J$2:J775,J775)=1,1,0)</f>
        <v>1</v>
      </c>
      <c r="P775" s="1" t="n">
        <f aca="false">IF(AND(N775=1,S775=1,COUNTIFS($L$2:L775,L775,$J$2:J775,J775,$N$2:N775,1,$S$2:S775,1)=1),1,0)</f>
        <v>0</v>
      </c>
      <c r="Q775" s="1" t="n">
        <f aca="false">IF(AND(N775=1,S775=1,COUNTIFS($L$2:L775,L775,$K$2:K775,K775,$N$2:N775,1,$S$2:S775,1)=1),1,0)</f>
        <v>0</v>
      </c>
      <c r="R775" s="1" t="n">
        <f aca="false">IF(AND(N775=1,COUNTIFS($K$2:K775,K775,$L$2:L775,L775,$J$2:J775,J775,$N$2:N775,1)=1),1,0)</f>
        <v>0</v>
      </c>
      <c r="S775" s="1" t="n">
        <f aca="false">IF(AND(K775&lt;&gt;"Context and provider model",K775&lt;&gt;"Motivation"),1,0)</f>
        <v>1</v>
      </c>
    </row>
    <row r="776" customFormat="false" ht="15" hidden="false" customHeight="true" outlineLevel="0" collapsed="false">
      <c r="J776" s="1" t="str">
        <f aca="false">'Raw Atomic Data (Pro)'!A776</f>
        <v>Ami</v>
      </c>
      <c r="K776" s="1" t="str">
        <f aca="false">'Raw Atomic Data (Pro)'!C776</f>
        <v>Cross-platform behavior</v>
      </c>
      <c r="L776" s="1" t="str">
        <f aca="false">'Raw Atomic Data (Pro)'!D776</f>
        <v>private-business-parallel-ops</v>
      </c>
      <c r="M776" s="1" t="str">
        <f aca="false">'Raw Atomic Data (Pro)'!E776</f>
        <v>fact</v>
      </c>
      <c r="N776" s="1" t="n">
        <f aca="false">IF(OR(M776="friction",M776="need",M776="workaround"),1,0)</f>
        <v>0</v>
      </c>
      <c r="O776" s="1" t="n">
        <f aca="false">IF(COUNTIFS($K$2:K776,K776,$L$2:L776,L776,$M$2:M776,M776,$J$2:J776,J776)=1,1,0)</f>
        <v>1</v>
      </c>
      <c r="P776" s="1" t="n">
        <f aca="false">IF(AND(N776=1,S776=1,COUNTIFS($L$2:L776,L776,$J$2:J776,J776,$N$2:N776,1,$S$2:S776,1)=1),1,0)</f>
        <v>0</v>
      </c>
      <c r="Q776" s="1" t="n">
        <f aca="false">IF(AND(N776=1,S776=1,COUNTIFS($L$2:L776,L776,$K$2:K776,K776,$N$2:N776,1,$S$2:S776,1)=1),1,0)</f>
        <v>0</v>
      </c>
      <c r="R776" s="1" t="n">
        <f aca="false">IF(AND(N776=1,COUNTIFS($K$2:K776,K776,$L$2:L776,L776,$J$2:J776,J776,$N$2:N776,1)=1),1,0)</f>
        <v>0</v>
      </c>
      <c r="S776" s="1" t="n">
        <f aca="false">IF(AND(K776&lt;&gt;"Context and provider model",K776&lt;&gt;"Motivation"),1,0)</f>
        <v>1</v>
      </c>
    </row>
    <row r="777" customFormat="false" ht="15" hidden="false" customHeight="true" outlineLevel="0" collapsed="false">
      <c r="J777" s="1" t="str">
        <f aca="false">'Raw Atomic Data (Pro)'!A777</f>
        <v>Andrew</v>
      </c>
      <c r="K777" s="1" t="str">
        <f aca="false">'Raw Atomic Data (Pro)'!C777</f>
        <v>Cross-platform behavior</v>
      </c>
      <c r="L777" s="1" t="str">
        <f aca="false">'Raw Atomic Data (Pro)'!D777</f>
        <v>off-platform-clients-leakage</v>
      </c>
      <c r="M777" s="1" t="str">
        <f aca="false">'Raw Atomic Data (Pro)'!E777</f>
        <v>fact</v>
      </c>
      <c r="N777" s="1" t="n">
        <f aca="false">IF(OR(M777="friction",M777="need",M777="workaround"),1,0)</f>
        <v>0</v>
      </c>
      <c r="O777" s="1" t="n">
        <f aca="false">IF(COUNTIFS($K$2:K777,K777,$L$2:L777,L777,$M$2:M777,M777,$J$2:J777,J777)=1,1,0)</f>
        <v>1</v>
      </c>
      <c r="P777" s="1" t="n">
        <f aca="false">IF(AND(N777=1,S777=1,COUNTIFS($L$2:L777,L777,$J$2:J777,J777,$N$2:N777,1,$S$2:S777,1)=1),1,0)</f>
        <v>0</v>
      </c>
      <c r="Q777" s="1" t="n">
        <f aca="false">IF(AND(N777=1,S777=1,COUNTIFS($L$2:L777,L777,$K$2:K777,K777,$N$2:N777,1,$S$2:S777,1)=1),1,0)</f>
        <v>0</v>
      </c>
      <c r="R777" s="1" t="n">
        <f aca="false">IF(AND(N777=1,COUNTIFS($K$2:K777,K777,$L$2:L777,L777,$J$2:J777,J777,$N$2:N777,1)=1),1,0)</f>
        <v>0</v>
      </c>
      <c r="S777" s="1" t="n">
        <f aca="false">IF(AND(K777&lt;&gt;"Context and provider model",K777&lt;&gt;"Motivation"),1,0)</f>
        <v>1</v>
      </c>
    </row>
    <row r="778" customFormat="false" ht="15" hidden="false" customHeight="true" outlineLevel="0" collapsed="false">
      <c r="J778" s="1" t="str">
        <f aca="false">'Raw Atomic Data (Pro)'!A778</f>
        <v>Andrew</v>
      </c>
      <c r="K778" s="1" t="str">
        <f aca="false">'Raw Atomic Data (Pro)'!C778</f>
        <v>Cross-platform behavior</v>
      </c>
      <c r="L778" s="1" t="str">
        <f aca="false">'Raw Atomic Data (Pro)'!D778</f>
        <v>off-platform-clients-leakage</v>
      </c>
      <c r="M778" s="1" t="str">
        <f aca="false">'Raw Atomic Data (Pro)'!E778</f>
        <v>value-statement</v>
      </c>
      <c r="N778" s="1" t="n">
        <f aca="false">IF(OR(M778="friction",M778="need",M778="workaround"),1,0)</f>
        <v>0</v>
      </c>
      <c r="O778" s="1" t="n">
        <f aca="false">IF(COUNTIFS($K$2:K778,K778,$L$2:L778,L778,$M$2:M778,M778,$J$2:J778,J778)=1,1,0)</f>
        <v>1</v>
      </c>
      <c r="P778" s="1" t="n">
        <f aca="false">IF(AND(N778=1,S778=1,COUNTIFS($L$2:L778,L778,$J$2:J778,J778,$N$2:N778,1,$S$2:S778,1)=1),1,0)</f>
        <v>0</v>
      </c>
      <c r="Q778" s="1" t="n">
        <f aca="false">IF(AND(N778=1,S778=1,COUNTIFS($L$2:L778,L778,$K$2:K778,K778,$N$2:N778,1,$S$2:S778,1)=1),1,0)</f>
        <v>0</v>
      </c>
      <c r="R778" s="1" t="n">
        <f aca="false">IF(AND(N778=1,COUNTIFS($K$2:K778,K778,$L$2:L778,L778,$J$2:J778,J778,$N$2:N778,1)=1),1,0)</f>
        <v>0</v>
      </c>
      <c r="S778" s="1" t="n">
        <f aca="false">IF(AND(K778&lt;&gt;"Context and provider model",K778&lt;&gt;"Motivation"),1,0)</f>
        <v>1</v>
      </c>
    </row>
    <row r="779" customFormat="false" ht="15" hidden="false" customHeight="true" outlineLevel="0" collapsed="false">
      <c r="J779" s="1" t="str">
        <f aca="false">'Raw Atomic Data (Pro)'!A779</f>
        <v>Andrew</v>
      </c>
      <c r="K779" s="1" t="str">
        <f aca="false">'Raw Atomic Data (Pro)'!C779</f>
        <v>Cross-platform behavior</v>
      </c>
      <c r="L779" s="1" t="str">
        <f aca="false">'Raw Atomic Data (Pro)'!D779</f>
        <v>off-platform-clients-leakage</v>
      </c>
      <c r="M779" s="1" t="str">
        <f aca="false">'Raw Atomic Data (Pro)'!E779</f>
        <v>value-statement</v>
      </c>
      <c r="N779" s="1" t="n">
        <f aca="false">IF(OR(M779="friction",M779="need",M779="workaround"),1,0)</f>
        <v>0</v>
      </c>
      <c r="O779" s="1" t="n">
        <f aca="false">IF(COUNTIFS($K$2:K779,K779,$L$2:L779,L779,$M$2:M779,M779,$J$2:J779,J779)=1,1,0)</f>
        <v>0</v>
      </c>
      <c r="P779" s="1" t="n">
        <f aca="false">IF(AND(N779=1,S779=1,COUNTIFS($L$2:L779,L779,$J$2:J779,J779,$N$2:N779,1,$S$2:S779,1)=1),1,0)</f>
        <v>0</v>
      </c>
      <c r="Q779" s="1" t="n">
        <f aca="false">IF(AND(N779=1,S779=1,COUNTIFS($L$2:L779,L779,$K$2:K779,K779,$N$2:N779,1,$S$2:S779,1)=1),1,0)</f>
        <v>0</v>
      </c>
      <c r="R779" s="1" t="n">
        <f aca="false">IF(AND(N779=1,COUNTIFS($K$2:K779,K779,$L$2:L779,L779,$J$2:J779,J779,$N$2:N779,1)=1),1,0)</f>
        <v>0</v>
      </c>
      <c r="S779" s="1" t="n">
        <f aca="false">IF(AND(K779&lt;&gt;"Context and provider model",K779&lt;&gt;"Motivation"),1,0)</f>
        <v>1</v>
      </c>
    </row>
    <row r="780" customFormat="false" ht="15" hidden="false" customHeight="true" outlineLevel="0" collapsed="false">
      <c r="J780" s="1" t="str">
        <f aca="false">'Raw Atomic Data (Pro)'!A780</f>
        <v>Andrew</v>
      </c>
      <c r="K780" s="1" t="str">
        <f aca="false">'Raw Atomic Data (Pro)'!C780</f>
        <v>Cross-platform behavior</v>
      </c>
      <c r="L780" s="1" t="str">
        <f aca="false">'Raw Atomic Data (Pro)'!D780</f>
        <v>off-platform-clients-leakage</v>
      </c>
      <c r="M780" s="1" t="str">
        <f aca="false">'Raw Atomic Data (Pro)'!E780</f>
        <v>value-statement</v>
      </c>
      <c r="N780" s="1" t="n">
        <f aca="false">IF(OR(M780="friction",M780="need",M780="workaround"),1,0)</f>
        <v>0</v>
      </c>
      <c r="O780" s="1" t="n">
        <f aca="false">IF(COUNTIFS($K$2:K780,K780,$L$2:L780,L780,$M$2:M780,M780,$J$2:J780,J780)=1,1,0)</f>
        <v>0</v>
      </c>
      <c r="P780" s="1" t="n">
        <f aca="false">IF(AND(N780=1,S780=1,COUNTIFS($L$2:L780,L780,$J$2:J780,J780,$N$2:N780,1,$S$2:S780,1)=1),1,0)</f>
        <v>0</v>
      </c>
      <c r="Q780" s="1" t="n">
        <f aca="false">IF(AND(N780=1,S780=1,COUNTIFS($L$2:L780,L780,$K$2:K780,K780,$N$2:N780,1,$S$2:S780,1)=1),1,0)</f>
        <v>0</v>
      </c>
      <c r="R780" s="1" t="n">
        <f aca="false">IF(AND(N780=1,COUNTIFS($K$2:K780,K780,$L$2:L780,L780,$J$2:J780,J780,$N$2:N780,1)=1),1,0)</f>
        <v>0</v>
      </c>
      <c r="S780" s="1" t="n">
        <f aca="false">IF(AND(K780&lt;&gt;"Context and provider model",K780&lt;&gt;"Motivation"),1,0)</f>
        <v>1</v>
      </c>
    </row>
    <row r="781" customFormat="false" ht="15" hidden="false" customHeight="true" outlineLevel="0" collapsed="false">
      <c r="J781" s="1" t="str">
        <f aca="false">'Raw Atomic Data (Pro)'!A781</f>
        <v>Anita</v>
      </c>
      <c r="K781" s="1" t="str">
        <f aca="false">'Raw Atomic Data (Pro)'!C781</f>
        <v>Cross-platform behavior</v>
      </c>
      <c r="L781" s="1" t="str">
        <f aca="false">'Raw Atomic Data (Pro)'!D781</f>
        <v>off-platform-clients-leakage</v>
      </c>
      <c r="M781" s="1" t="str">
        <f aca="false">'Raw Atomic Data (Pro)'!E781</f>
        <v>fact</v>
      </c>
      <c r="N781" s="1" t="n">
        <f aca="false">IF(OR(M781="friction",M781="need",M781="workaround"),1,0)</f>
        <v>0</v>
      </c>
      <c r="O781" s="1" t="n">
        <f aca="false">IF(COUNTIFS($K$2:K781,K781,$L$2:L781,L781,$M$2:M781,M781,$J$2:J781,J781)=1,1,0)</f>
        <v>1</v>
      </c>
      <c r="P781" s="1" t="n">
        <f aca="false">IF(AND(N781=1,S781=1,COUNTIFS($L$2:L781,L781,$J$2:J781,J781,$N$2:N781,1,$S$2:S781,1)=1),1,0)</f>
        <v>0</v>
      </c>
      <c r="Q781" s="1" t="n">
        <f aca="false">IF(AND(N781=1,S781=1,COUNTIFS($L$2:L781,L781,$K$2:K781,K781,$N$2:N781,1,$S$2:S781,1)=1),1,0)</f>
        <v>0</v>
      </c>
      <c r="R781" s="1" t="n">
        <f aca="false">IF(AND(N781=1,COUNTIFS($K$2:K781,K781,$L$2:L781,L781,$J$2:J781,J781,$N$2:N781,1)=1),1,0)</f>
        <v>0</v>
      </c>
      <c r="S781" s="1" t="n">
        <f aca="false">IF(AND(K781&lt;&gt;"Context and provider model",K781&lt;&gt;"Motivation"),1,0)</f>
        <v>1</v>
      </c>
    </row>
    <row r="782" customFormat="false" ht="15" hidden="false" customHeight="true" outlineLevel="0" collapsed="false">
      <c r="J782" s="1" t="str">
        <f aca="false">'Raw Atomic Data (Pro)'!A782</f>
        <v>Anita</v>
      </c>
      <c r="K782" s="1" t="str">
        <f aca="false">'Raw Atomic Data (Pro)'!C782</f>
        <v>Cross-platform behavior</v>
      </c>
      <c r="L782" s="1" t="str">
        <f aca="false">'Raw Atomic Data (Pro)'!D782</f>
        <v>insurance-liability-coverage</v>
      </c>
      <c r="M782" s="1" t="str">
        <f aca="false">'Raw Atomic Data (Pro)'!E782</f>
        <v>fact</v>
      </c>
      <c r="N782" s="1" t="n">
        <f aca="false">IF(OR(M782="friction",M782="need",M782="workaround"),1,0)</f>
        <v>0</v>
      </c>
      <c r="O782" s="1" t="n">
        <f aca="false">IF(COUNTIFS($K$2:K782,K782,$L$2:L782,L782,$M$2:M782,M782,$J$2:J782,J782)=1,1,0)</f>
        <v>1</v>
      </c>
      <c r="P782" s="1" t="n">
        <f aca="false">IF(AND(N782=1,S782=1,COUNTIFS($L$2:L782,L782,$J$2:J782,J782,$N$2:N782,1,$S$2:S782,1)=1),1,0)</f>
        <v>0</v>
      </c>
      <c r="Q782" s="1" t="n">
        <f aca="false">IF(AND(N782=1,S782=1,COUNTIFS($L$2:L782,L782,$K$2:K782,K782,$N$2:N782,1,$S$2:S782,1)=1),1,0)</f>
        <v>0</v>
      </c>
      <c r="R782" s="1" t="n">
        <f aca="false">IF(AND(N782=1,COUNTIFS($K$2:K782,K782,$L$2:L782,L782,$J$2:J782,J782,$N$2:N782,1)=1),1,0)</f>
        <v>0</v>
      </c>
      <c r="S782" s="1" t="n">
        <f aca="false">IF(AND(K782&lt;&gt;"Context and provider model",K782&lt;&gt;"Motivation"),1,0)</f>
        <v>1</v>
      </c>
    </row>
    <row r="783" customFormat="false" ht="15" hidden="false" customHeight="true" outlineLevel="0" collapsed="false">
      <c r="J783" s="1" t="str">
        <f aca="false">'Raw Atomic Data (Pro)'!A783</f>
        <v>Becky</v>
      </c>
      <c r="K783" s="1" t="str">
        <f aca="false">'Raw Atomic Data (Pro)'!C783</f>
        <v>Cross-platform behavior</v>
      </c>
      <c r="L783" s="1" t="str">
        <f aca="false">'Raw Atomic Data (Pro)'!D783</f>
        <v>insurance-liability-coverage</v>
      </c>
      <c r="M783" s="1" t="str">
        <f aca="false">'Raw Atomic Data (Pro)'!E783</f>
        <v>value-statement</v>
      </c>
      <c r="N783" s="1" t="n">
        <f aca="false">IF(OR(M783="friction",M783="need",M783="workaround"),1,0)</f>
        <v>0</v>
      </c>
      <c r="O783" s="1" t="n">
        <f aca="false">IF(COUNTIFS($K$2:K783,K783,$L$2:L783,L783,$M$2:M783,M783,$J$2:J783,J783)=1,1,0)</f>
        <v>1</v>
      </c>
      <c r="P783" s="1" t="n">
        <f aca="false">IF(AND(N783=1,S783=1,COUNTIFS($L$2:L783,L783,$J$2:J783,J783,$N$2:N783,1,$S$2:S783,1)=1),1,0)</f>
        <v>0</v>
      </c>
      <c r="Q783" s="1" t="n">
        <f aca="false">IF(AND(N783=1,S783=1,COUNTIFS($L$2:L783,L783,$K$2:K783,K783,$N$2:N783,1,$S$2:S783,1)=1),1,0)</f>
        <v>0</v>
      </c>
      <c r="R783" s="1" t="n">
        <f aca="false">IF(AND(N783=1,COUNTIFS($K$2:K783,K783,$L$2:L783,L783,$J$2:J783,J783,$N$2:N783,1)=1),1,0)</f>
        <v>0</v>
      </c>
      <c r="S783" s="1" t="n">
        <f aca="false">IF(AND(K783&lt;&gt;"Context and provider model",K783&lt;&gt;"Motivation"),1,0)</f>
        <v>1</v>
      </c>
    </row>
    <row r="784" customFormat="false" ht="15" hidden="false" customHeight="true" outlineLevel="0" collapsed="false">
      <c r="J784" s="1" t="str">
        <f aca="false">'Raw Atomic Data (Pro)'!A784</f>
        <v>Becky</v>
      </c>
      <c r="K784" s="1" t="str">
        <f aca="false">'Raw Atomic Data (Pro)'!C784</f>
        <v>Cross-platform behavior</v>
      </c>
      <c r="L784" s="1" t="str">
        <f aca="false">'Raw Atomic Data (Pro)'!D784</f>
        <v>off-platform-clients-leakage</v>
      </c>
      <c r="M784" s="1" t="str">
        <f aca="false">'Raw Atomic Data (Pro)'!E784</f>
        <v>fact</v>
      </c>
      <c r="N784" s="1" t="n">
        <f aca="false">IF(OR(M784="friction",M784="need",M784="workaround"),1,0)</f>
        <v>0</v>
      </c>
      <c r="O784" s="1" t="n">
        <f aca="false">IF(COUNTIFS($K$2:K784,K784,$L$2:L784,L784,$M$2:M784,M784,$J$2:J784,J784)=1,1,0)</f>
        <v>1</v>
      </c>
      <c r="P784" s="1" t="n">
        <f aca="false">IF(AND(N784=1,S784=1,COUNTIFS($L$2:L784,L784,$J$2:J784,J784,$N$2:N784,1,$S$2:S784,1)=1),1,0)</f>
        <v>0</v>
      </c>
      <c r="Q784" s="1" t="n">
        <f aca="false">IF(AND(N784=1,S784=1,COUNTIFS($L$2:L784,L784,$K$2:K784,K784,$N$2:N784,1,$S$2:S784,1)=1),1,0)</f>
        <v>0</v>
      </c>
      <c r="R784" s="1" t="n">
        <f aca="false">IF(AND(N784=1,COUNTIFS($K$2:K784,K784,$L$2:L784,L784,$J$2:J784,J784,$N$2:N784,1)=1),1,0)</f>
        <v>0</v>
      </c>
      <c r="S784" s="1" t="n">
        <f aca="false">IF(AND(K784&lt;&gt;"Context and provider model",K784&lt;&gt;"Motivation"),1,0)</f>
        <v>1</v>
      </c>
    </row>
    <row r="785" customFormat="false" ht="15" hidden="false" customHeight="true" outlineLevel="0" collapsed="false">
      <c r="J785" s="1" t="str">
        <f aca="false">'Raw Atomic Data (Pro)'!A785</f>
        <v>Becky</v>
      </c>
      <c r="K785" s="1" t="str">
        <f aca="false">'Raw Atomic Data (Pro)'!C785</f>
        <v>Cross-platform behavior</v>
      </c>
      <c r="L785" s="1" t="str">
        <f aca="false">'Raw Atomic Data (Pro)'!D785</f>
        <v>off-platform-clients-leakage</v>
      </c>
      <c r="M785" s="1" t="str">
        <f aca="false">'Raw Atomic Data (Pro)'!E785</f>
        <v>fact</v>
      </c>
      <c r="N785" s="1" t="n">
        <f aca="false">IF(OR(M785="friction",M785="need",M785="workaround"),1,0)</f>
        <v>0</v>
      </c>
      <c r="O785" s="1" t="n">
        <f aca="false">IF(COUNTIFS($K$2:K785,K785,$L$2:L785,L785,$M$2:M785,M785,$J$2:J785,J785)=1,1,0)</f>
        <v>0</v>
      </c>
      <c r="P785" s="1" t="n">
        <f aca="false">IF(AND(N785=1,S785=1,COUNTIFS($L$2:L785,L785,$J$2:J785,J785,$N$2:N785,1,$S$2:S785,1)=1),1,0)</f>
        <v>0</v>
      </c>
      <c r="Q785" s="1" t="n">
        <f aca="false">IF(AND(N785=1,S785=1,COUNTIFS($L$2:L785,L785,$K$2:K785,K785,$N$2:N785,1,$S$2:S785,1)=1),1,0)</f>
        <v>0</v>
      </c>
      <c r="R785" s="1" t="n">
        <f aca="false">IF(AND(N785=1,COUNTIFS($K$2:K785,K785,$L$2:L785,L785,$J$2:J785,J785,$N$2:N785,1)=1),1,0)</f>
        <v>0</v>
      </c>
      <c r="S785" s="1" t="n">
        <f aca="false">IF(AND(K785&lt;&gt;"Context and provider model",K785&lt;&gt;"Motivation"),1,0)</f>
        <v>1</v>
      </c>
    </row>
    <row r="786" customFormat="false" ht="15" hidden="false" customHeight="true" outlineLevel="0" collapsed="false">
      <c r="J786" s="1" t="str">
        <f aca="false">'Raw Atomic Data (Pro)'!A786</f>
        <v>Becky</v>
      </c>
      <c r="K786" s="1" t="str">
        <f aca="false">'Raw Atomic Data (Pro)'!C786</f>
        <v>Cross-platform behavior</v>
      </c>
      <c r="L786" s="1" t="str">
        <f aca="false">'Raw Atomic Data (Pro)'!D786</f>
        <v>off-platform-clients-leakage</v>
      </c>
      <c r="M786" s="1" t="str">
        <f aca="false">'Raw Atomic Data (Pro)'!E786</f>
        <v>fact</v>
      </c>
      <c r="N786" s="1" t="n">
        <f aca="false">IF(OR(M786="friction",M786="need",M786="workaround"),1,0)</f>
        <v>0</v>
      </c>
      <c r="O786" s="1" t="n">
        <f aca="false">IF(COUNTIFS($K$2:K786,K786,$L$2:L786,L786,$M$2:M786,M786,$J$2:J786,J786)=1,1,0)</f>
        <v>0</v>
      </c>
      <c r="P786" s="1" t="n">
        <f aca="false">IF(AND(N786=1,S786=1,COUNTIFS($L$2:L786,L786,$J$2:J786,J786,$N$2:N786,1,$S$2:S786,1)=1),1,0)</f>
        <v>0</v>
      </c>
      <c r="Q786" s="1" t="n">
        <f aca="false">IF(AND(N786=1,S786=1,COUNTIFS($L$2:L786,L786,$K$2:K786,K786,$N$2:N786,1,$S$2:S786,1)=1),1,0)</f>
        <v>0</v>
      </c>
      <c r="R786" s="1" t="n">
        <f aca="false">IF(AND(N786=1,COUNTIFS($K$2:K786,K786,$L$2:L786,L786,$J$2:J786,J786,$N$2:N786,1)=1),1,0)</f>
        <v>0</v>
      </c>
      <c r="S786" s="1" t="n">
        <f aca="false">IF(AND(K786&lt;&gt;"Context and provider model",K786&lt;&gt;"Motivation"),1,0)</f>
        <v>1</v>
      </c>
    </row>
    <row r="787" customFormat="false" ht="15" hidden="false" customHeight="true" outlineLevel="0" collapsed="false">
      <c r="J787" s="1" t="str">
        <f aca="false">'Raw Atomic Data (Pro)'!A787</f>
        <v>Becky</v>
      </c>
      <c r="K787" s="1" t="str">
        <f aca="false">'Raw Atomic Data (Pro)'!C787</f>
        <v>Cross-platform behavior</v>
      </c>
      <c r="L787" s="1" t="str">
        <f aca="false">'Raw Atomic Data (Pro)'!D787</f>
        <v>off-platform-clients-leakage</v>
      </c>
      <c r="M787" s="1" t="str">
        <f aca="false">'Raw Atomic Data (Pro)'!E787</f>
        <v>fact</v>
      </c>
      <c r="N787" s="1" t="n">
        <f aca="false">IF(OR(M787="friction",M787="need",M787="workaround"),1,0)</f>
        <v>0</v>
      </c>
      <c r="O787" s="1" t="n">
        <f aca="false">IF(COUNTIFS($K$2:K787,K787,$L$2:L787,L787,$M$2:M787,M787,$J$2:J787,J787)=1,1,0)</f>
        <v>0</v>
      </c>
      <c r="P787" s="1" t="n">
        <f aca="false">IF(AND(N787=1,S787=1,COUNTIFS($L$2:L787,L787,$J$2:J787,J787,$N$2:N787,1,$S$2:S787,1)=1),1,0)</f>
        <v>0</v>
      </c>
      <c r="Q787" s="1" t="n">
        <f aca="false">IF(AND(N787=1,S787=1,COUNTIFS($L$2:L787,L787,$K$2:K787,K787,$N$2:N787,1,$S$2:S787,1)=1),1,0)</f>
        <v>0</v>
      </c>
      <c r="R787" s="1" t="n">
        <f aca="false">IF(AND(N787=1,COUNTIFS($K$2:K787,K787,$L$2:L787,L787,$J$2:J787,J787,$N$2:N787,1)=1),1,0)</f>
        <v>0</v>
      </c>
      <c r="S787" s="1" t="n">
        <f aca="false">IF(AND(K787&lt;&gt;"Context and provider model",K787&lt;&gt;"Motivation"),1,0)</f>
        <v>1</v>
      </c>
    </row>
    <row r="788" customFormat="false" ht="15" hidden="false" customHeight="true" outlineLevel="0" collapsed="false">
      <c r="J788" s="1" t="str">
        <f aca="false">'Raw Atomic Data (Pro)'!A788</f>
        <v>Becky</v>
      </c>
      <c r="K788" s="1" t="str">
        <f aca="false">'Raw Atomic Data (Pro)'!C788</f>
        <v>Cross-platform behavior</v>
      </c>
      <c r="L788" s="1" t="str">
        <f aca="false">'Raw Atomic Data (Pro)'!D788</f>
        <v>off-platform-clients-leakage</v>
      </c>
      <c r="M788" s="1" t="str">
        <f aca="false">'Raw Atomic Data (Pro)'!E788</f>
        <v>fact</v>
      </c>
      <c r="N788" s="1" t="n">
        <f aca="false">IF(OR(M788="friction",M788="need",M788="workaround"),1,0)</f>
        <v>0</v>
      </c>
      <c r="O788" s="1" t="n">
        <f aca="false">IF(COUNTIFS($K$2:K788,K788,$L$2:L788,L788,$M$2:M788,M788,$J$2:J788,J788)=1,1,0)</f>
        <v>0</v>
      </c>
      <c r="P788" s="1" t="n">
        <f aca="false">IF(AND(N788=1,S788=1,COUNTIFS($L$2:L788,L788,$J$2:J788,J788,$N$2:N788,1,$S$2:S788,1)=1),1,0)</f>
        <v>0</v>
      </c>
      <c r="Q788" s="1" t="n">
        <f aca="false">IF(AND(N788=1,S788=1,COUNTIFS($L$2:L788,L788,$K$2:K788,K788,$N$2:N788,1,$S$2:S788,1)=1),1,0)</f>
        <v>0</v>
      </c>
      <c r="R788" s="1" t="n">
        <f aca="false">IF(AND(N788=1,COUNTIFS($K$2:K788,K788,$L$2:L788,L788,$J$2:J788,J788,$N$2:N788,1)=1),1,0)</f>
        <v>0</v>
      </c>
      <c r="S788" s="1" t="n">
        <f aca="false">IF(AND(K788&lt;&gt;"Context and provider model",K788&lt;&gt;"Motivation"),1,0)</f>
        <v>1</v>
      </c>
    </row>
    <row r="789" customFormat="false" ht="15" hidden="false" customHeight="true" outlineLevel="0" collapsed="false">
      <c r="J789" s="1" t="str">
        <f aca="false">'Raw Atomic Data (Pro)'!A789</f>
        <v>Bruna</v>
      </c>
      <c r="K789" s="1" t="str">
        <f aca="false">'Raw Atomic Data (Pro)'!C789</f>
        <v>Cross-platform behavior</v>
      </c>
      <c r="L789" s="1" t="str">
        <f aca="false">'Raw Atomic Data (Pro)'!D789</f>
        <v>off-platform-clients-leakage</v>
      </c>
      <c r="M789" s="1" t="str">
        <f aca="false">'Raw Atomic Data (Pro)'!E789</f>
        <v>fact</v>
      </c>
      <c r="N789" s="1" t="n">
        <f aca="false">IF(OR(M789="friction",M789="need",M789="workaround"),1,0)</f>
        <v>0</v>
      </c>
      <c r="O789" s="1" t="n">
        <f aca="false">IF(COUNTIFS($K$2:K789,K789,$L$2:L789,L789,$M$2:M789,M789,$J$2:J789,J789)=1,1,0)</f>
        <v>1</v>
      </c>
      <c r="P789" s="1" t="n">
        <f aca="false">IF(AND(N789=1,S789=1,COUNTIFS($L$2:L789,L789,$J$2:J789,J789,$N$2:N789,1,$S$2:S789,1)=1),1,0)</f>
        <v>0</v>
      </c>
      <c r="Q789" s="1" t="n">
        <f aca="false">IF(AND(N789=1,S789=1,COUNTIFS($L$2:L789,L789,$K$2:K789,K789,$N$2:N789,1,$S$2:S789,1)=1),1,0)</f>
        <v>0</v>
      </c>
      <c r="R789" s="1" t="n">
        <f aca="false">IF(AND(N789=1,COUNTIFS($K$2:K789,K789,$L$2:L789,L789,$J$2:J789,J789,$N$2:N789,1)=1),1,0)</f>
        <v>0</v>
      </c>
      <c r="S789" s="1" t="n">
        <f aca="false">IF(AND(K789&lt;&gt;"Context and provider model",K789&lt;&gt;"Motivation"),1,0)</f>
        <v>1</v>
      </c>
    </row>
    <row r="790" customFormat="false" ht="15" hidden="false" customHeight="true" outlineLevel="0" collapsed="false">
      <c r="J790" s="1" t="str">
        <f aca="false">'Raw Atomic Data (Pro)'!A790</f>
        <v>Bruna</v>
      </c>
      <c r="K790" s="1" t="str">
        <f aca="false">'Raw Atomic Data (Pro)'!C790</f>
        <v>Cross-platform behavior</v>
      </c>
      <c r="L790" s="1" t="str">
        <f aca="false">'Raw Atomic Data (Pro)'!D790</f>
        <v>private-business-parallel-ops</v>
      </c>
      <c r="M790" s="1" t="str">
        <f aca="false">'Raw Atomic Data (Pro)'!E790</f>
        <v>fact</v>
      </c>
      <c r="N790" s="1" t="n">
        <f aca="false">IF(OR(M790="friction",M790="need",M790="workaround"),1,0)</f>
        <v>0</v>
      </c>
      <c r="O790" s="1" t="n">
        <f aca="false">IF(COUNTIFS($K$2:K790,K790,$L$2:L790,L790,$M$2:M790,M790,$J$2:J790,J790)=1,1,0)</f>
        <v>1</v>
      </c>
      <c r="P790" s="1" t="n">
        <f aca="false">IF(AND(N790=1,S790=1,COUNTIFS($L$2:L790,L790,$J$2:J790,J790,$N$2:N790,1,$S$2:S790,1)=1),1,0)</f>
        <v>0</v>
      </c>
      <c r="Q790" s="1" t="n">
        <f aca="false">IF(AND(N790=1,S790=1,COUNTIFS($L$2:L790,L790,$K$2:K790,K790,$N$2:N790,1,$S$2:S790,1)=1),1,0)</f>
        <v>0</v>
      </c>
      <c r="R790" s="1" t="n">
        <f aca="false">IF(AND(N790=1,COUNTIFS($K$2:K790,K790,$L$2:L790,L790,$J$2:J790,J790,$N$2:N790,1)=1),1,0)</f>
        <v>0</v>
      </c>
      <c r="S790" s="1" t="n">
        <f aca="false">IF(AND(K790&lt;&gt;"Context and provider model",K790&lt;&gt;"Motivation"),1,0)</f>
        <v>1</v>
      </c>
    </row>
    <row r="791" customFormat="false" ht="15" hidden="false" customHeight="true" outlineLevel="0" collapsed="false">
      <c r="J791" s="1" t="str">
        <f aca="false">'Raw Atomic Data (Pro)'!A791</f>
        <v>Bruna</v>
      </c>
      <c r="K791" s="1" t="str">
        <f aca="false">'Raw Atomic Data (Pro)'!C791</f>
        <v>Cross-platform behavior</v>
      </c>
      <c r="L791" s="1" t="str">
        <f aca="false">'Raw Atomic Data (Pro)'!D791</f>
        <v>private-business-parallel-ops</v>
      </c>
      <c r="M791" s="1" t="str">
        <f aca="false">'Raw Atomic Data (Pro)'!E791</f>
        <v>fact</v>
      </c>
      <c r="N791" s="1" t="n">
        <f aca="false">IF(OR(M791="friction",M791="need",M791="workaround"),1,0)</f>
        <v>0</v>
      </c>
      <c r="O791" s="1" t="n">
        <f aca="false">IF(COUNTIFS($K$2:K791,K791,$L$2:L791,L791,$M$2:M791,M791,$J$2:J791,J791)=1,1,0)</f>
        <v>0</v>
      </c>
      <c r="P791" s="1" t="n">
        <f aca="false">IF(AND(N791=1,S791=1,COUNTIFS($L$2:L791,L791,$J$2:J791,J791,$N$2:N791,1,$S$2:S791,1)=1),1,0)</f>
        <v>0</v>
      </c>
      <c r="Q791" s="1" t="n">
        <f aca="false">IF(AND(N791=1,S791=1,COUNTIFS($L$2:L791,L791,$K$2:K791,K791,$N$2:N791,1,$S$2:S791,1)=1),1,0)</f>
        <v>0</v>
      </c>
      <c r="R791" s="1" t="n">
        <f aca="false">IF(AND(N791=1,COUNTIFS($K$2:K791,K791,$L$2:L791,L791,$J$2:J791,J791,$N$2:N791,1)=1),1,0)</f>
        <v>0</v>
      </c>
      <c r="S791" s="1" t="n">
        <f aca="false">IF(AND(K791&lt;&gt;"Context and provider model",K791&lt;&gt;"Motivation"),1,0)</f>
        <v>1</v>
      </c>
    </row>
    <row r="792" customFormat="false" ht="15" hidden="false" customHeight="true" outlineLevel="0" collapsed="false">
      <c r="J792" s="1" t="str">
        <f aca="false">'Raw Atomic Data (Pro)'!A792</f>
        <v>Bruna</v>
      </c>
      <c r="K792" s="1" t="str">
        <f aca="false">'Raw Atomic Data (Pro)'!C792</f>
        <v>Cross-platform behavior</v>
      </c>
      <c r="L792" s="1" t="str">
        <f aca="false">'Raw Atomic Data (Pro)'!D792</f>
        <v>sitter-community-network</v>
      </c>
      <c r="M792" s="1" t="str">
        <f aca="false">'Raw Atomic Data (Pro)'!E792</f>
        <v>fact</v>
      </c>
      <c r="N792" s="1" t="n">
        <f aca="false">IF(OR(M792="friction",M792="need",M792="workaround"),1,0)</f>
        <v>0</v>
      </c>
      <c r="O792" s="1" t="n">
        <f aca="false">IF(COUNTIFS($K$2:K792,K792,$L$2:L792,L792,$M$2:M792,M792,$J$2:J792,J792)=1,1,0)</f>
        <v>1</v>
      </c>
      <c r="P792" s="1" t="n">
        <f aca="false">IF(AND(N792=1,S792=1,COUNTIFS($L$2:L792,L792,$J$2:J792,J792,$N$2:N792,1,$S$2:S792,1)=1),1,0)</f>
        <v>0</v>
      </c>
      <c r="Q792" s="1" t="n">
        <f aca="false">IF(AND(N792=1,S792=1,COUNTIFS($L$2:L792,L792,$K$2:K792,K792,$N$2:N792,1,$S$2:S792,1)=1),1,0)</f>
        <v>0</v>
      </c>
      <c r="R792" s="1" t="n">
        <f aca="false">IF(AND(N792=1,COUNTIFS($K$2:K792,K792,$L$2:L792,L792,$J$2:J792,J792,$N$2:N792,1)=1),1,0)</f>
        <v>0</v>
      </c>
      <c r="S792" s="1" t="n">
        <f aca="false">IF(AND(K792&lt;&gt;"Context and provider model",K792&lt;&gt;"Motivation"),1,0)</f>
        <v>1</v>
      </c>
    </row>
    <row r="793" customFormat="false" ht="15" hidden="false" customHeight="true" outlineLevel="0" collapsed="false">
      <c r="J793" s="1" t="str">
        <f aca="false">'Raw Atomic Data (Pro)'!A793</f>
        <v>Colin</v>
      </c>
      <c r="K793" s="1" t="str">
        <f aca="false">'Raw Atomic Data (Pro)'!C793</f>
        <v>Cross-platform behavior</v>
      </c>
      <c r="L793" s="1" t="str">
        <f aca="false">'Raw Atomic Data (Pro)'!D793</f>
        <v>off-platform-clients-leakage</v>
      </c>
      <c r="M793" s="1" t="str">
        <f aca="false">'Raw Atomic Data (Pro)'!E793</f>
        <v>fact</v>
      </c>
      <c r="N793" s="1" t="n">
        <f aca="false">IF(OR(M793="friction",M793="need",M793="workaround"),1,0)</f>
        <v>0</v>
      </c>
      <c r="O793" s="1" t="n">
        <f aca="false">IF(COUNTIFS($K$2:K793,K793,$L$2:L793,L793,$M$2:M793,M793,$J$2:J793,J793)=1,1,0)</f>
        <v>1</v>
      </c>
      <c r="P793" s="1" t="n">
        <f aca="false">IF(AND(N793=1,S793=1,COUNTIFS($L$2:L793,L793,$J$2:J793,J793,$N$2:N793,1,$S$2:S793,1)=1),1,0)</f>
        <v>0</v>
      </c>
      <c r="Q793" s="1" t="n">
        <f aca="false">IF(AND(N793=1,S793=1,COUNTIFS($L$2:L793,L793,$K$2:K793,K793,$N$2:N793,1,$S$2:S793,1)=1),1,0)</f>
        <v>0</v>
      </c>
      <c r="R793" s="1" t="n">
        <f aca="false">IF(AND(N793=1,COUNTIFS($K$2:K793,K793,$L$2:L793,L793,$J$2:J793,J793,$N$2:N793,1)=1),1,0)</f>
        <v>0</v>
      </c>
      <c r="S793" s="1" t="n">
        <f aca="false">IF(AND(K793&lt;&gt;"Context and provider model",K793&lt;&gt;"Motivation"),1,0)</f>
        <v>1</v>
      </c>
    </row>
    <row r="794" customFormat="false" ht="15" hidden="false" customHeight="true" outlineLevel="0" collapsed="false">
      <c r="J794" s="1" t="str">
        <f aca="false">'Raw Atomic Data (Pro)'!A794</f>
        <v>Colin</v>
      </c>
      <c r="K794" s="1" t="str">
        <f aca="false">'Raw Atomic Data (Pro)'!C794</f>
        <v>Cross-platform behavior</v>
      </c>
      <c r="L794" s="1" t="str">
        <f aca="false">'Raw Atomic Data (Pro)'!D794</f>
        <v>calendar-scheduling-tools</v>
      </c>
      <c r="M794" s="1" t="str">
        <f aca="false">'Raw Atomic Data (Pro)'!E794</f>
        <v>fact</v>
      </c>
      <c r="N794" s="1" t="n">
        <f aca="false">IF(OR(M794="friction",M794="need",M794="workaround"),1,0)</f>
        <v>0</v>
      </c>
      <c r="O794" s="1" t="n">
        <f aca="false">IF(COUNTIFS($K$2:K794,K794,$L$2:L794,L794,$M$2:M794,M794,$J$2:J794,J794)=1,1,0)</f>
        <v>1</v>
      </c>
      <c r="P794" s="1" t="n">
        <f aca="false">IF(AND(N794=1,S794=1,COUNTIFS($L$2:L794,L794,$J$2:J794,J794,$N$2:N794,1,$S$2:S794,1)=1),1,0)</f>
        <v>0</v>
      </c>
      <c r="Q794" s="1" t="n">
        <f aca="false">IF(AND(N794=1,S794=1,COUNTIFS($L$2:L794,L794,$K$2:K794,K794,$N$2:N794,1,$S$2:S794,1)=1),1,0)</f>
        <v>0</v>
      </c>
      <c r="R794" s="1" t="n">
        <f aca="false">IF(AND(N794=1,COUNTIFS($K$2:K794,K794,$L$2:L794,L794,$J$2:J794,J794,$N$2:N794,1)=1),1,0)</f>
        <v>0</v>
      </c>
      <c r="S794" s="1" t="n">
        <f aca="false">IF(AND(K794&lt;&gt;"Context and provider model",K794&lt;&gt;"Motivation"),1,0)</f>
        <v>1</v>
      </c>
    </row>
    <row r="795" customFormat="false" ht="15" hidden="false" customHeight="true" outlineLevel="0" collapsed="false">
      <c r="J795" s="1" t="str">
        <f aca="false">'Raw Atomic Data (Pro)'!A795</f>
        <v>Colin</v>
      </c>
      <c r="K795" s="1" t="str">
        <f aca="false">'Raw Atomic Data (Pro)'!C795</f>
        <v>Cross-platform behavior</v>
      </c>
      <c r="L795" s="1" t="str">
        <f aca="false">'Raw Atomic Data (Pro)'!D795</f>
        <v>off-platform-communication-channels</v>
      </c>
      <c r="M795" s="1" t="str">
        <f aca="false">'Raw Atomic Data (Pro)'!E795</f>
        <v>fact</v>
      </c>
      <c r="N795" s="1" t="n">
        <f aca="false">IF(OR(M795="friction",M795="need",M795="workaround"),1,0)</f>
        <v>0</v>
      </c>
      <c r="O795" s="1" t="n">
        <f aca="false">IF(COUNTIFS($K$2:K795,K795,$L$2:L795,L795,$M$2:M795,M795,$J$2:J795,J795)=1,1,0)</f>
        <v>1</v>
      </c>
      <c r="P795" s="1" t="n">
        <f aca="false">IF(AND(N795=1,S795=1,COUNTIFS($L$2:L795,L795,$J$2:J795,J795,$N$2:N795,1,$S$2:S795,1)=1),1,0)</f>
        <v>0</v>
      </c>
      <c r="Q795" s="1" t="n">
        <f aca="false">IF(AND(N795=1,S795=1,COUNTIFS($L$2:L795,L795,$K$2:K795,K795,$N$2:N795,1,$S$2:S795,1)=1),1,0)</f>
        <v>0</v>
      </c>
      <c r="R795" s="1" t="n">
        <f aca="false">IF(AND(N795=1,COUNTIFS($K$2:K795,K795,$L$2:L795,L795,$J$2:J795,J795,$N$2:N795,1)=1),1,0)</f>
        <v>0</v>
      </c>
      <c r="S795" s="1" t="n">
        <f aca="false">IF(AND(K795&lt;&gt;"Context and provider model",K795&lt;&gt;"Motivation"),1,0)</f>
        <v>1</v>
      </c>
    </row>
    <row r="796" customFormat="false" ht="15" hidden="false" customHeight="true" outlineLevel="0" collapsed="false">
      <c r="J796" s="1" t="str">
        <f aca="false">'Raw Atomic Data (Pro)'!A796</f>
        <v>Dawn</v>
      </c>
      <c r="K796" s="1" t="str">
        <f aca="false">'Raw Atomic Data (Pro)'!C796</f>
        <v>Cross-platform behavior</v>
      </c>
      <c r="L796" s="1" t="str">
        <f aca="false">'Raw Atomic Data (Pro)'!D796</f>
        <v>private-business-parallel-ops</v>
      </c>
      <c r="M796" s="1" t="str">
        <f aca="false">'Raw Atomic Data (Pro)'!E796</f>
        <v>fact</v>
      </c>
      <c r="N796" s="1" t="n">
        <f aca="false">IF(OR(M796="friction",M796="need",M796="workaround"),1,0)</f>
        <v>0</v>
      </c>
      <c r="O796" s="1" t="n">
        <f aca="false">IF(COUNTIFS($K$2:K796,K796,$L$2:L796,L796,$M$2:M796,M796,$J$2:J796,J796)=1,1,0)</f>
        <v>1</v>
      </c>
      <c r="P796" s="1" t="n">
        <f aca="false">IF(AND(N796=1,S796=1,COUNTIFS($L$2:L796,L796,$J$2:J796,J796,$N$2:N796,1,$S$2:S796,1)=1),1,0)</f>
        <v>0</v>
      </c>
      <c r="Q796" s="1" t="n">
        <f aca="false">IF(AND(N796=1,S796=1,COUNTIFS($L$2:L796,L796,$K$2:K796,K796,$N$2:N796,1,$S$2:S796,1)=1),1,0)</f>
        <v>0</v>
      </c>
      <c r="R796" s="1" t="n">
        <f aca="false">IF(AND(N796=1,COUNTIFS($K$2:K796,K796,$L$2:L796,L796,$J$2:J796,J796,$N$2:N796,1)=1),1,0)</f>
        <v>0</v>
      </c>
      <c r="S796" s="1" t="n">
        <f aca="false">IF(AND(K796&lt;&gt;"Context and provider model",K796&lt;&gt;"Motivation"),1,0)</f>
        <v>1</v>
      </c>
    </row>
    <row r="797" customFormat="false" ht="15" hidden="false" customHeight="true" outlineLevel="0" collapsed="false">
      <c r="J797" s="1" t="str">
        <f aca="false">'Raw Atomic Data (Pro)'!A797</f>
        <v>Dawn</v>
      </c>
      <c r="K797" s="1" t="str">
        <f aca="false">'Raw Atomic Data (Pro)'!C797</f>
        <v>Cross-platform behavior</v>
      </c>
      <c r="L797" s="1" t="str">
        <f aca="false">'Raw Atomic Data (Pro)'!D797</f>
        <v>calendar-scheduling-tools</v>
      </c>
      <c r="M797" s="1" t="str">
        <f aca="false">'Raw Atomic Data (Pro)'!E797</f>
        <v>fact</v>
      </c>
      <c r="N797" s="1" t="n">
        <f aca="false">IF(OR(M797="friction",M797="need",M797="workaround"),1,0)</f>
        <v>0</v>
      </c>
      <c r="O797" s="1" t="n">
        <f aca="false">IF(COUNTIFS($K$2:K797,K797,$L$2:L797,L797,$M$2:M797,M797,$J$2:J797,J797)=1,1,0)</f>
        <v>1</v>
      </c>
      <c r="P797" s="1" t="n">
        <f aca="false">IF(AND(N797=1,S797=1,COUNTIFS($L$2:L797,L797,$J$2:J797,J797,$N$2:N797,1,$S$2:S797,1)=1),1,0)</f>
        <v>0</v>
      </c>
      <c r="Q797" s="1" t="n">
        <f aca="false">IF(AND(N797=1,S797=1,COUNTIFS($L$2:L797,L797,$K$2:K797,K797,$N$2:N797,1,$S$2:S797,1)=1),1,0)</f>
        <v>0</v>
      </c>
      <c r="R797" s="1" t="n">
        <f aca="false">IF(AND(N797=1,COUNTIFS($K$2:K797,K797,$L$2:L797,L797,$J$2:J797,J797,$N$2:N797,1)=1),1,0)</f>
        <v>0</v>
      </c>
      <c r="S797" s="1" t="n">
        <f aca="false">IF(AND(K797&lt;&gt;"Context and provider model",K797&lt;&gt;"Motivation"),1,0)</f>
        <v>1</v>
      </c>
    </row>
    <row r="798" customFormat="false" ht="15" hidden="false" customHeight="true" outlineLevel="0" collapsed="false">
      <c r="J798" s="1" t="str">
        <f aca="false">'Raw Atomic Data (Pro)'!A798</f>
        <v>Dawn</v>
      </c>
      <c r="K798" s="1" t="str">
        <f aca="false">'Raw Atomic Data (Pro)'!C798</f>
        <v>Cross-platform behavior</v>
      </c>
      <c r="L798" s="1" t="str">
        <f aca="false">'Raw Atomic Data (Pro)'!D798</f>
        <v>calendar-scheduling-tools</v>
      </c>
      <c r="M798" s="1" t="str">
        <f aca="false">'Raw Atomic Data (Pro)'!E798</f>
        <v>fact</v>
      </c>
      <c r="N798" s="1" t="n">
        <f aca="false">IF(OR(M798="friction",M798="need",M798="workaround"),1,0)</f>
        <v>0</v>
      </c>
      <c r="O798" s="1" t="n">
        <f aca="false">IF(COUNTIFS($K$2:K798,K798,$L$2:L798,L798,$M$2:M798,M798,$J$2:J798,J798)=1,1,0)</f>
        <v>0</v>
      </c>
      <c r="P798" s="1" t="n">
        <f aca="false">IF(AND(N798=1,S798=1,COUNTIFS($L$2:L798,L798,$J$2:J798,J798,$N$2:N798,1,$S$2:S798,1)=1),1,0)</f>
        <v>0</v>
      </c>
      <c r="Q798" s="1" t="n">
        <f aca="false">IF(AND(N798=1,S798=1,COUNTIFS($L$2:L798,L798,$K$2:K798,K798,$N$2:N798,1,$S$2:S798,1)=1),1,0)</f>
        <v>0</v>
      </c>
      <c r="R798" s="1" t="n">
        <f aca="false">IF(AND(N798=1,COUNTIFS($K$2:K798,K798,$L$2:L798,L798,$J$2:J798,J798,$N$2:N798,1)=1),1,0)</f>
        <v>0</v>
      </c>
      <c r="S798" s="1" t="n">
        <f aca="false">IF(AND(K798&lt;&gt;"Context and provider model",K798&lt;&gt;"Motivation"),1,0)</f>
        <v>1</v>
      </c>
    </row>
    <row r="799" customFormat="false" ht="15" hidden="false" customHeight="true" outlineLevel="0" collapsed="false">
      <c r="J799" s="1" t="str">
        <f aca="false">'Raw Atomic Data (Pro)'!A799</f>
        <v>Dawn</v>
      </c>
      <c r="K799" s="1" t="str">
        <f aca="false">'Raw Atomic Data (Pro)'!C799</f>
        <v>Cross-platform behavior</v>
      </c>
      <c r="L799" s="1" t="str">
        <f aca="false">'Raw Atomic Data (Pro)'!D799</f>
        <v>off-platform-clients-leakage</v>
      </c>
      <c r="M799" s="1" t="str">
        <f aca="false">'Raw Atomic Data (Pro)'!E799</f>
        <v>fact</v>
      </c>
      <c r="N799" s="1" t="n">
        <f aca="false">IF(OR(M799="friction",M799="need",M799="workaround"),1,0)</f>
        <v>0</v>
      </c>
      <c r="O799" s="1" t="n">
        <f aca="false">IF(COUNTIFS($K$2:K799,K799,$L$2:L799,L799,$M$2:M799,M799,$J$2:J799,J799)=1,1,0)</f>
        <v>1</v>
      </c>
      <c r="P799" s="1" t="n">
        <f aca="false">IF(AND(N799=1,S799=1,COUNTIFS($L$2:L799,L799,$J$2:J799,J799,$N$2:N799,1,$S$2:S799,1)=1),1,0)</f>
        <v>0</v>
      </c>
      <c r="Q799" s="1" t="n">
        <f aca="false">IF(AND(N799=1,S799=1,COUNTIFS($L$2:L799,L799,$K$2:K799,K799,$N$2:N799,1,$S$2:S799,1)=1),1,0)</f>
        <v>0</v>
      </c>
      <c r="R799" s="1" t="n">
        <f aca="false">IF(AND(N799=1,COUNTIFS($K$2:K799,K799,$L$2:L799,L799,$J$2:J799,J799,$N$2:N799,1)=1),1,0)</f>
        <v>0</v>
      </c>
      <c r="S799" s="1" t="n">
        <f aca="false">IF(AND(K799&lt;&gt;"Context and provider model",K799&lt;&gt;"Motivation"),1,0)</f>
        <v>1</v>
      </c>
    </row>
    <row r="800" customFormat="false" ht="15" hidden="false" customHeight="true" outlineLevel="0" collapsed="false">
      <c r="J800" s="1" t="str">
        <f aca="false">'Raw Atomic Data (Pro)'!A800</f>
        <v>Erika</v>
      </c>
      <c r="K800" s="1" t="str">
        <f aca="false">'Raw Atomic Data (Pro)'!C800</f>
        <v>Cross-platform behavior</v>
      </c>
      <c r="L800" s="1" t="str">
        <f aca="false">'Raw Atomic Data (Pro)'!D800</f>
        <v>off-platform-clients-leakage</v>
      </c>
      <c r="M800" s="1" t="str">
        <f aca="false">'Raw Atomic Data (Pro)'!E800</f>
        <v>fact</v>
      </c>
      <c r="N800" s="1" t="n">
        <f aca="false">IF(OR(M800="friction",M800="need",M800="workaround"),1,0)</f>
        <v>0</v>
      </c>
      <c r="O800" s="1" t="n">
        <f aca="false">IF(COUNTIFS($K$2:K800,K800,$L$2:L800,L800,$M$2:M800,M800,$J$2:J800,J800)=1,1,0)</f>
        <v>1</v>
      </c>
      <c r="P800" s="1" t="n">
        <f aca="false">IF(AND(N800=1,S800=1,COUNTIFS($L$2:L800,L800,$J$2:J800,J800,$N$2:N800,1,$S$2:S800,1)=1),1,0)</f>
        <v>0</v>
      </c>
      <c r="Q800" s="1" t="n">
        <f aca="false">IF(AND(N800=1,S800=1,COUNTIFS($L$2:L800,L800,$K$2:K800,K800,$N$2:N800,1,$S$2:S800,1)=1),1,0)</f>
        <v>0</v>
      </c>
      <c r="R800" s="1" t="n">
        <f aca="false">IF(AND(N800=1,COUNTIFS($K$2:K800,K800,$L$2:L800,L800,$J$2:J800,J800,$N$2:N800,1)=1),1,0)</f>
        <v>0</v>
      </c>
      <c r="S800" s="1" t="n">
        <f aca="false">IF(AND(K800&lt;&gt;"Context and provider model",K800&lt;&gt;"Motivation"),1,0)</f>
        <v>1</v>
      </c>
    </row>
    <row r="801" customFormat="false" ht="15" hidden="false" customHeight="true" outlineLevel="0" collapsed="false">
      <c r="J801" s="1" t="str">
        <f aca="false">'Raw Atomic Data (Pro)'!A801</f>
        <v>Erika</v>
      </c>
      <c r="K801" s="1" t="str">
        <f aca="false">'Raw Atomic Data (Pro)'!C801</f>
        <v>Cross-platform behavior</v>
      </c>
      <c r="L801" s="1" t="str">
        <f aca="false">'Raw Atomic Data (Pro)'!D801</f>
        <v>private-business-parallel-ops</v>
      </c>
      <c r="M801" s="1" t="str">
        <f aca="false">'Raw Atomic Data (Pro)'!E801</f>
        <v>fact</v>
      </c>
      <c r="N801" s="1" t="n">
        <f aca="false">IF(OR(M801="friction",M801="need",M801="workaround"),1,0)</f>
        <v>0</v>
      </c>
      <c r="O801" s="1" t="n">
        <f aca="false">IF(COUNTIFS($K$2:K801,K801,$L$2:L801,L801,$M$2:M801,M801,$J$2:J801,J801)=1,1,0)</f>
        <v>1</v>
      </c>
      <c r="P801" s="1" t="n">
        <f aca="false">IF(AND(N801=1,S801=1,COUNTIFS($L$2:L801,L801,$J$2:J801,J801,$N$2:N801,1,$S$2:S801,1)=1),1,0)</f>
        <v>0</v>
      </c>
      <c r="Q801" s="1" t="n">
        <f aca="false">IF(AND(N801=1,S801=1,COUNTIFS($L$2:L801,L801,$K$2:K801,K801,$N$2:N801,1,$S$2:S801,1)=1),1,0)</f>
        <v>0</v>
      </c>
      <c r="R801" s="1" t="n">
        <f aca="false">IF(AND(N801=1,COUNTIFS($K$2:K801,K801,$L$2:L801,L801,$J$2:J801,J801,$N$2:N801,1)=1),1,0)</f>
        <v>0</v>
      </c>
      <c r="S801" s="1" t="n">
        <f aca="false">IF(AND(K801&lt;&gt;"Context and provider model",K801&lt;&gt;"Motivation"),1,0)</f>
        <v>1</v>
      </c>
    </row>
    <row r="802" customFormat="false" ht="15" hidden="false" customHeight="true" outlineLevel="0" collapsed="false">
      <c r="J802" s="1" t="str">
        <f aca="false">'Raw Atomic Data (Pro)'!A802</f>
        <v>Erika</v>
      </c>
      <c r="K802" s="1" t="str">
        <f aca="false">'Raw Atomic Data (Pro)'!C802</f>
        <v>Cross-platform behavior</v>
      </c>
      <c r="L802" s="1" t="str">
        <f aca="false">'Raw Atomic Data (Pro)'!D802</f>
        <v>private-business-parallel-ops</v>
      </c>
      <c r="M802" s="1" t="str">
        <f aca="false">'Raw Atomic Data (Pro)'!E802</f>
        <v>fact</v>
      </c>
      <c r="N802" s="1" t="n">
        <f aca="false">IF(OR(M802="friction",M802="need",M802="workaround"),1,0)</f>
        <v>0</v>
      </c>
      <c r="O802" s="1" t="n">
        <f aca="false">IF(COUNTIFS($K$2:K802,K802,$L$2:L802,L802,$M$2:M802,M802,$J$2:J802,J802)=1,1,0)</f>
        <v>0</v>
      </c>
      <c r="P802" s="1" t="n">
        <f aca="false">IF(AND(N802=1,S802=1,COUNTIFS($L$2:L802,L802,$J$2:J802,J802,$N$2:N802,1,$S$2:S802,1)=1),1,0)</f>
        <v>0</v>
      </c>
      <c r="Q802" s="1" t="n">
        <f aca="false">IF(AND(N802=1,S802=1,COUNTIFS($L$2:L802,L802,$K$2:K802,K802,$N$2:N802,1,$S$2:S802,1)=1),1,0)</f>
        <v>0</v>
      </c>
      <c r="R802" s="1" t="n">
        <f aca="false">IF(AND(N802=1,COUNTIFS($K$2:K802,K802,$L$2:L802,L802,$J$2:J802,J802,$N$2:N802,1)=1),1,0)</f>
        <v>0</v>
      </c>
      <c r="S802" s="1" t="n">
        <f aca="false">IF(AND(K802&lt;&gt;"Context and provider model",K802&lt;&gt;"Motivation"),1,0)</f>
        <v>1</v>
      </c>
    </row>
    <row r="803" customFormat="false" ht="15" hidden="false" customHeight="true" outlineLevel="0" collapsed="false">
      <c r="J803" s="1" t="str">
        <f aca="false">'Raw Atomic Data (Pro)'!A803</f>
        <v>Erika</v>
      </c>
      <c r="K803" s="1" t="str">
        <f aca="false">'Raw Atomic Data (Pro)'!C803</f>
        <v>Cross-platform behavior</v>
      </c>
      <c r="L803" s="1" t="str">
        <f aca="false">'Raw Atomic Data (Pro)'!D803</f>
        <v>insurance-liability-coverage</v>
      </c>
      <c r="M803" s="1" t="str">
        <f aca="false">'Raw Atomic Data (Pro)'!E803</f>
        <v>value-statement</v>
      </c>
      <c r="N803" s="1" t="n">
        <f aca="false">IF(OR(M803="friction",M803="need",M803="workaround"),1,0)</f>
        <v>0</v>
      </c>
      <c r="O803" s="1" t="n">
        <f aca="false">IF(COUNTIFS($K$2:K803,K803,$L$2:L803,L803,$M$2:M803,M803,$J$2:J803,J803)=1,1,0)</f>
        <v>1</v>
      </c>
      <c r="P803" s="1" t="n">
        <f aca="false">IF(AND(N803=1,S803=1,COUNTIFS($L$2:L803,L803,$J$2:J803,J803,$N$2:N803,1,$S$2:S803,1)=1),1,0)</f>
        <v>0</v>
      </c>
      <c r="Q803" s="1" t="n">
        <f aca="false">IF(AND(N803=1,S803=1,COUNTIFS($L$2:L803,L803,$K$2:K803,K803,$N$2:N803,1,$S$2:S803,1)=1),1,0)</f>
        <v>0</v>
      </c>
      <c r="R803" s="1" t="n">
        <f aca="false">IF(AND(N803=1,COUNTIFS($K$2:K803,K803,$L$2:L803,L803,$J$2:J803,J803,$N$2:N803,1)=1),1,0)</f>
        <v>0</v>
      </c>
      <c r="S803" s="1" t="n">
        <f aca="false">IF(AND(K803&lt;&gt;"Context and provider model",K803&lt;&gt;"Motivation"),1,0)</f>
        <v>1</v>
      </c>
    </row>
    <row r="804" customFormat="false" ht="15" hidden="false" customHeight="true" outlineLevel="0" collapsed="false">
      <c r="J804" s="1" t="str">
        <f aca="false">'Raw Atomic Data (Pro)'!A804</f>
        <v>Erika</v>
      </c>
      <c r="K804" s="1" t="str">
        <f aca="false">'Raw Atomic Data (Pro)'!C804</f>
        <v>Cross-platform behavior</v>
      </c>
      <c r="L804" s="1" t="str">
        <f aca="false">'Raw Atomic Data (Pro)'!D804</f>
        <v>safety-risk-incidents</v>
      </c>
      <c r="M804" s="1" t="str">
        <f aca="false">'Raw Atomic Data (Pro)'!E804</f>
        <v>fact</v>
      </c>
      <c r="N804" s="1" t="n">
        <f aca="false">IF(OR(M804="friction",M804="need",M804="workaround"),1,0)</f>
        <v>0</v>
      </c>
      <c r="O804" s="1" t="n">
        <f aca="false">IF(COUNTIFS($K$2:K804,K804,$L$2:L804,L804,$M$2:M804,M804,$J$2:J804,J804)=1,1,0)</f>
        <v>1</v>
      </c>
      <c r="P804" s="1" t="n">
        <f aca="false">IF(AND(N804=1,S804=1,COUNTIFS($L$2:L804,L804,$J$2:J804,J804,$N$2:N804,1,$S$2:S804,1)=1),1,0)</f>
        <v>0</v>
      </c>
      <c r="Q804" s="1" t="n">
        <f aca="false">IF(AND(N804=1,S804=1,COUNTIFS($L$2:L804,L804,$K$2:K804,K804,$N$2:N804,1,$S$2:S804,1)=1),1,0)</f>
        <v>0</v>
      </c>
      <c r="R804" s="1" t="n">
        <f aca="false">IF(AND(N804=1,COUNTIFS($K$2:K804,K804,$L$2:L804,L804,$J$2:J804,J804,$N$2:N804,1)=1),1,0)</f>
        <v>0</v>
      </c>
      <c r="S804" s="1" t="n">
        <f aca="false">IF(AND(K804&lt;&gt;"Context and provider model",K804&lt;&gt;"Motivation"),1,0)</f>
        <v>1</v>
      </c>
    </row>
    <row r="805" customFormat="false" ht="15" hidden="false" customHeight="true" outlineLevel="0" collapsed="false">
      <c r="J805" s="1" t="str">
        <f aca="false">'Raw Atomic Data (Pro)'!A805</f>
        <v>Erika</v>
      </c>
      <c r="K805" s="1" t="str">
        <f aca="false">'Raw Atomic Data (Pro)'!C805</f>
        <v>Cross-platform behavior</v>
      </c>
      <c r="L805" s="1" t="str">
        <f aca="false">'Raw Atomic Data (Pro)'!D805</f>
        <v>insurance-liability-coverage</v>
      </c>
      <c r="M805" s="1" t="str">
        <f aca="false">'Raw Atomic Data (Pro)'!E805</f>
        <v>value-statement</v>
      </c>
      <c r="N805" s="1" t="n">
        <f aca="false">IF(OR(M805="friction",M805="need",M805="workaround"),1,0)</f>
        <v>0</v>
      </c>
      <c r="O805" s="1" t="n">
        <f aca="false">IF(COUNTIFS($K$2:K805,K805,$L$2:L805,L805,$M$2:M805,M805,$J$2:J805,J805)=1,1,0)</f>
        <v>0</v>
      </c>
      <c r="P805" s="1" t="n">
        <f aca="false">IF(AND(N805=1,S805=1,COUNTIFS($L$2:L805,L805,$J$2:J805,J805,$N$2:N805,1,$S$2:S805,1)=1),1,0)</f>
        <v>0</v>
      </c>
      <c r="Q805" s="1" t="n">
        <f aca="false">IF(AND(N805=1,S805=1,COUNTIFS($L$2:L805,L805,$K$2:K805,K805,$N$2:N805,1,$S$2:S805,1)=1),1,0)</f>
        <v>0</v>
      </c>
      <c r="R805" s="1" t="n">
        <f aca="false">IF(AND(N805=1,COUNTIFS($K$2:K805,K805,$L$2:L805,L805,$J$2:J805,J805,$N$2:N805,1)=1),1,0)</f>
        <v>0</v>
      </c>
      <c r="S805" s="1" t="n">
        <f aca="false">IF(AND(K805&lt;&gt;"Context and provider model",K805&lt;&gt;"Motivation"),1,0)</f>
        <v>1</v>
      </c>
    </row>
    <row r="806" customFormat="false" ht="15" hidden="false" customHeight="true" outlineLevel="0" collapsed="false">
      <c r="J806" s="1" t="str">
        <f aca="false">'Raw Atomic Data (Pro)'!A806</f>
        <v>Kristin</v>
      </c>
      <c r="K806" s="1" t="str">
        <f aca="false">'Raw Atomic Data (Pro)'!C806</f>
        <v>Cross-platform behavior</v>
      </c>
      <c r="L806" s="1" t="str">
        <f aca="false">'Raw Atomic Data (Pro)'!D806</f>
        <v>off-platform-clients-leakage</v>
      </c>
      <c r="M806" s="1" t="str">
        <f aca="false">'Raw Atomic Data (Pro)'!E806</f>
        <v>fact</v>
      </c>
      <c r="N806" s="1" t="n">
        <f aca="false">IF(OR(M806="friction",M806="need",M806="workaround"),1,0)</f>
        <v>0</v>
      </c>
      <c r="O806" s="1" t="n">
        <f aca="false">IF(COUNTIFS($K$2:K806,K806,$L$2:L806,L806,$M$2:M806,M806,$J$2:J806,J806)=1,1,0)</f>
        <v>1</v>
      </c>
      <c r="P806" s="1" t="n">
        <f aca="false">IF(AND(N806=1,S806=1,COUNTIFS($L$2:L806,L806,$J$2:J806,J806,$N$2:N806,1,$S$2:S806,1)=1),1,0)</f>
        <v>0</v>
      </c>
      <c r="Q806" s="1" t="n">
        <f aca="false">IF(AND(N806=1,S806=1,COUNTIFS($L$2:L806,L806,$K$2:K806,K806,$N$2:N806,1,$S$2:S806,1)=1),1,0)</f>
        <v>0</v>
      </c>
      <c r="R806" s="1" t="n">
        <f aca="false">IF(AND(N806=1,COUNTIFS($K$2:K806,K806,$L$2:L806,L806,$J$2:J806,J806,$N$2:N806,1)=1),1,0)</f>
        <v>0</v>
      </c>
      <c r="S806" s="1" t="n">
        <f aca="false">IF(AND(K806&lt;&gt;"Context and provider model",K806&lt;&gt;"Motivation"),1,0)</f>
        <v>1</v>
      </c>
    </row>
    <row r="807" customFormat="false" ht="15" hidden="false" customHeight="true" outlineLevel="0" collapsed="false">
      <c r="J807" s="1" t="str">
        <f aca="false">'Raw Atomic Data (Pro)'!A807</f>
        <v>Kristin</v>
      </c>
      <c r="K807" s="1" t="str">
        <f aca="false">'Raw Atomic Data (Pro)'!C807</f>
        <v>Cross-platform behavior</v>
      </c>
      <c r="L807" s="1" t="str">
        <f aca="false">'Raw Atomic Data (Pro)'!D807</f>
        <v>client-acquisition-discovery</v>
      </c>
      <c r="M807" s="1" t="str">
        <f aca="false">'Raw Atomic Data (Pro)'!E807</f>
        <v>fact</v>
      </c>
      <c r="N807" s="1" t="n">
        <f aca="false">IF(OR(M807="friction",M807="need",M807="workaround"),1,0)</f>
        <v>0</v>
      </c>
      <c r="O807" s="1" t="n">
        <f aca="false">IF(COUNTIFS($K$2:K807,K807,$L$2:L807,L807,$M$2:M807,M807,$J$2:J807,J807)=1,1,0)</f>
        <v>1</v>
      </c>
      <c r="P807" s="1" t="n">
        <f aca="false">IF(AND(N807=1,S807=1,COUNTIFS($L$2:L807,L807,$J$2:J807,J807,$N$2:N807,1,$S$2:S807,1)=1),1,0)</f>
        <v>0</v>
      </c>
      <c r="Q807" s="1" t="n">
        <f aca="false">IF(AND(N807=1,S807=1,COUNTIFS($L$2:L807,L807,$K$2:K807,K807,$N$2:N807,1,$S$2:S807,1)=1),1,0)</f>
        <v>0</v>
      </c>
      <c r="R807" s="1" t="n">
        <f aca="false">IF(AND(N807=1,COUNTIFS($K$2:K807,K807,$L$2:L807,L807,$J$2:J807,J807,$N$2:N807,1)=1),1,0)</f>
        <v>0</v>
      </c>
      <c r="S807" s="1" t="n">
        <f aca="false">IF(AND(K807&lt;&gt;"Context and provider model",K807&lt;&gt;"Motivation"),1,0)</f>
        <v>1</v>
      </c>
    </row>
    <row r="808" customFormat="false" ht="15" hidden="false" customHeight="true" outlineLevel="0" collapsed="false">
      <c r="J808" s="1" t="str">
        <f aca="false">'Raw Atomic Data (Pro)'!A808</f>
        <v>Kristin</v>
      </c>
      <c r="K808" s="1" t="str">
        <f aca="false">'Raw Atomic Data (Pro)'!C808</f>
        <v>Cross-platform behavior</v>
      </c>
      <c r="L808" s="1" t="str">
        <f aca="false">'Raw Atomic Data (Pro)'!D808</f>
        <v>client-acquisition-discovery</v>
      </c>
      <c r="M808" s="1" t="str">
        <f aca="false">'Raw Atomic Data (Pro)'!E808</f>
        <v>fact</v>
      </c>
      <c r="N808" s="1" t="n">
        <f aca="false">IF(OR(M808="friction",M808="need",M808="workaround"),1,0)</f>
        <v>0</v>
      </c>
      <c r="O808" s="1" t="n">
        <f aca="false">IF(COUNTIFS($K$2:K808,K808,$L$2:L808,L808,$M$2:M808,M808,$J$2:J808,J808)=1,1,0)</f>
        <v>0</v>
      </c>
      <c r="P808" s="1" t="n">
        <f aca="false">IF(AND(N808=1,S808=1,COUNTIFS($L$2:L808,L808,$J$2:J808,J808,$N$2:N808,1,$S$2:S808,1)=1),1,0)</f>
        <v>0</v>
      </c>
      <c r="Q808" s="1" t="n">
        <f aca="false">IF(AND(N808=1,S808=1,COUNTIFS($L$2:L808,L808,$K$2:K808,K808,$N$2:N808,1,$S$2:S808,1)=1),1,0)</f>
        <v>0</v>
      </c>
      <c r="R808" s="1" t="n">
        <f aca="false">IF(AND(N808=1,COUNTIFS($K$2:K808,K808,$L$2:L808,L808,$J$2:J808,J808,$N$2:N808,1)=1),1,0)</f>
        <v>0</v>
      </c>
      <c r="S808" s="1" t="n">
        <f aca="false">IF(AND(K808&lt;&gt;"Context and provider model",K808&lt;&gt;"Motivation"),1,0)</f>
        <v>1</v>
      </c>
    </row>
    <row r="809" customFormat="false" ht="15" hidden="false" customHeight="true" outlineLevel="0" collapsed="false">
      <c r="J809" s="1" t="str">
        <f aca="false">'Raw Atomic Data (Pro)'!A809</f>
        <v>Kristin</v>
      </c>
      <c r="K809" s="1" t="str">
        <f aca="false">'Raw Atomic Data (Pro)'!C809</f>
        <v>Cross-platform behavior</v>
      </c>
      <c r="L809" s="1" t="str">
        <f aca="false">'Raw Atomic Data (Pro)'!D809</f>
        <v>off-platform-communication-channels</v>
      </c>
      <c r="M809" s="1" t="str">
        <f aca="false">'Raw Atomic Data (Pro)'!E809</f>
        <v>workaround</v>
      </c>
      <c r="N809" s="1" t="n">
        <f aca="false">IF(OR(M809="friction",M809="need",M809="workaround"),1,0)</f>
        <v>1</v>
      </c>
      <c r="O809" s="1" t="n">
        <f aca="false">IF(COUNTIFS($K$2:K809,K809,$L$2:L809,L809,$M$2:M809,M809,$J$2:J809,J809)=1,1,0)</f>
        <v>1</v>
      </c>
      <c r="P809" s="1" t="n">
        <f aca="false">IF(AND(N809=1,S809=1,COUNTIFS($L$2:L809,L809,$J$2:J809,J809,$N$2:N809,1,$S$2:S809,1)=1),1,0)</f>
        <v>1</v>
      </c>
      <c r="Q809" s="1" t="n">
        <f aca="false">IF(AND(N809=1,S809=1,COUNTIFS($L$2:L809,L809,$K$2:K809,K809,$N$2:N809,1,$S$2:S809,1)=1),1,0)</f>
        <v>1</v>
      </c>
      <c r="R809" s="1" t="n">
        <f aca="false">IF(AND(N809=1,COUNTIFS($K$2:K809,K809,$L$2:L809,L809,$J$2:J809,J809,$N$2:N809,1)=1),1,0)</f>
        <v>1</v>
      </c>
      <c r="S809" s="1" t="n">
        <f aca="false">IF(AND(K809&lt;&gt;"Context and provider model",K809&lt;&gt;"Motivation"),1,0)</f>
        <v>1</v>
      </c>
    </row>
    <row r="810" customFormat="false" ht="15" hidden="false" customHeight="true" outlineLevel="0" collapsed="false">
      <c r="J810" s="1" t="str">
        <f aca="false">'Raw Atomic Data (Pro)'!A810</f>
        <v>Kristin</v>
      </c>
      <c r="K810" s="1" t="str">
        <f aca="false">'Raw Atomic Data (Pro)'!C810</f>
        <v>Cross-platform behavior</v>
      </c>
      <c r="L810" s="1" t="str">
        <f aca="false">'Raw Atomic Data (Pro)'!D810</f>
        <v>sitter-community-network</v>
      </c>
      <c r="M810" s="1" t="str">
        <f aca="false">'Raw Atomic Data (Pro)'!E810</f>
        <v>fact</v>
      </c>
      <c r="N810" s="1" t="n">
        <f aca="false">IF(OR(M810="friction",M810="need",M810="workaround"),1,0)</f>
        <v>0</v>
      </c>
      <c r="O810" s="1" t="n">
        <f aca="false">IF(COUNTIFS($K$2:K810,K810,$L$2:L810,L810,$M$2:M810,M810,$J$2:J810,J810)=1,1,0)</f>
        <v>1</v>
      </c>
      <c r="P810" s="1" t="n">
        <f aca="false">IF(AND(N810=1,S810=1,COUNTIFS($L$2:L810,L810,$J$2:J810,J810,$N$2:N810,1,$S$2:S810,1)=1),1,0)</f>
        <v>0</v>
      </c>
      <c r="Q810" s="1" t="n">
        <f aca="false">IF(AND(N810=1,S810=1,COUNTIFS($L$2:L810,L810,$K$2:K810,K810,$N$2:N810,1,$S$2:S810,1)=1),1,0)</f>
        <v>0</v>
      </c>
      <c r="R810" s="1" t="n">
        <f aca="false">IF(AND(N810=1,COUNTIFS($K$2:K810,K810,$L$2:L810,L810,$J$2:J810,J810,$N$2:N810,1)=1),1,0)</f>
        <v>0</v>
      </c>
      <c r="S810" s="1" t="n">
        <f aca="false">IF(AND(K810&lt;&gt;"Context and provider model",K810&lt;&gt;"Motivation"),1,0)</f>
        <v>1</v>
      </c>
    </row>
    <row r="811" customFormat="false" ht="15" hidden="false" customHeight="true" outlineLevel="0" collapsed="false">
      <c r="J811" s="1" t="str">
        <f aca="false">'Raw Atomic Data (Pro)'!A811</f>
        <v>Naomi</v>
      </c>
      <c r="K811" s="1" t="str">
        <f aca="false">'Raw Atomic Data (Pro)'!C811</f>
        <v>Cross-platform behavior</v>
      </c>
      <c r="L811" s="1" t="str">
        <f aca="false">'Raw Atomic Data (Pro)'!D811</f>
        <v>private-business-parallel-ops</v>
      </c>
      <c r="M811" s="1" t="str">
        <f aca="false">'Raw Atomic Data (Pro)'!E811</f>
        <v>fact</v>
      </c>
      <c r="N811" s="1" t="n">
        <f aca="false">IF(OR(M811="friction",M811="need",M811="workaround"),1,0)</f>
        <v>0</v>
      </c>
      <c r="O811" s="1" t="n">
        <f aca="false">IF(COUNTIFS($K$2:K811,K811,$L$2:L811,L811,$M$2:M811,M811,$J$2:J811,J811)=1,1,0)</f>
        <v>1</v>
      </c>
      <c r="P811" s="1" t="n">
        <f aca="false">IF(AND(N811=1,S811=1,COUNTIFS($L$2:L811,L811,$J$2:J811,J811,$N$2:N811,1,$S$2:S811,1)=1),1,0)</f>
        <v>0</v>
      </c>
      <c r="Q811" s="1" t="n">
        <f aca="false">IF(AND(N811=1,S811=1,COUNTIFS($L$2:L811,L811,$K$2:K811,K811,$N$2:N811,1,$S$2:S811,1)=1),1,0)</f>
        <v>0</v>
      </c>
      <c r="R811" s="1" t="n">
        <f aca="false">IF(AND(N811=1,COUNTIFS($K$2:K811,K811,$L$2:L811,L811,$J$2:J811,J811,$N$2:N811,1)=1),1,0)</f>
        <v>0</v>
      </c>
      <c r="S811" s="1" t="n">
        <f aca="false">IF(AND(K811&lt;&gt;"Context and provider model",K811&lt;&gt;"Motivation"),1,0)</f>
        <v>1</v>
      </c>
    </row>
    <row r="812" customFormat="false" ht="15" hidden="false" customHeight="true" outlineLevel="0" collapsed="false">
      <c r="J812" s="1" t="str">
        <f aca="false">'Raw Atomic Data (Pro)'!A812</f>
        <v>Naomi</v>
      </c>
      <c r="K812" s="1" t="str">
        <f aca="false">'Raw Atomic Data (Pro)'!C812</f>
        <v>Cross-platform behavior</v>
      </c>
      <c r="L812" s="1" t="str">
        <f aca="false">'Raw Atomic Data (Pro)'!D812</f>
        <v>private-business-parallel-ops</v>
      </c>
      <c r="M812" s="1" t="str">
        <f aca="false">'Raw Atomic Data (Pro)'!E812</f>
        <v>fact</v>
      </c>
      <c r="N812" s="1" t="n">
        <f aca="false">IF(OR(M812="friction",M812="need",M812="workaround"),1,0)</f>
        <v>0</v>
      </c>
      <c r="O812" s="1" t="n">
        <f aca="false">IF(COUNTIFS($K$2:K812,K812,$L$2:L812,L812,$M$2:M812,M812,$J$2:J812,J812)=1,1,0)</f>
        <v>0</v>
      </c>
      <c r="P812" s="1" t="n">
        <f aca="false">IF(AND(N812=1,S812=1,COUNTIFS($L$2:L812,L812,$J$2:J812,J812,$N$2:N812,1,$S$2:S812,1)=1),1,0)</f>
        <v>0</v>
      </c>
      <c r="Q812" s="1" t="n">
        <f aca="false">IF(AND(N812=1,S812=1,COUNTIFS($L$2:L812,L812,$K$2:K812,K812,$N$2:N812,1,$S$2:S812,1)=1),1,0)</f>
        <v>0</v>
      </c>
      <c r="R812" s="1" t="n">
        <f aca="false">IF(AND(N812=1,COUNTIFS($K$2:K812,K812,$L$2:L812,L812,$J$2:J812,J812,$N$2:N812,1)=1),1,0)</f>
        <v>0</v>
      </c>
      <c r="S812" s="1" t="n">
        <f aca="false">IF(AND(K812&lt;&gt;"Context and provider model",K812&lt;&gt;"Motivation"),1,0)</f>
        <v>1</v>
      </c>
    </row>
    <row r="813" customFormat="false" ht="15" hidden="false" customHeight="true" outlineLevel="0" collapsed="false">
      <c r="J813" s="1" t="str">
        <f aca="false">'Raw Atomic Data (Pro)'!A813</f>
        <v>Naomi</v>
      </c>
      <c r="K813" s="1" t="str">
        <f aca="false">'Raw Atomic Data (Pro)'!C813</f>
        <v>Cross-platform behavior</v>
      </c>
      <c r="L813" s="1" t="str">
        <f aca="false">'Raw Atomic Data (Pro)'!D813</f>
        <v>private-business-parallel-ops</v>
      </c>
      <c r="M813" s="1" t="str">
        <f aca="false">'Raw Atomic Data (Pro)'!E813</f>
        <v>fact</v>
      </c>
      <c r="N813" s="1" t="n">
        <f aca="false">IF(OR(M813="friction",M813="need",M813="workaround"),1,0)</f>
        <v>0</v>
      </c>
      <c r="O813" s="1" t="n">
        <f aca="false">IF(COUNTIFS($K$2:K813,K813,$L$2:L813,L813,$M$2:M813,M813,$J$2:J813,J813)=1,1,0)</f>
        <v>0</v>
      </c>
      <c r="P813" s="1" t="n">
        <f aca="false">IF(AND(N813=1,S813=1,COUNTIFS($L$2:L813,L813,$J$2:J813,J813,$N$2:N813,1,$S$2:S813,1)=1),1,0)</f>
        <v>0</v>
      </c>
      <c r="Q813" s="1" t="n">
        <f aca="false">IF(AND(N813=1,S813=1,COUNTIFS($L$2:L813,L813,$K$2:K813,K813,$N$2:N813,1,$S$2:S813,1)=1),1,0)</f>
        <v>0</v>
      </c>
      <c r="R813" s="1" t="n">
        <f aca="false">IF(AND(N813=1,COUNTIFS($K$2:K813,K813,$L$2:L813,L813,$J$2:J813,J813,$N$2:N813,1)=1),1,0)</f>
        <v>0</v>
      </c>
      <c r="S813" s="1" t="n">
        <f aca="false">IF(AND(K813&lt;&gt;"Context and provider model",K813&lt;&gt;"Motivation"),1,0)</f>
        <v>1</v>
      </c>
    </row>
    <row r="814" customFormat="false" ht="15" hidden="false" customHeight="true" outlineLevel="0" collapsed="false">
      <c r="J814" s="1" t="str">
        <f aca="false">'Raw Atomic Data (Pro)'!A814</f>
        <v>Shania</v>
      </c>
      <c r="K814" s="1" t="str">
        <f aca="false">'Raw Atomic Data (Pro)'!C814</f>
        <v>Cross-platform behavior</v>
      </c>
      <c r="L814" s="1" t="str">
        <f aca="false">'Raw Atomic Data (Pro)'!D814</f>
        <v>off-platform-clients-leakage</v>
      </c>
      <c r="M814" s="1" t="str">
        <f aca="false">'Raw Atomic Data (Pro)'!E814</f>
        <v>fact</v>
      </c>
      <c r="N814" s="1" t="n">
        <f aca="false">IF(OR(M814="friction",M814="need",M814="workaround"),1,0)</f>
        <v>0</v>
      </c>
      <c r="O814" s="1" t="n">
        <f aca="false">IF(COUNTIFS($K$2:K814,K814,$L$2:L814,L814,$M$2:M814,M814,$J$2:J814,J814)=1,1,0)</f>
        <v>1</v>
      </c>
      <c r="P814" s="1" t="n">
        <f aca="false">IF(AND(N814=1,S814=1,COUNTIFS($L$2:L814,L814,$J$2:J814,J814,$N$2:N814,1,$S$2:S814,1)=1),1,0)</f>
        <v>0</v>
      </c>
      <c r="Q814" s="1" t="n">
        <f aca="false">IF(AND(N814=1,S814=1,COUNTIFS($L$2:L814,L814,$K$2:K814,K814,$N$2:N814,1,$S$2:S814,1)=1),1,0)</f>
        <v>0</v>
      </c>
      <c r="R814" s="1" t="n">
        <f aca="false">IF(AND(N814=1,COUNTIFS($K$2:K814,K814,$L$2:L814,L814,$J$2:J814,J814,$N$2:N814,1)=1),1,0)</f>
        <v>0</v>
      </c>
      <c r="S814" s="1" t="n">
        <f aca="false">IF(AND(K814&lt;&gt;"Context and provider model",K814&lt;&gt;"Motivation"),1,0)</f>
        <v>1</v>
      </c>
    </row>
    <row r="815" customFormat="false" ht="15" hidden="false" customHeight="true" outlineLevel="0" collapsed="false">
      <c r="J815" s="1" t="str">
        <f aca="false">'Raw Atomic Data (Pro)'!A815</f>
        <v>Shania</v>
      </c>
      <c r="K815" s="1" t="str">
        <f aca="false">'Raw Atomic Data (Pro)'!C815</f>
        <v>Cross-platform behavior</v>
      </c>
      <c r="L815" s="1" t="str">
        <f aca="false">'Raw Atomic Data (Pro)'!D815</f>
        <v>onboarding-signup-process</v>
      </c>
      <c r="M815" s="1" t="str">
        <f aca="false">'Raw Atomic Data (Pro)'!E815</f>
        <v>fact</v>
      </c>
      <c r="N815" s="1" t="n">
        <f aca="false">IF(OR(M815="friction",M815="need",M815="workaround"),1,0)</f>
        <v>0</v>
      </c>
      <c r="O815" s="1" t="n">
        <f aca="false">IF(COUNTIFS($K$2:K815,K815,$L$2:L815,L815,$M$2:M815,M815,$J$2:J815,J815)=1,1,0)</f>
        <v>1</v>
      </c>
      <c r="P815" s="1" t="n">
        <f aca="false">IF(AND(N815=1,S815=1,COUNTIFS($L$2:L815,L815,$J$2:J815,J815,$N$2:N815,1,$S$2:S815,1)=1),1,0)</f>
        <v>0</v>
      </c>
      <c r="Q815" s="1" t="n">
        <f aca="false">IF(AND(N815=1,S815=1,COUNTIFS($L$2:L815,L815,$K$2:K815,K815,$N$2:N815,1,$S$2:S815,1)=1),1,0)</f>
        <v>0</v>
      </c>
      <c r="R815" s="1" t="n">
        <f aca="false">IF(AND(N815=1,COUNTIFS($K$2:K815,K815,$L$2:L815,L815,$J$2:J815,J815,$N$2:N815,1)=1),1,0)</f>
        <v>0</v>
      </c>
      <c r="S815" s="1" t="n">
        <f aca="false">IF(AND(K815&lt;&gt;"Context and provider model",K815&lt;&gt;"Motivation"),1,0)</f>
        <v>1</v>
      </c>
    </row>
    <row r="816" customFormat="false" ht="15" hidden="false" customHeight="true" outlineLevel="0" collapsed="false">
      <c r="J816" s="1" t="str">
        <f aca="false">'Raw Atomic Data (Pro)'!A816</f>
        <v>Shania</v>
      </c>
      <c r="K816" s="1" t="str">
        <f aca="false">'Raw Atomic Data (Pro)'!C816</f>
        <v>Cross-platform behavior</v>
      </c>
      <c r="L816" s="1" t="str">
        <f aca="false">'Raw Atomic Data (Pro)'!D816</f>
        <v>off-platform-clients-leakage</v>
      </c>
      <c r="M816" s="1" t="str">
        <f aca="false">'Raw Atomic Data (Pro)'!E816</f>
        <v>fact</v>
      </c>
      <c r="N816" s="1" t="n">
        <f aca="false">IF(OR(M816="friction",M816="need",M816="workaround"),1,0)</f>
        <v>0</v>
      </c>
      <c r="O816" s="1" t="n">
        <f aca="false">IF(COUNTIFS($K$2:K816,K816,$L$2:L816,L816,$M$2:M816,M816,$J$2:J816,J816)=1,1,0)</f>
        <v>0</v>
      </c>
      <c r="P816" s="1" t="n">
        <f aca="false">IF(AND(N816=1,S816=1,COUNTIFS($L$2:L816,L816,$J$2:J816,J816,$N$2:N816,1,$S$2:S816,1)=1),1,0)</f>
        <v>0</v>
      </c>
      <c r="Q816" s="1" t="n">
        <f aca="false">IF(AND(N816=1,S816=1,COUNTIFS($L$2:L816,L816,$K$2:K816,K816,$N$2:N816,1,$S$2:S816,1)=1),1,0)</f>
        <v>0</v>
      </c>
      <c r="R816" s="1" t="n">
        <f aca="false">IF(AND(N816=1,COUNTIFS($K$2:K816,K816,$L$2:L816,L816,$J$2:J816,J816,$N$2:N816,1)=1),1,0)</f>
        <v>0</v>
      </c>
      <c r="S816" s="1" t="n">
        <f aca="false">IF(AND(K816&lt;&gt;"Context and provider model",K816&lt;&gt;"Motivation"),1,0)</f>
        <v>1</v>
      </c>
    </row>
    <row r="817" customFormat="false" ht="15" hidden="false" customHeight="true" outlineLevel="0" collapsed="false">
      <c r="J817" s="1" t="str">
        <f aca="false">'Raw Atomic Data (Pro)'!A817</f>
        <v>Shania</v>
      </c>
      <c r="K817" s="1" t="str">
        <f aca="false">'Raw Atomic Data (Pro)'!C817</f>
        <v>Cross-platform behavior</v>
      </c>
      <c r="L817" s="1" t="str">
        <f aca="false">'Raw Atomic Data (Pro)'!D817</f>
        <v>calendar-scheduling-tools</v>
      </c>
      <c r="M817" s="1" t="str">
        <f aca="false">'Raw Atomic Data (Pro)'!E817</f>
        <v>value-statement</v>
      </c>
      <c r="N817" s="1" t="n">
        <f aca="false">IF(OR(M817="friction",M817="need",M817="workaround"),1,0)</f>
        <v>0</v>
      </c>
      <c r="O817" s="1" t="n">
        <f aca="false">IF(COUNTIFS($K$2:K817,K817,$L$2:L817,L817,$M$2:M817,M817,$J$2:J817,J817)=1,1,0)</f>
        <v>1</v>
      </c>
      <c r="P817" s="1" t="n">
        <f aca="false">IF(AND(N817=1,S817=1,COUNTIFS($L$2:L817,L817,$J$2:J817,J817,$N$2:N817,1,$S$2:S817,1)=1),1,0)</f>
        <v>0</v>
      </c>
      <c r="Q817" s="1" t="n">
        <f aca="false">IF(AND(N817=1,S817=1,COUNTIFS($L$2:L817,L817,$K$2:K817,K817,$N$2:N817,1,$S$2:S817,1)=1),1,0)</f>
        <v>0</v>
      </c>
      <c r="R817" s="1" t="n">
        <f aca="false">IF(AND(N817=1,COUNTIFS($K$2:K817,K817,$L$2:L817,L817,$J$2:J817,J817,$N$2:N817,1)=1),1,0)</f>
        <v>0</v>
      </c>
      <c r="S817" s="1" t="n">
        <f aca="false">IF(AND(K817&lt;&gt;"Context and provider model",K817&lt;&gt;"Motivation"),1,0)</f>
        <v>1</v>
      </c>
    </row>
    <row r="818" customFormat="false" ht="15" hidden="false" customHeight="true" outlineLevel="0" collapsed="false">
      <c r="J818" s="1" t="str">
        <f aca="false">'Raw Atomic Data (Pro)'!A818</f>
        <v>Shania</v>
      </c>
      <c r="K818" s="1" t="str">
        <f aca="false">'Raw Atomic Data (Pro)'!C818</f>
        <v>Cross-platform behavior</v>
      </c>
      <c r="L818" s="1" t="str">
        <f aca="false">'Raw Atomic Data (Pro)'!D818</f>
        <v>sitter-support-resources</v>
      </c>
      <c r="M818" s="1" t="str">
        <f aca="false">'Raw Atomic Data (Pro)'!E818</f>
        <v>fact</v>
      </c>
      <c r="N818" s="1" t="n">
        <f aca="false">IF(OR(M818="friction",M818="need",M818="workaround"),1,0)</f>
        <v>0</v>
      </c>
      <c r="O818" s="1" t="n">
        <f aca="false">IF(COUNTIFS($K$2:K818,K818,$L$2:L818,L818,$M$2:M818,M818,$J$2:J818,J818)=1,1,0)</f>
        <v>1</v>
      </c>
      <c r="P818" s="1" t="n">
        <f aca="false">IF(AND(N818=1,S818=1,COUNTIFS($L$2:L818,L818,$J$2:J818,J818,$N$2:N818,1,$S$2:S818,1)=1),1,0)</f>
        <v>0</v>
      </c>
      <c r="Q818" s="1" t="n">
        <f aca="false">IF(AND(N818=1,S818=1,COUNTIFS($L$2:L818,L818,$K$2:K818,K818,$N$2:N818,1,$S$2:S818,1)=1),1,0)</f>
        <v>0</v>
      </c>
      <c r="R818" s="1" t="n">
        <f aca="false">IF(AND(N818=1,COUNTIFS($K$2:K818,K818,$L$2:L818,L818,$J$2:J818,J818,$N$2:N818,1)=1),1,0)</f>
        <v>0</v>
      </c>
      <c r="S818" s="1" t="n">
        <f aca="false">IF(AND(K818&lt;&gt;"Context and provider model",K818&lt;&gt;"Motivation"),1,0)</f>
        <v>1</v>
      </c>
    </row>
    <row r="819" customFormat="false" ht="15" hidden="false" customHeight="true" outlineLevel="0" collapsed="false">
      <c r="J819" s="1" t="str">
        <f aca="false">'Raw Atomic Data (Pro)'!A819</f>
        <v>Tianrui</v>
      </c>
      <c r="K819" s="1" t="str">
        <f aca="false">'Raw Atomic Data (Pro)'!C819</f>
        <v>Cross-platform behavior</v>
      </c>
      <c r="L819" s="1" t="str">
        <f aca="false">'Raw Atomic Data (Pro)'!D819</f>
        <v>off-platform-clients-leakage</v>
      </c>
      <c r="M819" s="1" t="str">
        <f aca="false">'Raw Atomic Data (Pro)'!E819</f>
        <v>fact</v>
      </c>
      <c r="N819" s="1" t="n">
        <f aca="false">IF(OR(M819="friction",M819="need",M819="workaround"),1,0)</f>
        <v>0</v>
      </c>
      <c r="O819" s="1" t="n">
        <f aca="false">IF(COUNTIFS($K$2:K819,K819,$L$2:L819,L819,$M$2:M819,M819,$J$2:J819,J819)=1,1,0)</f>
        <v>1</v>
      </c>
      <c r="P819" s="1" t="n">
        <f aca="false">IF(AND(N819=1,S819=1,COUNTIFS($L$2:L819,L819,$J$2:J819,J819,$N$2:N819,1,$S$2:S819,1)=1),1,0)</f>
        <v>0</v>
      </c>
      <c r="Q819" s="1" t="n">
        <f aca="false">IF(AND(N819=1,S819=1,COUNTIFS($L$2:L819,L819,$K$2:K819,K819,$N$2:N819,1,$S$2:S819,1)=1),1,0)</f>
        <v>0</v>
      </c>
      <c r="R819" s="1" t="n">
        <f aca="false">IF(AND(N819=1,COUNTIFS($K$2:K819,K819,$L$2:L819,L819,$J$2:J819,J819,$N$2:N819,1)=1),1,0)</f>
        <v>0</v>
      </c>
      <c r="S819" s="1" t="n">
        <f aca="false">IF(AND(K819&lt;&gt;"Context and provider model",K819&lt;&gt;"Motivation"),1,0)</f>
        <v>1</v>
      </c>
    </row>
    <row r="820" customFormat="false" ht="15" hidden="false" customHeight="true" outlineLevel="0" collapsed="false">
      <c r="J820" s="1" t="str">
        <f aca="false">'Raw Atomic Data (Pro)'!A820</f>
        <v>Tianrui</v>
      </c>
      <c r="K820" s="1" t="str">
        <f aca="false">'Raw Atomic Data (Pro)'!C820</f>
        <v>Cross-platform behavior</v>
      </c>
      <c r="L820" s="1" t="str">
        <f aca="false">'Raw Atomic Data (Pro)'!D820</f>
        <v>insurance-liability-coverage</v>
      </c>
      <c r="M820" s="1" t="str">
        <f aca="false">'Raw Atomic Data (Pro)'!E820</f>
        <v>value-statement</v>
      </c>
      <c r="N820" s="1" t="n">
        <f aca="false">IF(OR(M820="friction",M820="need",M820="workaround"),1,0)</f>
        <v>0</v>
      </c>
      <c r="O820" s="1" t="n">
        <f aca="false">IF(COUNTIFS($K$2:K820,K820,$L$2:L820,L820,$M$2:M820,M820,$J$2:J820,J820)=1,1,0)</f>
        <v>1</v>
      </c>
      <c r="P820" s="1" t="n">
        <f aca="false">IF(AND(N820=1,S820=1,COUNTIFS($L$2:L820,L820,$J$2:J820,J820,$N$2:N820,1,$S$2:S820,1)=1),1,0)</f>
        <v>0</v>
      </c>
      <c r="Q820" s="1" t="n">
        <f aca="false">IF(AND(N820=1,S820=1,COUNTIFS($L$2:L820,L820,$K$2:K820,K820,$N$2:N820,1,$S$2:S820,1)=1),1,0)</f>
        <v>0</v>
      </c>
      <c r="R820" s="1" t="n">
        <f aca="false">IF(AND(N820=1,COUNTIFS($K$2:K820,K820,$L$2:L820,L820,$J$2:J820,J820,$N$2:N820,1)=1),1,0)</f>
        <v>0</v>
      </c>
      <c r="S820" s="1" t="n">
        <f aca="false">IF(AND(K820&lt;&gt;"Context and provider model",K820&lt;&gt;"Motivation"),1,0)</f>
        <v>1</v>
      </c>
    </row>
    <row r="821" customFormat="false" ht="15" hidden="false" customHeight="true" outlineLevel="0" collapsed="false">
      <c r="J821" s="1" t="str">
        <f aca="false">'Raw Atomic Data (Pro)'!A821</f>
        <v>Tifany</v>
      </c>
      <c r="K821" s="1" t="str">
        <f aca="false">'Raw Atomic Data (Pro)'!C821</f>
        <v>Cross-platform behavior</v>
      </c>
      <c r="L821" s="1" t="str">
        <f aca="false">'Raw Atomic Data (Pro)'!D821</f>
        <v>private-business-parallel-ops</v>
      </c>
      <c r="M821" s="1" t="str">
        <f aca="false">'Raw Atomic Data (Pro)'!E821</f>
        <v>fact</v>
      </c>
      <c r="N821" s="1" t="n">
        <f aca="false">IF(OR(M821="friction",M821="need",M821="workaround"),1,0)</f>
        <v>0</v>
      </c>
      <c r="O821" s="1" t="n">
        <f aca="false">IF(COUNTIFS($K$2:K821,K821,$L$2:L821,L821,$M$2:M821,M821,$J$2:J821,J821)=1,1,0)</f>
        <v>1</v>
      </c>
      <c r="P821" s="1" t="n">
        <f aca="false">IF(AND(N821=1,S821=1,COUNTIFS($L$2:L821,L821,$J$2:J821,J821,$N$2:N821,1,$S$2:S821,1)=1),1,0)</f>
        <v>0</v>
      </c>
      <c r="Q821" s="1" t="n">
        <f aca="false">IF(AND(N821=1,S821=1,COUNTIFS($L$2:L821,L821,$K$2:K821,K821,$N$2:N821,1,$S$2:S821,1)=1),1,0)</f>
        <v>0</v>
      </c>
      <c r="R821" s="1" t="n">
        <f aca="false">IF(AND(N821=1,COUNTIFS($K$2:K821,K821,$L$2:L821,L821,$J$2:J821,J821,$N$2:N821,1)=1),1,0)</f>
        <v>0</v>
      </c>
      <c r="S821" s="1" t="n">
        <f aca="false">IF(AND(K821&lt;&gt;"Context and provider model",K821&lt;&gt;"Motivation"),1,0)</f>
        <v>1</v>
      </c>
    </row>
    <row r="822" customFormat="false" ht="15" hidden="false" customHeight="true" outlineLevel="0" collapsed="false">
      <c r="J822" s="1" t="str">
        <f aca="false">'Raw Atomic Data (Pro)'!A822</f>
        <v>Tifany</v>
      </c>
      <c r="K822" s="1" t="str">
        <f aca="false">'Raw Atomic Data (Pro)'!C822</f>
        <v>Cross-platform behavior</v>
      </c>
      <c r="L822" s="1" t="str">
        <f aca="false">'Raw Atomic Data (Pro)'!D822</f>
        <v>private-business-parallel-ops</v>
      </c>
      <c r="M822" s="1" t="str">
        <f aca="false">'Raw Atomic Data (Pro)'!E822</f>
        <v>fact</v>
      </c>
      <c r="N822" s="1" t="n">
        <f aca="false">IF(OR(M822="friction",M822="need",M822="workaround"),1,0)</f>
        <v>0</v>
      </c>
      <c r="O822" s="1" t="n">
        <f aca="false">IF(COUNTIFS($K$2:K822,K822,$L$2:L822,L822,$M$2:M822,M822,$J$2:J822,J822)=1,1,0)</f>
        <v>0</v>
      </c>
      <c r="P822" s="1" t="n">
        <f aca="false">IF(AND(N822=1,S822=1,COUNTIFS($L$2:L822,L822,$J$2:J822,J822,$N$2:N822,1,$S$2:S822,1)=1),1,0)</f>
        <v>0</v>
      </c>
      <c r="Q822" s="1" t="n">
        <f aca="false">IF(AND(N822=1,S822=1,COUNTIFS($L$2:L822,L822,$K$2:K822,K822,$N$2:N822,1,$S$2:S822,1)=1),1,0)</f>
        <v>0</v>
      </c>
      <c r="R822" s="1" t="n">
        <f aca="false">IF(AND(N822=1,COUNTIFS($K$2:K822,K822,$L$2:L822,L822,$J$2:J822,J822,$N$2:N822,1)=1),1,0)</f>
        <v>0</v>
      </c>
      <c r="S822" s="1" t="n">
        <f aca="false">IF(AND(K822&lt;&gt;"Context and provider model",K822&lt;&gt;"Motivation"),1,0)</f>
        <v>1</v>
      </c>
    </row>
    <row r="823" customFormat="false" ht="15" hidden="false" customHeight="true" outlineLevel="0" collapsed="false">
      <c r="J823" s="1" t="str">
        <f aca="false">'Raw Atomic Data (Pro)'!A823</f>
        <v>Tifany</v>
      </c>
      <c r="K823" s="1" t="str">
        <f aca="false">'Raw Atomic Data (Pro)'!C823</f>
        <v>Cross-platform behavior</v>
      </c>
      <c r="L823" s="1" t="str">
        <f aca="false">'Raw Atomic Data (Pro)'!D823</f>
        <v>private-business-parallel-ops</v>
      </c>
      <c r="M823" s="1" t="str">
        <f aca="false">'Raw Atomic Data (Pro)'!E823</f>
        <v>fact</v>
      </c>
      <c r="N823" s="1" t="n">
        <f aca="false">IF(OR(M823="friction",M823="need",M823="workaround"),1,0)</f>
        <v>0</v>
      </c>
      <c r="O823" s="1" t="n">
        <f aca="false">IF(COUNTIFS($K$2:K823,K823,$L$2:L823,L823,$M$2:M823,M823,$J$2:J823,J823)=1,1,0)</f>
        <v>0</v>
      </c>
      <c r="P823" s="1" t="n">
        <f aca="false">IF(AND(N823=1,S823=1,COUNTIFS($L$2:L823,L823,$J$2:J823,J823,$N$2:N823,1,$S$2:S823,1)=1),1,0)</f>
        <v>0</v>
      </c>
      <c r="Q823" s="1" t="n">
        <f aca="false">IF(AND(N823=1,S823=1,COUNTIFS($L$2:L823,L823,$K$2:K823,K823,$N$2:N823,1,$S$2:S823,1)=1),1,0)</f>
        <v>0</v>
      </c>
      <c r="R823" s="1" t="n">
        <f aca="false">IF(AND(N823=1,COUNTIFS($K$2:K823,K823,$L$2:L823,L823,$J$2:J823,J823,$N$2:N823,1)=1),1,0)</f>
        <v>0</v>
      </c>
      <c r="S823" s="1" t="n">
        <f aca="false">IF(AND(K823&lt;&gt;"Context and provider model",K823&lt;&gt;"Motivation"),1,0)</f>
        <v>1</v>
      </c>
    </row>
    <row r="824" customFormat="false" ht="15" hidden="false" customHeight="true" outlineLevel="0" collapsed="false">
      <c r="J824" s="1" t="str">
        <f aca="false">'Raw Atomic Data (Pro)'!A824</f>
        <v>Tifany</v>
      </c>
      <c r="K824" s="1" t="str">
        <f aca="false">'Raw Atomic Data (Pro)'!C824</f>
        <v>Cross-platform behavior</v>
      </c>
      <c r="L824" s="1" t="str">
        <f aca="false">'Raw Atomic Data (Pro)'!D824</f>
        <v>private-business-parallel-ops</v>
      </c>
      <c r="M824" s="1" t="str">
        <f aca="false">'Raw Atomic Data (Pro)'!E824</f>
        <v>fact</v>
      </c>
      <c r="N824" s="1" t="n">
        <f aca="false">IF(OR(M824="friction",M824="need",M824="workaround"),1,0)</f>
        <v>0</v>
      </c>
      <c r="O824" s="1" t="n">
        <f aca="false">IF(COUNTIFS($K$2:K824,K824,$L$2:L824,L824,$M$2:M824,M824,$J$2:J824,J824)=1,1,0)</f>
        <v>0</v>
      </c>
      <c r="P824" s="1" t="n">
        <f aca="false">IF(AND(N824=1,S824=1,COUNTIFS($L$2:L824,L824,$J$2:J824,J824,$N$2:N824,1,$S$2:S824,1)=1),1,0)</f>
        <v>0</v>
      </c>
      <c r="Q824" s="1" t="n">
        <f aca="false">IF(AND(N824=1,S824=1,COUNTIFS($L$2:L824,L824,$K$2:K824,K824,$N$2:N824,1,$S$2:S824,1)=1),1,0)</f>
        <v>0</v>
      </c>
      <c r="R824" s="1" t="n">
        <f aca="false">IF(AND(N824=1,COUNTIFS($K$2:K824,K824,$L$2:L824,L824,$J$2:J824,J824,$N$2:N824,1)=1),1,0)</f>
        <v>0</v>
      </c>
      <c r="S824" s="1" t="n">
        <f aca="false">IF(AND(K824&lt;&gt;"Context and provider model",K824&lt;&gt;"Motivation"),1,0)</f>
        <v>1</v>
      </c>
    </row>
    <row r="825" customFormat="false" ht="15" hidden="false" customHeight="true" outlineLevel="0" collapsed="false">
      <c r="J825" s="1" t="str">
        <f aca="false">'Raw Atomic Data (Pro)'!A825</f>
        <v>Tifany</v>
      </c>
      <c r="K825" s="1" t="str">
        <f aca="false">'Raw Atomic Data (Pro)'!C825</f>
        <v>Cross-platform behavior</v>
      </c>
      <c r="L825" s="1" t="str">
        <f aca="false">'Raw Atomic Data (Pro)'!D825</f>
        <v>private-business-parallel-ops</v>
      </c>
      <c r="M825" s="1" t="str">
        <f aca="false">'Raw Atomic Data (Pro)'!E825</f>
        <v>fact</v>
      </c>
      <c r="N825" s="1" t="n">
        <f aca="false">IF(OR(M825="friction",M825="need",M825="workaround"),1,0)</f>
        <v>0</v>
      </c>
      <c r="O825" s="1" t="n">
        <f aca="false">IF(COUNTIFS($K$2:K825,K825,$L$2:L825,L825,$M$2:M825,M825,$J$2:J825,J825)=1,1,0)</f>
        <v>0</v>
      </c>
      <c r="P825" s="1" t="n">
        <f aca="false">IF(AND(N825=1,S825=1,COUNTIFS($L$2:L825,L825,$J$2:J825,J825,$N$2:N825,1,$S$2:S825,1)=1),1,0)</f>
        <v>0</v>
      </c>
      <c r="Q825" s="1" t="n">
        <f aca="false">IF(AND(N825=1,S825=1,COUNTIFS($L$2:L825,L825,$K$2:K825,K825,$N$2:N825,1,$S$2:S825,1)=1),1,0)</f>
        <v>0</v>
      </c>
      <c r="R825" s="1" t="n">
        <f aca="false">IF(AND(N825=1,COUNTIFS($K$2:K825,K825,$L$2:L825,L825,$J$2:J825,J825,$N$2:N825,1)=1),1,0)</f>
        <v>0</v>
      </c>
      <c r="S825" s="1" t="n">
        <f aca="false">IF(AND(K825&lt;&gt;"Context and provider model",K825&lt;&gt;"Motivation"),1,0)</f>
        <v>1</v>
      </c>
    </row>
    <row r="826" customFormat="false" ht="15" hidden="false" customHeight="true" outlineLevel="0" collapsed="false">
      <c r="J826" s="1" t="str">
        <f aca="false">'Raw Atomic Data (Pro)'!A826</f>
        <v>Tifany</v>
      </c>
      <c r="K826" s="1" t="str">
        <f aca="false">'Raw Atomic Data (Pro)'!C826</f>
        <v>Cross-platform behavior</v>
      </c>
      <c r="L826" s="1" t="str">
        <f aca="false">'Raw Atomic Data (Pro)'!D826</f>
        <v>off-platform-clients-leakage</v>
      </c>
      <c r="M826" s="1" t="str">
        <f aca="false">'Raw Atomic Data (Pro)'!E826</f>
        <v>fact</v>
      </c>
      <c r="N826" s="1" t="n">
        <f aca="false">IF(OR(M826="friction",M826="need",M826="workaround"),1,0)</f>
        <v>0</v>
      </c>
      <c r="O826" s="1" t="n">
        <f aca="false">IF(COUNTIFS($K$2:K826,K826,$L$2:L826,L826,$M$2:M826,M826,$J$2:J826,J826)=1,1,0)</f>
        <v>1</v>
      </c>
      <c r="P826" s="1" t="n">
        <f aca="false">IF(AND(N826=1,S826=1,COUNTIFS($L$2:L826,L826,$J$2:J826,J826,$N$2:N826,1,$S$2:S826,1)=1),1,0)</f>
        <v>0</v>
      </c>
      <c r="Q826" s="1" t="n">
        <f aca="false">IF(AND(N826=1,S826=1,COUNTIFS($L$2:L826,L826,$K$2:K826,K826,$N$2:N826,1,$S$2:S826,1)=1),1,0)</f>
        <v>0</v>
      </c>
      <c r="R826" s="1" t="n">
        <f aca="false">IF(AND(N826=1,COUNTIFS($K$2:K826,K826,$L$2:L826,L826,$J$2:J826,J826,$N$2:N826,1)=1),1,0)</f>
        <v>0</v>
      </c>
      <c r="S826" s="1" t="n">
        <f aca="false">IF(AND(K826&lt;&gt;"Context and provider model",K826&lt;&gt;"Motivation"),1,0)</f>
        <v>1</v>
      </c>
    </row>
    <row r="827" customFormat="false" ht="15" hidden="false" customHeight="true" outlineLevel="0" collapsed="false">
      <c r="J827" s="1" t="str">
        <f aca="false">'Raw Atomic Data (Pro)'!A827</f>
        <v>Tifany</v>
      </c>
      <c r="K827" s="1" t="str">
        <f aca="false">'Raw Atomic Data (Pro)'!C827</f>
        <v>Cross-platform behavior</v>
      </c>
      <c r="L827" s="1" t="str">
        <f aca="false">'Raw Atomic Data (Pro)'!D827</f>
        <v>insurance-liability-coverage</v>
      </c>
      <c r="M827" s="1" t="str">
        <f aca="false">'Raw Atomic Data (Pro)'!E827</f>
        <v>fact</v>
      </c>
      <c r="N827" s="1" t="n">
        <f aca="false">IF(OR(M827="friction",M827="need",M827="workaround"),1,0)</f>
        <v>0</v>
      </c>
      <c r="O827" s="1" t="n">
        <f aca="false">IF(COUNTIFS($K$2:K827,K827,$L$2:L827,L827,$M$2:M827,M827,$J$2:J827,J827)=1,1,0)</f>
        <v>1</v>
      </c>
      <c r="P827" s="1" t="n">
        <f aca="false">IF(AND(N827=1,S827=1,COUNTIFS($L$2:L827,L827,$J$2:J827,J827,$N$2:N827,1,$S$2:S827,1)=1),1,0)</f>
        <v>0</v>
      </c>
      <c r="Q827" s="1" t="n">
        <f aca="false">IF(AND(N827=1,S827=1,COUNTIFS($L$2:L827,L827,$K$2:K827,K827,$N$2:N827,1,$S$2:S827,1)=1),1,0)</f>
        <v>0</v>
      </c>
      <c r="R827" s="1" t="n">
        <f aca="false">IF(AND(N827=1,COUNTIFS($K$2:K827,K827,$L$2:L827,L827,$J$2:J827,J827,$N$2:N827,1)=1),1,0)</f>
        <v>0</v>
      </c>
      <c r="S827" s="1" t="n">
        <f aca="false">IF(AND(K827&lt;&gt;"Context and provider model",K827&lt;&gt;"Motivation"),1,0)</f>
        <v>1</v>
      </c>
    </row>
    <row r="828" customFormat="false" ht="15" hidden="false" customHeight="true" outlineLevel="0" collapsed="false">
      <c r="J828" s="1" t="str">
        <f aca="false">'Raw Atomic Data (Pro)'!A828</f>
        <v>Ami</v>
      </c>
      <c r="K828" s="1" t="str">
        <f aca="false">'Raw Atomic Data (Pro)'!C828</f>
        <v>Growth and future plans</v>
      </c>
      <c r="L828" s="1" t="str">
        <f aca="false">'Raw Atomic Data (Pro)'!D828</f>
        <v>business-growth-plans</v>
      </c>
      <c r="M828" s="1" t="str">
        <f aca="false">'Raw Atomic Data (Pro)'!E828</f>
        <v>fact</v>
      </c>
      <c r="N828" s="1" t="n">
        <f aca="false">IF(OR(M828="friction",M828="need",M828="workaround"),1,0)</f>
        <v>0</v>
      </c>
      <c r="O828" s="1" t="n">
        <f aca="false">IF(COUNTIFS($K$2:K828,K828,$L$2:L828,L828,$M$2:M828,M828,$J$2:J828,J828)=1,1,0)</f>
        <v>1</v>
      </c>
      <c r="P828" s="1" t="n">
        <f aca="false">IF(AND(N828=1,S828=1,COUNTIFS($L$2:L828,L828,$J$2:J828,J828,$N$2:N828,1,$S$2:S828,1)=1),1,0)</f>
        <v>0</v>
      </c>
      <c r="Q828" s="1" t="n">
        <f aca="false">IF(AND(N828=1,S828=1,COUNTIFS($L$2:L828,L828,$K$2:K828,K828,$N$2:N828,1,$S$2:S828,1)=1),1,0)</f>
        <v>0</v>
      </c>
      <c r="R828" s="1" t="n">
        <f aca="false">IF(AND(N828=1,COUNTIFS($K$2:K828,K828,$L$2:L828,L828,$J$2:J828,J828,$N$2:N828,1)=1),1,0)</f>
        <v>0</v>
      </c>
      <c r="S828" s="1" t="n">
        <f aca="false">IF(AND(K828&lt;&gt;"Context and provider model",K828&lt;&gt;"Motivation"),1,0)</f>
        <v>1</v>
      </c>
    </row>
    <row r="829" customFormat="false" ht="15" hidden="false" customHeight="true" outlineLevel="0" collapsed="false">
      <c r="J829" s="1" t="str">
        <f aca="false">'Raw Atomic Data (Pro)'!A829</f>
        <v>Ami</v>
      </c>
      <c r="K829" s="1" t="str">
        <f aca="false">'Raw Atomic Data (Pro)'!C829</f>
        <v>Growth and future plans</v>
      </c>
      <c r="L829" s="1" t="str">
        <f aca="false">'Raw Atomic Data (Pro)'!D829</f>
        <v>business-growth-plans</v>
      </c>
      <c r="M829" s="1" t="str">
        <f aca="false">'Raw Atomic Data (Pro)'!E829</f>
        <v>fact</v>
      </c>
      <c r="N829" s="1" t="n">
        <f aca="false">IF(OR(M829="friction",M829="need",M829="workaround"),1,0)</f>
        <v>0</v>
      </c>
      <c r="O829" s="1" t="n">
        <f aca="false">IF(COUNTIFS($K$2:K829,K829,$L$2:L829,L829,$M$2:M829,M829,$J$2:J829,J829)=1,1,0)</f>
        <v>0</v>
      </c>
      <c r="P829" s="1" t="n">
        <f aca="false">IF(AND(N829=1,S829=1,COUNTIFS($L$2:L829,L829,$J$2:J829,J829,$N$2:N829,1,$S$2:S829,1)=1),1,0)</f>
        <v>0</v>
      </c>
      <c r="Q829" s="1" t="n">
        <f aca="false">IF(AND(N829=1,S829=1,COUNTIFS($L$2:L829,L829,$K$2:K829,K829,$N$2:N829,1,$S$2:S829,1)=1),1,0)</f>
        <v>0</v>
      </c>
      <c r="R829" s="1" t="n">
        <f aca="false">IF(AND(N829=1,COUNTIFS($K$2:K829,K829,$L$2:L829,L829,$J$2:J829,J829,$N$2:N829,1)=1),1,0)</f>
        <v>0</v>
      </c>
      <c r="S829" s="1" t="n">
        <f aca="false">IF(AND(K829&lt;&gt;"Context and provider model",K829&lt;&gt;"Motivation"),1,0)</f>
        <v>1</v>
      </c>
    </row>
    <row r="830" customFormat="false" ht="15" hidden="false" customHeight="true" outlineLevel="0" collapsed="false">
      <c r="J830" s="1" t="str">
        <f aca="false">'Raw Atomic Data (Pro)'!A830</f>
        <v>Ami</v>
      </c>
      <c r="K830" s="1" t="str">
        <f aca="false">'Raw Atomic Data (Pro)'!C830</f>
        <v>Growth and future plans</v>
      </c>
      <c r="L830" s="1" t="str">
        <f aca="false">'Raw Atomic Data (Pro)'!D830</f>
        <v>business-growth-plans</v>
      </c>
      <c r="M830" s="1" t="str">
        <f aca="false">'Raw Atomic Data (Pro)'!E830</f>
        <v>fact</v>
      </c>
      <c r="N830" s="1" t="n">
        <f aca="false">IF(OR(M830="friction",M830="need",M830="workaround"),1,0)</f>
        <v>0</v>
      </c>
      <c r="O830" s="1" t="n">
        <f aca="false">IF(COUNTIFS($K$2:K830,K830,$L$2:L830,L830,$M$2:M830,M830,$J$2:J830,J830)=1,1,0)</f>
        <v>0</v>
      </c>
      <c r="P830" s="1" t="n">
        <f aca="false">IF(AND(N830=1,S830=1,COUNTIFS($L$2:L830,L830,$J$2:J830,J830,$N$2:N830,1,$S$2:S830,1)=1),1,0)</f>
        <v>0</v>
      </c>
      <c r="Q830" s="1" t="n">
        <f aca="false">IF(AND(N830=1,S830=1,COUNTIFS($L$2:L830,L830,$K$2:K830,K830,$N$2:N830,1,$S$2:S830,1)=1),1,0)</f>
        <v>0</v>
      </c>
      <c r="R830" s="1" t="n">
        <f aca="false">IF(AND(N830=1,COUNTIFS($K$2:K830,K830,$L$2:L830,L830,$J$2:J830,J830,$N$2:N830,1)=1),1,0)</f>
        <v>0</v>
      </c>
      <c r="S830" s="1" t="n">
        <f aca="false">IF(AND(K830&lt;&gt;"Context and provider model",K830&lt;&gt;"Motivation"),1,0)</f>
        <v>1</v>
      </c>
    </row>
    <row r="831" customFormat="false" ht="15" hidden="false" customHeight="true" outlineLevel="0" collapsed="false">
      <c r="J831" s="1" t="str">
        <f aca="false">'Raw Atomic Data (Pro)'!A831</f>
        <v>Ami</v>
      </c>
      <c r="K831" s="1" t="str">
        <f aca="false">'Raw Atomic Data (Pro)'!C831</f>
        <v>Growth and future plans</v>
      </c>
      <c r="L831" s="1" t="str">
        <f aca="false">'Raw Atomic Data (Pro)'!D831</f>
        <v>business-growth-plans</v>
      </c>
      <c r="M831" s="1" t="str">
        <f aca="false">'Raw Atomic Data (Pro)'!E831</f>
        <v>need</v>
      </c>
      <c r="N831" s="1" t="n">
        <f aca="false">IF(OR(M831="friction",M831="need",M831="workaround"),1,0)</f>
        <v>1</v>
      </c>
      <c r="O831" s="1" t="n">
        <f aca="false">IF(COUNTIFS($K$2:K831,K831,$L$2:L831,L831,$M$2:M831,M831,$J$2:J831,J831)=1,1,0)</f>
        <v>1</v>
      </c>
      <c r="P831" s="1" t="n">
        <f aca="false">IF(AND(N831=1,S831=1,COUNTIFS($L$2:L831,L831,$J$2:J831,J831,$N$2:N831,1,$S$2:S831,1)=1),1,0)</f>
        <v>1</v>
      </c>
      <c r="Q831" s="1" t="n">
        <f aca="false">IF(AND(N831=1,S831=1,COUNTIFS($L$2:L831,L831,$K$2:K831,K831,$N$2:N831,1,$S$2:S831,1)=1),1,0)</f>
        <v>1</v>
      </c>
      <c r="R831" s="1" t="n">
        <f aca="false">IF(AND(N831=1,COUNTIFS($K$2:K831,K831,$L$2:L831,L831,$J$2:J831,J831,$N$2:N831,1)=1),1,0)</f>
        <v>1</v>
      </c>
      <c r="S831" s="1" t="n">
        <f aca="false">IF(AND(K831&lt;&gt;"Context and provider model",K831&lt;&gt;"Motivation"),1,0)</f>
        <v>1</v>
      </c>
    </row>
    <row r="832" customFormat="false" ht="15" hidden="false" customHeight="true" outlineLevel="0" collapsed="false">
      <c r="J832" s="1" t="str">
        <f aca="false">'Raw Atomic Data (Pro)'!A832</f>
        <v>Ami</v>
      </c>
      <c r="K832" s="1" t="str">
        <f aca="false">'Raw Atomic Data (Pro)'!C832</f>
        <v>Growth and future plans</v>
      </c>
      <c r="L832" s="1" t="str">
        <f aca="false">'Raw Atomic Data (Pro)'!D832</f>
        <v>sitter-support-resources</v>
      </c>
      <c r="M832" s="1" t="str">
        <f aca="false">'Raw Atomic Data (Pro)'!E832</f>
        <v>value-statement</v>
      </c>
      <c r="N832" s="1" t="n">
        <f aca="false">IF(OR(M832="friction",M832="need",M832="workaround"),1,0)</f>
        <v>0</v>
      </c>
      <c r="O832" s="1" t="n">
        <f aca="false">IF(COUNTIFS($K$2:K832,K832,$L$2:L832,L832,$M$2:M832,M832,$J$2:J832,J832)=1,1,0)</f>
        <v>1</v>
      </c>
      <c r="P832" s="1" t="n">
        <f aca="false">IF(AND(N832=1,S832=1,COUNTIFS($L$2:L832,L832,$J$2:J832,J832,$N$2:N832,1,$S$2:S832,1)=1),1,0)</f>
        <v>0</v>
      </c>
      <c r="Q832" s="1" t="n">
        <f aca="false">IF(AND(N832=1,S832=1,COUNTIFS($L$2:L832,L832,$K$2:K832,K832,$N$2:N832,1,$S$2:S832,1)=1),1,0)</f>
        <v>0</v>
      </c>
      <c r="R832" s="1" t="n">
        <f aca="false">IF(AND(N832=1,COUNTIFS($K$2:K832,K832,$L$2:L832,L832,$J$2:J832,J832,$N$2:N832,1)=1),1,0)</f>
        <v>0</v>
      </c>
      <c r="S832" s="1" t="n">
        <f aca="false">IF(AND(K832&lt;&gt;"Context and provider model",K832&lt;&gt;"Motivation"),1,0)</f>
        <v>1</v>
      </c>
    </row>
    <row r="833" customFormat="false" ht="15" hidden="false" customHeight="true" outlineLevel="0" collapsed="false">
      <c r="J833" s="1" t="str">
        <f aca="false">'Raw Atomic Data (Pro)'!A833</f>
        <v>Ami</v>
      </c>
      <c r="K833" s="1" t="str">
        <f aca="false">'Raw Atomic Data (Pro)'!C833</f>
        <v>Growth and future plans</v>
      </c>
      <c r="L833" s="1" t="str">
        <f aca="false">'Raw Atomic Data (Pro)'!D833</f>
        <v>business-growth-plans</v>
      </c>
      <c r="M833" s="1" t="str">
        <f aca="false">'Raw Atomic Data (Pro)'!E833</f>
        <v>fact</v>
      </c>
      <c r="N833" s="1" t="n">
        <f aca="false">IF(OR(M833="friction",M833="need",M833="workaround"),1,0)</f>
        <v>0</v>
      </c>
      <c r="O833" s="1" t="n">
        <f aca="false">IF(COUNTIFS($K$2:K833,K833,$L$2:L833,L833,$M$2:M833,M833,$J$2:J833,J833)=1,1,0)</f>
        <v>0</v>
      </c>
      <c r="P833" s="1" t="n">
        <f aca="false">IF(AND(N833=1,S833=1,COUNTIFS($L$2:L833,L833,$J$2:J833,J833,$N$2:N833,1,$S$2:S833,1)=1),1,0)</f>
        <v>0</v>
      </c>
      <c r="Q833" s="1" t="n">
        <f aca="false">IF(AND(N833=1,S833=1,COUNTIFS($L$2:L833,L833,$K$2:K833,K833,$N$2:N833,1,$S$2:S833,1)=1),1,0)</f>
        <v>0</v>
      </c>
      <c r="R833" s="1" t="n">
        <f aca="false">IF(AND(N833=1,COUNTIFS($K$2:K833,K833,$L$2:L833,L833,$J$2:J833,J833,$N$2:N833,1)=1),1,0)</f>
        <v>0</v>
      </c>
      <c r="S833" s="1" t="n">
        <f aca="false">IF(AND(K833&lt;&gt;"Context and provider model",K833&lt;&gt;"Motivation"),1,0)</f>
        <v>1</v>
      </c>
    </row>
    <row r="834" customFormat="false" ht="15" hidden="false" customHeight="true" outlineLevel="0" collapsed="false">
      <c r="J834" s="1" t="str">
        <f aca="false">'Raw Atomic Data (Pro)'!A834</f>
        <v>Ami</v>
      </c>
      <c r="K834" s="1" t="str">
        <f aca="false">'Raw Atomic Data (Pro)'!C834</f>
        <v>Growth and future plans</v>
      </c>
      <c r="L834" s="1" t="str">
        <f aca="false">'Raw Atomic Data (Pro)'!D834</f>
        <v>sitter-support-resources</v>
      </c>
      <c r="M834" s="1" t="str">
        <f aca="false">'Raw Atomic Data (Pro)'!E834</f>
        <v>need</v>
      </c>
      <c r="N834" s="1" t="n">
        <f aca="false">IF(OR(M834="friction",M834="need",M834="workaround"),1,0)</f>
        <v>1</v>
      </c>
      <c r="O834" s="1" t="n">
        <f aca="false">IF(COUNTIFS($K$2:K834,K834,$L$2:L834,L834,$M$2:M834,M834,$J$2:J834,J834)=1,1,0)</f>
        <v>1</v>
      </c>
      <c r="P834" s="1" t="n">
        <f aca="false">IF(AND(N834=1,S834=1,COUNTIFS($L$2:L834,L834,$J$2:J834,J834,$N$2:N834,1,$S$2:S834,1)=1),1,0)</f>
        <v>1</v>
      </c>
      <c r="Q834" s="1" t="n">
        <f aca="false">IF(AND(N834=1,S834=1,COUNTIFS($L$2:L834,L834,$K$2:K834,K834,$N$2:N834,1,$S$2:S834,1)=1),1,0)</f>
        <v>1</v>
      </c>
      <c r="R834" s="1" t="n">
        <f aca="false">IF(AND(N834=1,COUNTIFS($K$2:K834,K834,$L$2:L834,L834,$J$2:J834,J834,$N$2:N834,1)=1),1,0)</f>
        <v>1</v>
      </c>
      <c r="S834" s="1" t="n">
        <f aca="false">IF(AND(K834&lt;&gt;"Context and provider model",K834&lt;&gt;"Motivation"),1,0)</f>
        <v>1</v>
      </c>
    </row>
    <row r="835" customFormat="false" ht="15" hidden="false" customHeight="true" outlineLevel="0" collapsed="false">
      <c r="J835" s="1" t="str">
        <f aca="false">'Raw Atomic Data (Pro)'!A835</f>
        <v>Andrew</v>
      </c>
      <c r="K835" s="1" t="str">
        <f aca="false">'Raw Atomic Data (Pro)'!C835</f>
        <v>Growth and future plans</v>
      </c>
      <c r="L835" s="1" t="str">
        <f aca="false">'Raw Atomic Data (Pro)'!D835</f>
        <v>business-growth-plans</v>
      </c>
      <c r="M835" s="1" t="str">
        <f aca="false">'Raw Atomic Data (Pro)'!E835</f>
        <v>fact</v>
      </c>
      <c r="N835" s="1" t="n">
        <f aca="false">IF(OR(M835="friction",M835="need",M835="workaround"),1,0)</f>
        <v>0</v>
      </c>
      <c r="O835" s="1" t="n">
        <f aca="false">IF(COUNTIFS($K$2:K835,K835,$L$2:L835,L835,$M$2:M835,M835,$J$2:J835,J835)=1,1,0)</f>
        <v>1</v>
      </c>
      <c r="P835" s="1" t="n">
        <f aca="false">IF(AND(N835=1,S835=1,COUNTIFS($L$2:L835,L835,$J$2:J835,J835,$N$2:N835,1,$S$2:S835,1)=1),1,0)</f>
        <v>0</v>
      </c>
      <c r="Q835" s="1" t="n">
        <f aca="false">IF(AND(N835=1,S835=1,COUNTIFS($L$2:L835,L835,$K$2:K835,K835,$N$2:N835,1,$S$2:S835,1)=1),1,0)</f>
        <v>0</v>
      </c>
      <c r="R835" s="1" t="n">
        <f aca="false">IF(AND(N835=1,COUNTIFS($K$2:K835,K835,$L$2:L835,L835,$J$2:J835,J835,$N$2:N835,1)=1),1,0)</f>
        <v>0</v>
      </c>
      <c r="S835" s="1" t="n">
        <f aca="false">IF(AND(K835&lt;&gt;"Context and provider model",K835&lt;&gt;"Motivation"),1,0)</f>
        <v>1</v>
      </c>
    </row>
    <row r="836" customFormat="false" ht="15" hidden="false" customHeight="true" outlineLevel="0" collapsed="false">
      <c r="J836" s="1" t="str">
        <f aca="false">'Raw Atomic Data (Pro)'!A836</f>
        <v>Andrew</v>
      </c>
      <c r="K836" s="1" t="str">
        <f aca="false">'Raw Atomic Data (Pro)'!C836</f>
        <v>Growth and future plans</v>
      </c>
      <c r="L836" s="1" t="str">
        <f aca="false">'Raw Atomic Data (Pro)'!D836</f>
        <v>business-growth-plans</v>
      </c>
      <c r="M836" s="1" t="str">
        <f aca="false">'Raw Atomic Data (Pro)'!E836</f>
        <v>fact</v>
      </c>
      <c r="N836" s="1" t="n">
        <f aca="false">IF(OR(M836="friction",M836="need",M836="workaround"),1,0)</f>
        <v>0</v>
      </c>
      <c r="O836" s="1" t="n">
        <f aca="false">IF(COUNTIFS($K$2:K836,K836,$L$2:L836,L836,$M$2:M836,M836,$J$2:J836,J836)=1,1,0)</f>
        <v>0</v>
      </c>
      <c r="P836" s="1" t="n">
        <f aca="false">IF(AND(N836=1,S836=1,COUNTIFS($L$2:L836,L836,$J$2:J836,J836,$N$2:N836,1,$S$2:S836,1)=1),1,0)</f>
        <v>0</v>
      </c>
      <c r="Q836" s="1" t="n">
        <f aca="false">IF(AND(N836=1,S836=1,COUNTIFS($L$2:L836,L836,$K$2:K836,K836,$N$2:N836,1,$S$2:S836,1)=1),1,0)</f>
        <v>0</v>
      </c>
      <c r="R836" s="1" t="n">
        <f aca="false">IF(AND(N836=1,COUNTIFS($K$2:K836,K836,$L$2:L836,L836,$J$2:J836,J836,$N$2:N836,1)=1),1,0)</f>
        <v>0</v>
      </c>
      <c r="S836" s="1" t="n">
        <f aca="false">IF(AND(K836&lt;&gt;"Context and provider model",K836&lt;&gt;"Motivation"),1,0)</f>
        <v>1</v>
      </c>
    </row>
    <row r="837" customFormat="false" ht="15" hidden="false" customHeight="true" outlineLevel="0" collapsed="false">
      <c r="J837" s="1" t="str">
        <f aca="false">'Raw Atomic Data (Pro)'!A837</f>
        <v>Andrew</v>
      </c>
      <c r="K837" s="1" t="str">
        <f aca="false">'Raw Atomic Data (Pro)'!C837</f>
        <v>Growth and future plans</v>
      </c>
      <c r="L837" s="1" t="str">
        <f aca="false">'Raw Atomic Data (Pro)'!D837</f>
        <v>business-growth-plans</v>
      </c>
      <c r="M837" s="1" t="str">
        <f aca="false">'Raw Atomic Data (Pro)'!E837</f>
        <v>fact</v>
      </c>
      <c r="N837" s="1" t="n">
        <f aca="false">IF(OR(M837="friction",M837="need",M837="workaround"),1,0)</f>
        <v>0</v>
      </c>
      <c r="O837" s="1" t="n">
        <f aca="false">IF(COUNTIFS($K$2:K837,K837,$L$2:L837,L837,$M$2:M837,M837,$J$2:J837,J837)=1,1,0)</f>
        <v>0</v>
      </c>
      <c r="P837" s="1" t="n">
        <f aca="false">IF(AND(N837=1,S837=1,COUNTIFS($L$2:L837,L837,$J$2:J837,J837,$N$2:N837,1,$S$2:S837,1)=1),1,0)</f>
        <v>0</v>
      </c>
      <c r="Q837" s="1" t="n">
        <f aca="false">IF(AND(N837=1,S837=1,COUNTIFS($L$2:L837,L837,$K$2:K837,K837,$N$2:N837,1,$S$2:S837,1)=1),1,0)</f>
        <v>0</v>
      </c>
      <c r="R837" s="1" t="n">
        <f aca="false">IF(AND(N837=1,COUNTIFS($K$2:K837,K837,$L$2:L837,L837,$J$2:J837,J837,$N$2:N837,1)=1),1,0)</f>
        <v>0</v>
      </c>
      <c r="S837" s="1" t="n">
        <f aca="false">IF(AND(K837&lt;&gt;"Context and provider model",K837&lt;&gt;"Motivation"),1,0)</f>
        <v>1</v>
      </c>
    </row>
    <row r="838" customFormat="false" ht="15" hidden="false" customHeight="true" outlineLevel="0" collapsed="false">
      <c r="J838" s="1" t="str">
        <f aca="false">'Raw Atomic Data (Pro)'!A838</f>
        <v>Andrew</v>
      </c>
      <c r="K838" s="1" t="str">
        <f aca="false">'Raw Atomic Data (Pro)'!C838</f>
        <v>Growth and future plans</v>
      </c>
      <c r="L838" s="1" t="str">
        <f aca="false">'Raw Atomic Data (Pro)'!D838</f>
        <v>business-growth-plans</v>
      </c>
      <c r="M838" s="1" t="str">
        <f aca="false">'Raw Atomic Data (Pro)'!E838</f>
        <v>need</v>
      </c>
      <c r="N838" s="1" t="n">
        <f aca="false">IF(OR(M838="friction",M838="need",M838="workaround"),1,0)</f>
        <v>1</v>
      </c>
      <c r="O838" s="1" t="n">
        <f aca="false">IF(COUNTIFS($K$2:K838,K838,$L$2:L838,L838,$M$2:M838,M838,$J$2:J838,J838)=1,1,0)</f>
        <v>1</v>
      </c>
      <c r="P838" s="1" t="n">
        <f aca="false">IF(AND(N838=1,S838=1,COUNTIFS($L$2:L838,L838,$J$2:J838,J838,$N$2:N838,1,$S$2:S838,1)=1),1,0)</f>
        <v>1</v>
      </c>
      <c r="Q838" s="1" t="n">
        <f aca="false">IF(AND(N838=1,S838=1,COUNTIFS($L$2:L838,L838,$K$2:K838,K838,$N$2:N838,1,$S$2:S838,1)=1),1,0)</f>
        <v>0</v>
      </c>
      <c r="R838" s="1" t="n">
        <f aca="false">IF(AND(N838=1,COUNTIFS($K$2:K838,K838,$L$2:L838,L838,$J$2:J838,J838,$N$2:N838,1)=1),1,0)</f>
        <v>1</v>
      </c>
      <c r="S838" s="1" t="n">
        <f aca="false">IF(AND(K838&lt;&gt;"Context and provider model",K838&lt;&gt;"Motivation"),1,0)</f>
        <v>1</v>
      </c>
    </row>
    <row r="839" customFormat="false" ht="15" hidden="false" customHeight="true" outlineLevel="0" collapsed="false">
      <c r="J839" s="1" t="str">
        <f aca="false">'Raw Atomic Data (Pro)'!A839</f>
        <v>Anita</v>
      </c>
      <c r="K839" s="1" t="str">
        <f aca="false">'Raw Atomic Data (Pro)'!C839</f>
        <v>Growth and future plans</v>
      </c>
      <c r="L839" s="1" t="str">
        <f aca="false">'Raw Atomic Data (Pro)'!D839</f>
        <v>business-growth-plans</v>
      </c>
      <c r="M839" s="1" t="str">
        <f aca="false">'Raw Atomic Data (Pro)'!E839</f>
        <v>fact</v>
      </c>
      <c r="N839" s="1" t="n">
        <f aca="false">IF(OR(M839="friction",M839="need",M839="workaround"),1,0)</f>
        <v>0</v>
      </c>
      <c r="O839" s="1" t="n">
        <f aca="false">IF(COUNTIFS($K$2:K839,K839,$L$2:L839,L839,$M$2:M839,M839,$J$2:J839,J839)=1,1,0)</f>
        <v>1</v>
      </c>
      <c r="P839" s="1" t="n">
        <f aca="false">IF(AND(N839=1,S839=1,COUNTIFS($L$2:L839,L839,$J$2:J839,J839,$N$2:N839,1,$S$2:S839,1)=1),1,0)</f>
        <v>0</v>
      </c>
      <c r="Q839" s="1" t="n">
        <f aca="false">IF(AND(N839=1,S839=1,COUNTIFS($L$2:L839,L839,$K$2:K839,K839,$N$2:N839,1,$S$2:S839,1)=1),1,0)</f>
        <v>0</v>
      </c>
      <c r="R839" s="1" t="n">
        <f aca="false">IF(AND(N839=1,COUNTIFS($K$2:K839,K839,$L$2:L839,L839,$J$2:J839,J839,$N$2:N839,1)=1),1,0)</f>
        <v>0</v>
      </c>
      <c r="S839" s="1" t="n">
        <f aca="false">IF(AND(K839&lt;&gt;"Context and provider model",K839&lt;&gt;"Motivation"),1,0)</f>
        <v>1</v>
      </c>
    </row>
    <row r="840" customFormat="false" ht="15" hidden="false" customHeight="true" outlineLevel="0" collapsed="false">
      <c r="J840" s="1" t="str">
        <f aca="false">'Raw Atomic Data (Pro)'!A840</f>
        <v>Anita</v>
      </c>
      <c r="K840" s="1" t="str">
        <f aca="false">'Raw Atomic Data (Pro)'!C840</f>
        <v>Growth and future plans</v>
      </c>
      <c r="L840" s="1" t="str">
        <f aca="false">'Raw Atomic Data (Pro)'!D840</f>
        <v>business-growth-plans</v>
      </c>
      <c r="M840" s="1" t="str">
        <f aca="false">'Raw Atomic Data (Pro)'!E840</f>
        <v>fact</v>
      </c>
      <c r="N840" s="1" t="n">
        <f aca="false">IF(OR(M840="friction",M840="need",M840="workaround"),1,0)</f>
        <v>0</v>
      </c>
      <c r="O840" s="1" t="n">
        <f aca="false">IF(COUNTIFS($K$2:K840,K840,$L$2:L840,L840,$M$2:M840,M840,$J$2:J840,J840)=1,1,0)</f>
        <v>0</v>
      </c>
      <c r="P840" s="1" t="n">
        <f aca="false">IF(AND(N840=1,S840=1,COUNTIFS($L$2:L840,L840,$J$2:J840,J840,$N$2:N840,1,$S$2:S840,1)=1),1,0)</f>
        <v>0</v>
      </c>
      <c r="Q840" s="1" t="n">
        <f aca="false">IF(AND(N840=1,S840=1,COUNTIFS($L$2:L840,L840,$K$2:K840,K840,$N$2:N840,1,$S$2:S840,1)=1),1,0)</f>
        <v>0</v>
      </c>
      <c r="R840" s="1" t="n">
        <f aca="false">IF(AND(N840=1,COUNTIFS($K$2:K840,K840,$L$2:L840,L840,$J$2:J840,J840,$N$2:N840,1)=1),1,0)</f>
        <v>0</v>
      </c>
      <c r="S840" s="1" t="n">
        <f aca="false">IF(AND(K840&lt;&gt;"Context and provider model",K840&lt;&gt;"Motivation"),1,0)</f>
        <v>1</v>
      </c>
    </row>
    <row r="841" customFormat="false" ht="15" hidden="false" customHeight="true" outlineLevel="0" collapsed="false">
      <c r="J841" s="1" t="str">
        <f aca="false">'Raw Atomic Data (Pro)'!A841</f>
        <v>Anita</v>
      </c>
      <c r="K841" s="1" t="str">
        <f aca="false">'Raw Atomic Data (Pro)'!C841</f>
        <v>Growth and future plans</v>
      </c>
      <c r="L841" s="1" t="str">
        <f aca="false">'Raw Atomic Data (Pro)'!D841</f>
        <v>business-growth-plans</v>
      </c>
      <c r="M841" s="1" t="str">
        <f aca="false">'Raw Atomic Data (Pro)'!E841</f>
        <v>fact</v>
      </c>
      <c r="N841" s="1" t="n">
        <f aca="false">IF(OR(M841="friction",M841="need",M841="workaround"),1,0)</f>
        <v>0</v>
      </c>
      <c r="O841" s="1" t="n">
        <f aca="false">IF(COUNTIFS($K$2:K841,K841,$L$2:L841,L841,$M$2:M841,M841,$J$2:J841,J841)=1,1,0)</f>
        <v>0</v>
      </c>
      <c r="P841" s="1" t="n">
        <f aca="false">IF(AND(N841=1,S841=1,COUNTIFS($L$2:L841,L841,$J$2:J841,J841,$N$2:N841,1,$S$2:S841,1)=1),1,0)</f>
        <v>0</v>
      </c>
      <c r="Q841" s="1" t="n">
        <f aca="false">IF(AND(N841=1,S841=1,COUNTIFS($L$2:L841,L841,$K$2:K841,K841,$N$2:N841,1,$S$2:S841,1)=1),1,0)</f>
        <v>0</v>
      </c>
      <c r="R841" s="1" t="n">
        <f aca="false">IF(AND(N841=1,COUNTIFS($K$2:K841,K841,$L$2:L841,L841,$J$2:J841,J841,$N$2:N841,1)=1),1,0)</f>
        <v>0</v>
      </c>
      <c r="S841" s="1" t="n">
        <f aca="false">IF(AND(K841&lt;&gt;"Context and provider model",K841&lt;&gt;"Motivation"),1,0)</f>
        <v>1</v>
      </c>
    </row>
    <row r="842" customFormat="false" ht="15" hidden="false" customHeight="true" outlineLevel="0" collapsed="false">
      <c r="J842" s="1" t="str">
        <f aca="false">'Raw Atomic Data (Pro)'!A842</f>
        <v>Anita</v>
      </c>
      <c r="K842" s="1" t="str">
        <f aca="false">'Raw Atomic Data (Pro)'!C842</f>
        <v>Growth and future plans</v>
      </c>
      <c r="L842" s="1" t="str">
        <f aca="false">'Raw Atomic Data (Pro)'!D842</f>
        <v>business-growth-plans</v>
      </c>
      <c r="M842" s="1" t="str">
        <f aca="false">'Raw Atomic Data (Pro)'!E842</f>
        <v>fact</v>
      </c>
      <c r="N842" s="1" t="n">
        <f aca="false">IF(OR(M842="friction",M842="need",M842="workaround"),1,0)</f>
        <v>0</v>
      </c>
      <c r="O842" s="1" t="n">
        <f aca="false">IF(COUNTIFS($K$2:K842,K842,$L$2:L842,L842,$M$2:M842,M842,$J$2:J842,J842)=1,1,0)</f>
        <v>0</v>
      </c>
      <c r="P842" s="1" t="n">
        <f aca="false">IF(AND(N842=1,S842=1,COUNTIFS($L$2:L842,L842,$J$2:J842,J842,$N$2:N842,1,$S$2:S842,1)=1),1,0)</f>
        <v>0</v>
      </c>
      <c r="Q842" s="1" t="n">
        <f aca="false">IF(AND(N842=1,S842=1,COUNTIFS($L$2:L842,L842,$K$2:K842,K842,$N$2:N842,1,$S$2:S842,1)=1),1,0)</f>
        <v>0</v>
      </c>
      <c r="R842" s="1" t="n">
        <f aca="false">IF(AND(N842=1,COUNTIFS($K$2:K842,K842,$L$2:L842,L842,$J$2:J842,J842,$N$2:N842,1)=1),1,0)</f>
        <v>0</v>
      </c>
      <c r="S842" s="1" t="n">
        <f aca="false">IF(AND(K842&lt;&gt;"Context and provider model",K842&lt;&gt;"Motivation"),1,0)</f>
        <v>1</v>
      </c>
    </row>
    <row r="843" customFormat="false" ht="15" hidden="false" customHeight="true" outlineLevel="0" collapsed="false">
      <c r="J843" s="1" t="str">
        <f aca="false">'Raw Atomic Data (Pro)'!A843</f>
        <v>Anita</v>
      </c>
      <c r="K843" s="1" t="str">
        <f aca="false">'Raw Atomic Data (Pro)'!C843</f>
        <v>Growth and future plans</v>
      </c>
      <c r="L843" s="1" t="str">
        <f aca="false">'Raw Atomic Data (Pro)'!D843</f>
        <v>business-growth-plans</v>
      </c>
      <c r="M843" s="1" t="str">
        <f aca="false">'Raw Atomic Data (Pro)'!E843</f>
        <v>fact</v>
      </c>
      <c r="N843" s="1" t="n">
        <f aca="false">IF(OR(M843="friction",M843="need",M843="workaround"),1,0)</f>
        <v>0</v>
      </c>
      <c r="O843" s="1" t="n">
        <f aca="false">IF(COUNTIFS($K$2:K843,K843,$L$2:L843,L843,$M$2:M843,M843,$J$2:J843,J843)=1,1,0)</f>
        <v>0</v>
      </c>
      <c r="P843" s="1" t="n">
        <f aca="false">IF(AND(N843=1,S843=1,COUNTIFS($L$2:L843,L843,$J$2:J843,J843,$N$2:N843,1,$S$2:S843,1)=1),1,0)</f>
        <v>0</v>
      </c>
      <c r="Q843" s="1" t="n">
        <f aca="false">IF(AND(N843=1,S843=1,COUNTIFS($L$2:L843,L843,$K$2:K843,K843,$N$2:N843,1,$S$2:S843,1)=1),1,0)</f>
        <v>0</v>
      </c>
      <c r="R843" s="1" t="n">
        <f aca="false">IF(AND(N843=1,COUNTIFS($K$2:K843,K843,$L$2:L843,L843,$J$2:J843,J843,$N$2:N843,1)=1),1,0)</f>
        <v>0</v>
      </c>
      <c r="S843" s="1" t="n">
        <f aca="false">IF(AND(K843&lt;&gt;"Context and provider model",K843&lt;&gt;"Motivation"),1,0)</f>
        <v>1</v>
      </c>
    </row>
    <row r="844" customFormat="false" ht="15" hidden="false" customHeight="true" outlineLevel="0" collapsed="false">
      <c r="J844" s="1" t="str">
        <f aca="false">'Raw Atomic Data (Pro)'!A844</f>
        <v>Anita</v>
      </c>
      <c r="K844" s="1" t="str">
        <f aca="false">'Raw Atomic Data (Pro)'!C844</f>
        <v>Growth and future plans</v>
      </c>
      <c r="L844" s="1" t="str">
        <f aca="false">'Raw Atomic Data (Pro)'!D844</f>
        <v>off-platform-clients-leakage</v>
      </c>
      <c r="M844" s="1" t="str">
        <f aca="false">'Raw Atomic Data (Pro)'!E844</f>
        <v>value-statement</v>
      </c>
      <c r="N844" s="1" t="n">
        <f aca="false">IF(OR(M844="friction",M844="need",M844="workaround"),1,0)</f>
        <v>0</v>
      </c>
      <c r="O844" s="1" t="n">
        <f aca="false">IF(COUNTIFS($K$2:K844,K844,$L$2:L844,L844,$M$2:M844,M844,$J$2:J844,J844)=1,1,0)</f>
        <v>1</v>
      </c>
      <c r="P844" s="1" t="n">
        <f aca="false">IF(AND(N844=1,S844=1,COUNTIFS($L$2:L844,L844,$J$2:J844,J844,$N$2:N844,1,$S$2:S844,1)=1),1,0)</f>
        <v>0</v>
      </c>
      <c r="Q844" s="1" t="n">
        <f aca="false">IF(AND(N844=1,S844=1,COUNTIFS($L$2:L844,L844,$K$2:K844,K844,$N$2:N844,1,$S$2:S844,1)=1),1,0)</f>
        <v>0</v>
      </c>
      <c r="R844" s="1" t="n">
        <f aca="false">IF(AND(N844=1,COUNTIFS($K$2:K844,K844,$L$2:L844,L844,$J$2:J844,J844,$N$2:N844,1)=1),1,0)</f>
        <v>0</v>
      </c>
      <c r="S844" s="1" t="n">
        <f aca="false">IF(AND(K844&lt;&gt;"Context and provider model",K844&lt;&gt;"Motivation"),1,0)</f>
        <v>1</v>
      </c>
    </row>
    <row r="845" customFormat="false" ht="15" hidden="false" customHeight="true" outlineLevel="0" collapsed="false">
      <c r="J845" s="1" t="str">
        <f aca="false">'Raw Atomic Data (Pro)'!A845</f>
        <v>Anita</v>
      </c>
      <c r="K845" s="1" t="str">
        <f aca="false">'Raw Atomic Data (Pro)'!C845</f>
        <v>Growth and future plans</v>
      </c>
      <c r="L845" s="1" t="str">
        <f aca="false">'Raw Atomic Data (Pro)'!D845</f>
        <v>onboarding-signup-process</v>
      </c>
      <c r="M845" s="1" t="str">
        <f aca="false">'Raw Atomic Data (Pro)'!E845</f>
        <v>fact</v>
      </c>
      <c r="N845" s="1" t="n">
        <f aca="false">IF(OR(M845="friction",M845="need",M845="workaround"),1,0)</f>
        <v>0</v>
      </c>
      <c r="O845" s="1" t="n">
        <f aca="false">IF(COUNTIFS($K$2:K845,K845,$L$2:L845,L845,$M$2:M845,M845,$J$2:J845,J845)=1,1,0)</f>
        <v>1</v>
      </c>
      <c r="P845" s="1" t="n">
        <f aca="false">IF(AND(N845=1,S845=1,COUNTIFS($L$2:L845,L845,$J$2:J845,J845,$N$2:N845,1,$S$2:S845,1)=1),1,0)</f>
        <v>0</v>
      </c>
      <c r="Q845" s="1" t="n">
        <f aca="false">IF(AND(N845=1,S845=1,COUNTIFS($L$2:L845,L845,$K$2:K845,K845,$N$2:N845,1,$S$2:S845,1)=1),1,0)</f>
        <v>0</v>
      </c>
      <c r="R845" s="1" t="n">
        <f aca="false">IF(AND(N845=1,COUNTIFS($K$2:K845,K845,$L$2:L845,L845,$J$2:J845,J845,$N$2:N845,1)=1),1,0)</f>
        <v>0</v>
      </c>
      <c r="S845" s="1" t="n">
        <f aca="false">IF(AND(K845&lt;&gt;"Context and provider model",K845&lt;&gt;"Motivation"),1,0)</f>
        <v>1</v>
      </c>
    </row>
    <row r="846" customFormat="false" ht="15" hidden="false" customHeight="true" outlineLevel="0" collapsed="false">
      <c r="J846" s="1" t="str">
        <f aca="false">'Raw Atomic Data (Pro)'!A846</f>
        <v>Anita</v>
      </c>
      <c r="K846" s="1" t="str">
        <f aca="false">'Raw Atomic Data (Pro)'!C846</f>
        <v>Growth and future plans</v>
      </c>
      <c r="L846" s="1" t="str">
        <f aca="false">'Raw Atomic Data (Pro)'!D846</f>
        <v>off-platform-clients-leakage</v>
      </c>
      <c r="M846" s="1" t="str">
        <f aca="false">'Raw Atomic Data (Pro)'!E846</f>
        <v>value-statement</v>
      </c>
      <c r="N846" s="1" t="n">
        <f aca="false">IF(OR(M846="friction",M846="need",M846="workaround"),1,0)</f>
        <v>0</v>
      </c>
      <c r="O846" s="1" t="n">
        <f aca="false">IF(COUNTIFS($K$2:K846,K846,$L$2:L846,L846,$M$2:M846,M846,$J$2:J846,J846)=1,1,0)</f>
        <v>0</v>
      </c>
      <c r="P846" s="1" t="n">
        <f aca="false">IF(AND(N846=1,S846=1,COUNTIFS($L$2:L846,L846,$J$2:J846,J846,$N$2:N846,1,$S$2:S846,1)=1),1,0)</f>
        <v>0</v>
      </c>
      <c r="Q846" s="1" t="n">
        <f aca="false">IF(AND(N846=1,S846=1,COUNTIFS($L$2:L846,L846,$K$2:K846,K846,$N$2:N846,1,$S$2:S846,1)=1),1,0)</f>
        <v>0</v>
      </c>
      <c r="R846" s="1" t="n">
        <f aca="false">IF(AND(N846=1,COUNTIFS($K$2:K846,K846,$L$2:L846,L846,$J$2:J846,J846,$N$2:N846,1)=1),1,0)</f>
        <v>0</v>
      </c>
      <c r="S846" s="1" t="n">
        <f aca="false">IF(AND(K846&lt;&gt;"Context and provider model",K846&lt;&gt;"Motivation"),1,0)</f>
        <v>1</v>
      </c>
    </row>
    <row r="847" customFormat="false" ht="15" hidden="false" customHeight="true" outlineLevel="0" collapsed="false">
      <c r="J847" s="1" t="str">
        <f aca="false">'Raw Atomic Data (Pro)'!A847</f>
        <v>Anita</v>
      </c>
      <c r="K847" s="1" t="str">
        <f aca="false">'Raw Atomic Data (Pro)'!C847</f>
        <v>Growth and future plans</v>
      </c>
      <c r="L847" s="1" t="str">
        <f aca="false">'Raw Atomic Data (Pro)'!D847</f>
        <v>onboarding-signup-process</v>
      </c>
      <c r="M847" s="1" t="str">
        <f aca="false">'Raw Atomic Data (Pro)'!E847</f>
        <v>friction</v>
      </c>
      <c r="N847" s="1" t="n">
        <f aca="false">IF(OR(M847="friction",M847="need",M847="workaround"),1,0)</f>
        <v>1</v>
      </c>
      <c r="O847" s="1" t="n">
        <f aca="false">IF(COUNTIFS($K$2:K847,K847,$L$2:L847,L847,$M$2:M847,M847,$J$2:J847,J847)=1,1,0)</f>
        <v>1</v>
      </c>
      <c r="P847" s="1" t="n">
        <f aca="false">IF(AND(N847=1,S847=1,COUNTIFS($L$2:L847,L847,$J$2:J847,J847,$N$2:N847,1,$S$2:S847,1)=1),1,0)</f>
        <v>1</v>
      </c>
      <c r="Q847" s="1" t="n">
        <f aca="false">IF(AND(N847=1,S847=1,COUNTIFS($L$2:L847,L847,$K$2:K847,K847,$N$2:N847,1,$S$2:S847,1)=1),1,0)</f>
        <v>1</v>
      </c>
      <c r="R847" s="1" t="n">
        <f aca="false">IF(AND(N847=1,COUNTIFS($K$2:K847,K847,$L$2:L847,L847,$J$2:J847,J847,$N$2:N847,1)=1),1,0)</f>
        <v>1</v>
      </c>
      <c r="S847" s="1" t="n">
        <f aca="false">IF(AND(K847&lt;&gt;"Context and provider model",K847&lt;&gt;"Motivation"),1,0)</f>
        <v>1</v>
      </c>
    </row>
    <row r="848" customFormat="false" ht="15" hidden="false" customHeight="true" outlineLevel="0" collapsed="false">
      <c r="J848" s="1" t="str">
        <f aca="false">'Raw Atomic Data (Pro)'!A848</f>
        <v>Anita</v>
      </c>
      <c r="K848" s="1" t="str">
        <f aca="false">'Raw Atomic Data (Pro)'!C848</f>
        <v>Growth and future plans</v>
      </c>
      <c r="L848" s="1" t="str">
        <f aca="false">'Raw Atomic Data (Pro)'!D848</f>
        <v>business-growth-plans</v>
      </c>
      <c r="M848" s="1" t="str">
        <f aca="false">'Raw Atomic Data (Pro)'!E848</f>
        <v>need</v>
      </c>
      <c r="N848" s="1" t="n">
        <f aca="false">IF(OR(M848="friction",M848="need",M848="workaround"),1,0)</f>
        <v>1</v>
      </c>
      <c r="O848" s="1" t="n">
        <f aca="false">IF(COUNTIFS($K$2:K848,K848,$L$2:L848,L848,$M$2:M848,M848,$J$2:J848,J848)=1,1,0)</f>
        <v>1</v>
      </c>
      <c r="P848" s="1" t="n">
        <f aca="false">IF(AND(N848=1,S848=1,COUNTIFS($L$2:L848,L848,$J$2:J848,J848,$N$2:N848,1,$S$2:S848,1)=1),1,0)</f>
        <v>1</v>
      </c>
      <c r="Q848" s="1" t="n">
        <f aca="false">IF(AND(N848=1,S848=1,COUNTIFS($L$2:L848,L848,$K$2:K848,K848,$N$2:N848,1,$S$2:S848,1)=1),1,0)</f>
        <v>0</v>
      </c>
      <c r="R848" s="1" t="n">
        <f aca="false">IF(AND(N848=1,COUNTIFS($K$2:K848,K848,$L$2:L848,L848,$J$2:J848,J848,$N$2:N848,1)=1),1,0)</f>
        <v>1</v>
      </c>
      <c r="S848" s="1" t="n">
        <f aca="false">IF(AND(K848&lt;&gt;"Context and provider model",K848&lt;&gt;"Motivation"),1,0)</f>
        <v>1</v>
      </c>
    </row>
    <row r="849" customFormat="false" ht="15" hidden="false" customHeight="true" outlineLevel="0" collapsed="false">
      <c r="J849" s="1" t="str">
        <f aca="false">'Raw Atomic Data (Pro)'!A849</f>
        <v>Anita</v>
      </c>
      <c r="K849" s="1" t="str">
        <f aca="false">'Raw Atomic Data (Pro)'!C849</f>
        <v>Growth and future plans</v>
      </c>
      <c r="L849" s="1" t="str">
        <f aca="false">'Raw Atomic Data (Pro)'!D849</f>
        <v>client-acquisition-discovery</v>
      </c>
      <c r="M849" s="1" t="str">
        <f aca="false">'Raw Atomic Data (Pro)'!E849</f>
        <v>need</v>
      </c>
      <c r="N849" s="1" t="n">
        <f aca="false">IF(OR(M849="friction",M849="need",M849="workaround"),1,0)</f>
        <v>1</v>
      </c>
      <c r="O849" s="1" t="n">
        <f aca="false">IF(COUNTIFS($K$2:K849,K849,$L$2:L849,L849,$M$2:M849,M849,$J$2:J849,J849)=1,1,0)</f>
        <v>1</v>
      </c>
      <c r="P849" s="1" t="n">
        <f aca="false">IF(AND(N849=1,S849=1,COUNTIFS($L$2:L849,L849,$J$2:J849,J849,$N$2:N849,1,$S$2:S849,1)=1),1,0)</f>
        <v>1</v>
      </c>
      <c r="Q849" s="1" t="n">
        <f aca="false">IF(AND(N849=1,S849=1,COUNTIFS($L$2:L849,L849,$K$2:K849,K849,$N$2:N849,1,$S$2:S849,1)=1),1,0)</f>
        <v>1</v>
      </c>
      <c r="R849" s="1" t="n">
        <f aca="false">IF(AND(N849=1,COUNTIFS($K$2:K849,K849,$L$2:L849,L849,$J$2:J849,J849,$N$2:N849,1)=1),1,0)</f>
        <v>1</v>
      </c>
      <c r="S849" s="1" t="n">
        <f aca="false">IF(AND(K849&lt;&gt;"Context and provider model",K849&lt;&gt;"Motivation"),1,0)</f>
        <v>1</v>
      </c>
    </row>
    <row r="850" customFormat="false" ht="15" hidden="false" customHeight="true" outlineLevel="0" collapsed="false">
      <c r="J850" s="1" t="str">
        <f aca="false">'Raw Atomic Data (Pro)'!A850</f>
        <v>Anita</v>
      </c>
      <c r="K850" s="1" t="str">
        <f aca="false">'Raw Atomic Data (Pro)'!C850</f>
        <v>Growth and future plans</v>
      </c>
      <c r="L850" s="1" t="str">
        <f aca="false">'Raw Atomic Data (Pro)'!D850</f>
        <v>client-acquisition-discovery</v>
      </c>
      <c r="M850" s="1" t="str">
        <f aca="false">'Raw Atomic Data (Pro)'!E850</f>
        <v>fact</v>
      </c>
      <c r="N850" s="1" t="n">
        <f aca="false">IF(OR(M850="friction",M850="need",M850="workaround"),1,0)</f>
        <v>0</v>
      </c>
      <c r="O850" s="1" t="n">
        <f aca="false">IF(COUNTIFS($K$2:K850,K850,$L$2:L850,L850,$M$2:M850,M850,$J$2:J850,J850)=1,1,0)</f>
        <v>1</v>
      </c>
      <c r="P850" s="1" t="n">
        <f aca="false">IF(AND(N850=1,S850=1,COUNTIFS($L$2:L850,L850,$J$2:J850,J850,$N$2:N850,1,$S$2:S850,1)=1),1,0)</f>
        <v>0</v>
      </c>
      <c r="Q850" s="1" t="n">
        <f aca="false">IF(AND(N850=1,S850=1,COUNTIFS($L$2:L850,L850,$K$2:K850,K850,$N$2:N850,1,$S$2:S850,1)=1),1,0)</f>
        <v>0</v>
      </c>
      <c r="R850" s="1" t="n">
        <f aca="false">IF(AND(N850=1,COUNTIFS($K$2:K850,K850,$L$2:L850,L850,$J$2:J850,J850,$N$2:N850,1)=1),1,0)</f>
        <v>0</v>
      </c>
      <c r="S850" s="1" t="n">
        <f aca="false">IF(AND(K850&lt;&gt;"Context and provider model",K850&lt;&gt;"Motivation"),1,0)</f>
        <v>1</v>
      </c>
    </row>
    <row r="851" customFormat="false" ht="15" hidden="false" customHeight="true" outlineLevel="0" collapsed="false">
      <c r="J851" s="1" t="str">
        <f aca="false">'Raw Atomic Data (Pro)'!A851</f>
        <v>Becky</v>
      </c>
      <c r="K851" s="1" t="str">
        <f aca="false">'Raw Atomic Data (Pro)'!C851</f>
        <v>Growth and future plans</v>
      </c>
      <c r="L851" s="1" t="str">
        <f aca="false">'Raw Atomic Data (Pro)'!D851</f>
        <v>business-growth-plans</v>
      </c>
      <c r="M851" s="1" t="str">
        <f aca="false">'Raw Atomic Data (Pro)'!E851</f>
        <v>fact</v>
      </c>
      <c r="N851" s="1" t="n">
        <f aca="false">IF(OR(M851="friction",M851="need",M851="workaround"),1,0)</f>
        <v>0</v>
      </c>
      <c r="O851" s="1" t="n">
        <f aca="false">IF(COUNTIFS($K$2:K851,K851,$L$2:L851,L851,$M$2:M851,M851,$J$2:J851,J851)=1,1,0)</f>
        <v>1</v>
      </c>
      <c r="P851" s="1" t="n">
        <f aca="false">IF(AND(N851=1,S851=1,COUNTIFS($L$2:L851,L851,$J$2:J851,J851,$N$2:N851,1,$S$2:S851,1)=1),1,0)</f>
        <v>0</v>
      </c>
      <c r="Q851" s="1" t="n">
        <f aca="false">IF(AND(N851=1,S851=1,COUNTIFS($L$2:L851,L851,$K$2:K851,K851,$N$2:N851,1,$S$2:S851,1)=1),1,0)</f>
        <v>0</v>
      </c>
      <c r="R851" s="1" t="n">
        <f aca="false">IF(AND(N851=1,COUNTIFS($K$2:K851,K851,$L$2:L851,L851,$J$2:J851,J851,$N$2:N851,1)=1),1,0)</f>
        <v>0</v>
      </c>
      <c r="S851" s="1" t="n">
        <f aca="false">IF(AND(K851&lt;&gt;"Context and provider model",K851&lt;&gt;"Motivation"),1,0)</f>
        <v>1</v>
      </c>
    </row>
    <row r="852" customFormat="false" ht="15" hidden="false" customHeight="true" outlineLevel="0" collapsed="false">
      <c r="J852" s="1" t="str">
        <f aca="false">'Raw Atomic Data (Pro)'!A852</f>
        <v>Becky</v>
      </c>
      <c r="K852" s="1" t="str">
        <f aca="false">'Raw Atomic Data (Pro)'!C852</f>
        <v>Growth and future plans</v>
      </c>
      <c r="L852" s="1" t="str">
        <f aca="false">'Raw Atomic Data (Pro)'!D852</f>
        <v>business-growth-plans</v>
      </c>
      <c r="M852" s="1" t="str">
        <f aca="false">'Raw Atomic Data (Pro)'!E852</f>
        <v>fact</v>
      </c>
      <c r="N852" s="1" t="n">
        <f aca="false">IF(OR(M852="friction",M852="need",M852="workaround"),1,0)</f>
        <v>0</v>
      </c>
      <c r="O852" s="1" t="n">
        <f aca="false">IF(COUNTIFS($K$2:K852,K852,$L$2:L852,L852,$M$2:M852,M852,$J$2:J852,J852)=1,1,0)</f>
        <v>0</v>
      </c>
      <c r="P852" s="1" t="n">
        <f aca="false">IF(AND(N852=1,S852=1,COUNTIFS($L$2:L852,L852,$J$2:J852,J852,$N$2:N852,1,$S$2:S852,1)=1),1,0)</f>
        <v>0</v>
      </c>
      <c r="Q852" s="1" t="n">
        <f aca="false">IF(AND(N852=1,S852=1,COUNTIFS($L$2:L852,L852,$K$2:K852,K852,$N$2:N852,1,$S$2:S852,1)=1),1,0)</f>
        <v>0</v>
      </c>
      <c r="R852" s="1" t="n">
        <f aca="false">IF(AND(N852=1,COUNTIFS($K$2:K852,K852,$L$2:L852,L852,$J$2:J852,J852,$N$2:N852,1)=1),1,0)</f>
        <v>0</v>
      </c>
      <c r="S852" s="1" t="n">
        <f aca="false">IF(AND(K852&lt;&gt;"Context and provider model",K852&lt;&gt;"Motivation"),1,0)</f>
        <v>1</v>
      </c>
    </row>
    <row r="853" customFormat="false" ht="15" hidden="false" customHeight="true" outlineLevel="0" collapsed="false">
      <c r="J853" s="1" t="str">
        <f aca="false">'Raw Atomic Data (Pro)'!A853</f>
        <v>Becky</v>
      </c>
      <c r="K853" s="1" t="str">
        <f aca="false">'Raw Atomic Data (Pro)'!C853</f>
        <v>Growth and future plans</v>
      </c>
      <c r="L853" s="1" t="str">
        <f aca="false">'Raw Atomic Data (Pro)'!D853</f>
        <v>business-growth-plans</v>
      </c>
      <c r="M853" s="1" t="str">
        <f aca="false">'Raw Atomic Data (Pro)'!E853</f>
        <v>fact</v>
      </c>
      <c r="N853" s="1" t="n">
        <f aca="false">IF(OR(M853="friction",M853="need",M853="workaround"),1,0)</f>
        <v>0</v>
      </c>
      <c r="O853" s="1" t="n">
        <f aca="false">IF(COUNTIFS($K$2:K853,K853,$L$2:L853,L853,$M$2:M853,M853,$J$2:J853,J853)=1,1,0)</f>
        <v>0</v>
      </c>
      <c r="P853" s="1" t="n">
        <f aca="false">IF(AND(N853=1,S853=1,COUNTIFS($L$2:L853,L853,$J$2:J853,J853,$N$2:N853,1,$S$2:S853,1)=1),1,0)</f>
        <v>0</v>
      </c>
      <c r="Q853" s="1" t="n">
        <f aca="false">IF(AND(N853=1,S853=1,COUNTIFS($L$2:L853,L853,$K$2:K853,K853,$N$2:N853,1,$S$2:S853,1)=1),1,0)</f>
        <v>0</v>
      </c>
      <c r="R853" s="1" t="n">
        <f aca="false">IF(AND(N853=1,COUNTIFS($K$2:K853,K853,$L$2:L853,L853,$J$2:J853,J853,$N$2:N853,1)=1),1,0)</f>
        <v>0</v>
      </c>
      <c r="S853" s="1" t="n">
        <f aca="false">IF(AND(K853&lt;&gt;"Context and provider model",K853&lt;&gt;"Motivation"),1,0)</f>
        <v>1</v>
      </c>
    </row>
    <row r="854" customFormat="false" ht="15" hidden="false" customHeight="true" outlineLevel="0" collapsed="false">
      <c r="J854" s="1" t="str">
        <f aca="false">'Raw Atomic Data (Pro)'!A854</f>
        <v>Becky</v>
      </c>
      <c r="K854" s="1" t="str">
        <f aca="false">'Raw Atomic Data (Pro)'!C854</f>
        <v>Growth and future plans</v>
      </c>
      <c r="L854" s="1" t="str">
        <f aca="false">'Raw Atomic Data (Pro)'!D854</f>
        <v>provider-background</v>
      </c>
      <c r="M854" s="1" t="str">
        <f aca="false">'Raw Atomic Data (Pro)'!E854</f>
        <v>fact</v>
      </c>
      <c r="N854" s="1" t="n">
        <f aca="false">IF(OR(M854="friction",M854="need",M854="workaround"),1,0)</f>
        <v>0</v>
      </c>
      <c r="O854" s="1" t="n">
        <f aca="false">IF(COUNTIFS($K$2:K854,K854,$L$2:L854,L854,$M$2:M854,M854,$J$2:J854,J854)=1,1,0)</f>
        <v>1</v>
      </c>
      <c r="P854" s="1" t="n">
        <f aca="false">IF(AND(N854=1,S854=1,COUNTIFS($L$2:L854,L854,$J$2:J854,J854,$N$2:N854,1,$S$2:S854,1)=1),1,0)</f>
        <v>0</v>
      </c>
      <c r="Q854" s="1" t="n">
        <f aca="false">IF(AND(N854=1,S854=1,COUNTIFS($L$2:L854,L854,$K$2:K854,K854,$N$2:N854,1,$S$2:S854,1)=1),1,0)</f>
        <v>0</v>
      </c>
      <c r="R854" s="1" t="n">
        <f aca="false">IF(AND(N854=1,COUNTIFS($K$2:K854,K854,$L$2:L854,L854,$J$2:J854,J854,$N$2:N854,1)=1),1,0)</f>
        <v>0</v>
      </c>
      <c r="S854" s="1" t="n">
        <f aca="false">IF(AND(K854&lt;&gt;"Context and provider model",K854&lt;&gt;"Motivation"),1,0)</f>
        <v>1</v>
      </c>
    </row>
    <row r="855" customFormat="false" ht="15" hidden="false" customHeight="true" outlineLevel="0" collapsed="false">
      <c r="J855" s="1" t="str">
        <f aca="false">'Raw Atomic Data (Pro)'!A855</f>
        <v>Becky</v>
      </c>
      <c r="K855" s="1" t="str">
        <f aca="false">'Raw Atomic Data (Pro)'!C855</f>
        <v>Growth and future plans</v>
      </c>
      <c r="L855" s="1" t="str">
        <f aca="false">'Raw Atomic Data (Pro)'!D855</f>
        <v>provider-background</v>
      </c>
      <c r="M855" s="1" t="str">
        <f aca="false">'Raw Atomic Data (Pro)'!E855</f>
        <v>fact</v>
      </c>
      <c r="N855" s="1" t="n">
        <f aca="false">IF(OR(M855="friction",M855="need",M855="workaround"),1,0)</f>
        <v>0</v>
      </c>
      <c r="O855" s="1" t="n">
        <f aca="false">IF(COUNTIFS($K$2:K855,K855,$L$2:L855,L855,$M$2:M855,M855,$J$2:J855,J855)=1,1,0)</f>
        <v>0</v>
      </c>
      <c r="P855" s="1" t="n">
        <f aca="false">IF(AND(N855=1,S855=1,COUNTIFS($L$2:L855,L855,$J$2:J855,J855,$N$2:N855,1,$S$2:S855,1)=1),1,0)</f>
        <v>0</v>
      </c>
      <c r="Q855" s="1" t="n">
        <f aca="false">IF(AND(N855=1,S855=1,COUNTIFS($L$2:L855,L855,$K$2:K855,K855,$N$2:N855,1,$S$2:S855,1)=1),1,0)</f>
        <v>0</v>
      </c>
      <c r="R855" s="1" t="n">
        <f aca="false">IF(AND(N855=1,COUNTIFS($K$2:K855,K855,$L$2:L855,L855,$J$2:J855,J855,$N$2:N855,1)=1),1,0)</f>
        <v>0</v>
      </c>
      <c r="S855" s="1" t="n">
        <f aca="false">IF(AND(K855&lt;&gt;"Context and provider model",K855&lt;&gt;"Motivation"),1,0)</f>
        <v>1</v>
      </c>
    </row>
    <row r="856" customFormat="false" ht="15" hidden="false" customHeight="true" outlineLevel="0" collapsed="false">
      <c r="J856" s="1" t="str">
        <f aca="false">'Raw Atomic Data (Pro)'!A856</f>
        <v>Becky</v>
      </c>
      <c r="K856" s="1" t="str">
        <f aca="false">'Raw Atomic Data (Pro)'!C856</f>
        <v>Growth and future plans</v>
      </c>
      <c r="L856" s="1" t="str">
        <f aca="false">'Raw Atomic Data (Pro)'!D856</f>
        <v>business-growth-plans</v>
      </c>
      <c r="M856" s="1" t="str">
        <f aca="false">'Raw Atomic Data (Pro)'!E856</f>
        <v>fact</v>
      </c>
      <c r="N856" s="1" t="n">
        <f aca="false">IF(OR(M856="friction",M856="need",M856="workaround"),1,0)</f>
        <v>0</v>
      </c>
      <c r="O856" s="1" t="n">
        <f aca="false">IF(COUNTIFS($K$2:K856,K856,$L$2:L856,L856,$M$2:M856,M856,$J$2:J856,J856)=1,1,0)</f>
        <v>0</v>
      </c>
      <c r="P856" s="1" t="n">
        <f aca="false">IF(AND(N856=1,S856=1,COUNTIFS($L$2:L856,L856,$J$2:J856,J856,$N$2:N856,1,$S$2:S856,1)=1),1,0)</f>
        <v>0</v>
      </c>
      <c r="Q856" s="1" t="n">
        <f aca="false">IF(AND(N856=1,S856=1,COUNTIFS($L$2:L856,L856,$K$2:K856,K856,$N$2:N856,1,$S$2:S856,1)=1),1,0)</f>
        <v>0</v>
      </c>
      <c r="R856" s="1" t="n">
        <f aca="false">IF(AND(N856=1,COUNTIFS($K$2:K856,K856,$L$2:L856,L856,$J$2:J856,J856,$N$2:N856,1)=1),1,0)</f>
        <v>0</v>
      </c>
      <c r="S856" s="1" t="n">
        <f aca="false">IF(AND(K856&lt;&gt;"Context and provider model",K856&lt;&gt;"Motivation"),1,0)</f>
        <v>1</v>
      </c>
    </row>
    <row r="857" customFormat="false" ht="15" hidden="false" customHeight="true" outlineLevel="0" collapsed="false">
      <c r="J857" s="1" t="str">
        <f aca="false">'Raw Atomic Data (Pro)'!A857</f>
        <v>Becky</v>
      </c>
      <c r="K857" s="1" t="str">
        <f aca="false">'Raw Atomic Data (Pro)'!C857</f>
        <v>Growth and future plans</v>
      </c>
      <c r="L857" s="1" t="str">
        <f aca="false">'Raw Atomic Data (Pro)'!D857</f>
        <v>business-growth-plans</v>
      </c>
      <c r="M857" s="1" t="str">
        <f aca="false">'Raw Atomic Data (Pro)'!E857</f>
        <v>fact</v>
      </c>
      <c r="N857" s="1" t="n">
        <f aca="false">IF(OR(M857="friction",M857="need",M857="workaround"),1,0)</f>
        <v>0</v>
      </c>
      <c r="O857" s="1" t="n">
        <f aca="false">IF(COUNTIFS($K$2:K857,K857,$L$2:L857,L857,$M$2:M857,M857,$J$2:J857,J857)=1,1,0)</f>
        <v>0</v>
      </c>
      <c r="P857" s="1" t="n">
        <f aca="false">IF(AND(N857=1,S857=1,COUNTIFS($L$2:L857,L857,$J$2:J857,J857,$N$2:N857,1,$S$2:S857,1)=1),1,0)</f>
        <v>0</v>
      </c>
      <c r="Q857" s="1" t="n">
        <f aca="false">IF(AND(N857=1,S857=1,COUNTIFS($L$2:L857,L857,$K$2:K857,K857,$N$2:N857,1,$S$2:S857,1)=1),1,0)</f>
        <v>0</v>
      </c>
      <c r="R857" s="1" t="n">
        <f aca="false">IF(AND(N857=1,COUNTIFS($K$2:K857,K857,$L$2:L857,L857,$J$2:J857,J857,$N$2:N857,1)=1),1,0)</f>
        <v>0</v>
      </c>
      <c r="S857" s="1" t="n">
        <f aca="false">IF(AND(K857&lt;&gt;"Context and provider model",K857&lt;&gt;"Motivation"),1,0)</f>
        <v>1</v>
      </c>
    </row>
    <row r="858" customFormat="false" ht="15" hidden="false" customHeight="true" outlineLevel="0" collapsed="false">
      <c r="J858" s="1" t="str">
        <f aca="false">'Raw Atomic Data (Pro)'!A858</f>
        <v>Becky</v>
      </c>
      <c r="K858" s="1" t="str">
        <f aca="false">'Raw Atomic Data (Pro)'!C858</f>
        <v>Growth and future plans</v>
      </c>
      <c r="L858" s="1" t="str">
        <f aca="false">'Raw Atomic Data (Pro)'!D858</f>
        <v>business-growth-plans</v>
      </c>
      <c r="M858" s="1" t="str">
        <f aca="false">'Raw Atomic Data (Pro)'!E858</f>
        <v>fact</v>
      </c>
      <c r="N858" s="1" t="n">
        <f aca="false">IF(OR(M858="friction",M858="need",M858="workaround"),1,0)</f>
        <v>0</v>
      </c>
      <c r="O858" s="1" t="n">
        <f aca="false">IF(COUNTIFS($K$2:K858,K858,$L$2:L858,L858,$M$2:M858,M858,$J$2:J858,J858)=1,1,0)</f>
        <v>0</v>
      </c>
      <c r="P858" s="1" t="n">
        <f aca="false">IF(AND(N858=1,S858=1,COUNTIFS($L$2:L858,L858,$J$2:J858,J858,$N$2:N858,1,$S$2:S858,1)=1),1,0)</f>
        <v>0</v>
      </c>
      <c r="Q858" s="1" t="n">
        <f aca="false">IF(AND(N858=1,S858=1,COUNTIFS($L$2:L858,L858,$K$2:K858,K858,$N$2:N858,1,$S$2:S858,1)=1),1,0)</f>
        <v>0</v>
      </c>
      <c r="R858" s="1" t="n">
        <f aca="false">IF(AND(N858=1,COUNTIFS($K$2:K858,K858,$L$2:L858,L858,$J$2:J858,J858,$N$2:N858,1)=1),1,0)</f>
        <v>0</v>
      </c>
      <c r="S858" s="1" t="n">
        <f aca="false">IF(AND(K858&lt;&gt;"Context and provider model",K858&lt;&gt;"Motivation"),1,0)</f>
        <v>1</v>
      </c>
    </row>
    <row r="859" customFormat="false" ht="15" hidden="false" customHeight="true" outlineLevel="0" collapsed="false">
      <c r="J859" s="1" t="str">
        <f aca="false">'Raw Atomic Data (Pro)'!A859</f>
        <v>Bruna</v>
      </c>
      <c r="K859" s="1" t="str">
        <f aca="false">'Raw Atomic Data (Pro)'!C859</f>
        <v>Growth and future plans</v>
      </c>
      <c r="L859" s="1" t="str">
        <f aca="false">'Raw Atomic Data (Pro)'!D859</f>
        <v>business-growth-plans</v>
      </c>
      <c r="M859" s="1" t="str">
        <f aca="false">'Raw Atomic Data (Pro)'!E859</f>
        <v>fact</v>
      </c>
      <c r="N859" s="1" t="n">
        <f aca="false">IF(OR(M859="friction",M859="need",M859="workaround"),1,0)</f>
        <v>0</v>
      </c>
      <c r="O859" s="1" t="n">
        <f aca="false">IF(COUNTIFS($K$2:K859,K859,$L$2:L859,L859,$M$2:M859,M859,$J$2:J859,J859)=1,1,0)</f>
        <v>1</v>
      </c>
      <c r="P859" s="1" t="n">
        <f aca="false">IF(AND(N859=1,S859=1,COUNTIFS($L$2:L859,L859,$J$2:J859,J859,$N$2:N859,1,$S$2:S859,1)=1),1,0)</f>
        <v>0</v>
      </c>
      <c r="Q859" s="1" t="n">
        <f aca="false">IF(AND(N859=1,S859=1,COUNTIFS($L$2:L859,L859,$K$2:K859,K859,$N$2:N859,1,$S$2:S859,1)=1),1,0)</f>
        <v>0</v>
      </c>
      <c r="R859" s="1" t="n">
        <f aca="false">IF(AND(N859=1,COUNTIFS($K$2:K859,K859,$L$2:L859,L859,$J$2:J859,J859,$N$2:N859,1)=1),1,0)</f>
        <v>0</v>
      </c>
      <c r="S859" s="1" t="n">
        <f aca="false">IF(AND(K859&lt;&gt;"Context and provider model",K859&lt;&gt;"Motivation"),1,0)</f>
        <v>1</v>
      </c>
    </row>
    <row r="860" customFormat="false" ht="15" hidden="false" customHeight="true" outlineLevel="0" collapsed="false">
      <c r="J860" s="1" t="str">
        <f aca="false">'Raw Atomic Data (Pro)'!A860</f>
        <v>Bruna</v>
      </c>
      <c r="K860" s="1" t="str">
        <f aca="false">'Raw Atomic Data (Pro)'!C860</f>
        <v>Growth and future plans</v>
      </c>
      <c r="L860" s="1" t="str">
        <f aca="false">'Raw Atomic Data (Pro)'!D860</f>
        <v>sitter-community-network</v>
      </c>
      <c r="M860" s="1" t="str">
        <f aca="false">'Raw Atomic Data (Pro)'!E860</f>
        <v>need</v>
      </c>
      <c r="N860" s="1" t="n">
        <f aca="false">IF(OR(M860="friction",M860="need",M860="workaround"),1,0)</f>
        <v>1</v>
      </c>
      <c r="O860" s="1" t="n">
        <f aca="false">IF(COUNTIFS($K$2:K860,K860,$L$2:L860,L860,$M$2:M860,M860,$J$2:J860,J860)=1,1,0)</f>
        <v>1</v>
      </c>
      <c r="P860" s="1" t="n">
        <f aca="false">IF(AND(N860=1,S860=1,COUNTIFS($L$2:L860,L860,$J$2:J860,J860,$N$2:N860,1,$S$2:S860,1)=1),1,0)</f>
        <v>1</v>
      </c>
      <c r="Q860" s="1" t="n">
        <f aca="false">IF(AND(N860=1,S860=1,COUNTIFS($L$2:L860,L860,$K$2:K860,K860,$N$2:N860,1,$S$2:S860,1)=1),1,0)</f>
        <v>1</v>
      </c>
      <c r="R860" s="1" t="n">
        <f aca="false">IF(AND(N860=1,COUNTIFS($K$2:K860,K860,$L$2:L860,L860,$J$2:J860,J860,$N$2:N860,1)=1),1,0)</f>
        <v>1</v>
      </c>
      <c r="S860" s="1" t="n">
        <f aca="false">IF(AND(K860&lt;&gt;"Context and provider model",K860&lt;&gt;"Motivation"),1,0)</f>
        <v>1</v>
      </c>
    </row>
    <row r="861" customFormat="false" ht="15" hidden="false" customHeight="true" outlineLevel="0" collapsed="false">
      <c r="J861" s="1" t="str">
        <f aca="false">'Raw Atomic Data (Pro)'!A861</f>
        <v>Bruna</v>
      </c>
      <c r="K861" s="1" t="str">
        <f aca="false">'Raw Atomic Data (Pro)'!C861</f>
        <v>Growth and future plans</v>
      </c>
      <c r="L861" s="1" t="str">
        <f aca="false">'Raw Atomic Data (Pro)'!D861</f>
        <v>business-growth-plans</v>
      </c>
      <c r="M861" s="1" t="str">
        <f aca="false">'Raw Atomic Data (Pro)'!E861</f>
        <v>value-statement</v>
      </c>
      <c r="N861" s="1" t="n">
        <f aca="false">IF(OR(M861="friction",M861="need",M861="workaround"),1,0)</f>
        <v>0</v>
      </c>
      <c r="O861" s="1" t="n">
        <f aca="false">IF(COUNTIFS($K$2:K861,K861,$L$2:L861,L861,$M$2:M861,M861,$J$2:J861,J861)=1,1,0)</f>
        <v>1</v>
      </c>
      <c r="P861" s="1" t="n">
        <f aca="false">IF(AND(N861=1,S861=1,COUNTIFS($L$2:L861,L861,$J$2:J861,J861,$N$2:N861,1,$S$2:S861,1)=1),1,0)</f>
        <v>0</v>
      </c>
      <c r="Q861" s="1" t="n">
        <f aca="false">IF(AND(N861=1,S861=1,COUNTIFS($L$2:L861,L861,$K$2:K861,K861,$N$2:N861,1,$S$2:S861,1)=1),1,0)</f>
        <v>0</v>
      </c>
      <c r="R861" s="1" t="n">
        <f aca="false">IF(AND(N861=1,COUNTIFS($K$2:K861,K861,$L$2:L861,L861,$J$2:J861,J861,$N$2:N861,1)=1),1,0)</f>
        <v>0</v>
      </c>
      <c r="S861" s="1" t="n">
        <f aca="false">IF(AND(K861&lt;&gt;"Context and provider model",K861&lt;&gt;"Motivation"),1,0)</f>
        <v>1</v>
      </c>
    </row>
    <row r="862" customFormat="false" ht="15" hidden="false" customHeight="true" outlineLevel="0" collapsed="false">
      <c r="J862" s="1" t="str">
        <f aca="false">'Raw Atomic Data (Pro)'!A862</f>
        <v>Bruna</v>
      </c>
      <c r="K862" s="1" t="str">
        <f aca="false">'Raw Atomic Data (Pro)'!C862</f>
        <v>Growth and future plans</v>
      </c>
      <c r="L862" s="1" t="str">
        <f aca="false">'Raw Atomic Data (Pro)'!D862</f>
        <v>business-growth-plans</v>
      </c>
      <c r="M862" s="1" t="str">
        <f aca="false">'Raw Atomic Data (Pro)'!E862</f>
        <v>fact</v>
      </c>
      <c r="N862" s="1" t="n">
        <f aca="false">IF(OR(M862="friction",M862="need",M862="workaround"),1,0)</f>
        <v>0</v>
      </c>
      <c r="O862" s="1" t="n">
        <f aca="false">IF(COUNTIFS($K$2:K862,K862,$L$2:L862,L862,$M$2:M862,M862,$J$2:J862,J862)=1,1,0)</f>
        <v>0</v>
      </c>
      <c r="P862" s="1" t="n">
        <f aca="false">IF(AND(N862=1,S862=1,COUNTIFS($L$2:L862,L862,$J$2:J862,J862,$N$2:N862,1,$S$2:S862,1)=1),1,0)</f>
        <v>0</v>
      </c>
      <c r="Q862" s="1" t="n">
        <f aca="false">IF(AND(N862=1,S862=1,COUNTIFS($L$2:L862,L862,$K$2:K862,K862,$N$2:N862,1,$S$2:S862,1)=1),1,0)</f>
        <v>0</v>
      </c>
      <c r="R862" s="1" t="n">
        <f aca="false">IF(AND(N862=1,COUNTIFS($K$2:K862,K862,$L$2:L862,L862,$J$2:J862,J862,$N$2:N862,1)=1),1,0)</f>
        <v>0</v>
      </c>
      <c r="S862" s="1" t="n">
        <f aca="false">IF(AND(K862&lt;&gt;"Context and provider model",K862&lt;&gt;"Motivation"),1,0)</f>
        <v>1</v>
      </c>
    </row>
    <row r="863" customFormat="false" ht="15" hidden="false" customHeight="true" outlineLevel="0" collapsed="false">
      <c r="J863" s="1" t="str">
        <f aca="false">'Raw Atomic Data (Pro)'!A863</f>
        <v>Bruna</v>
      </c>
      <c r="K863" s="1" t="str">
        <f aca="false">'Raw Atomic Data (Pro)'!C863</f>
        <v>Growth and future plans</v>
      </c>
      <c r="L863" s="1" t="str">
        <f aca="false">'Raw Atomic Data (Pro)'!D863</f>
        <v>fee-commission-structure</v>
      </c>
      <c r="M863" s="1" t="str">
        <f aca="false">'Raw Atomic Data (Pro)'!E863</f>
        <v>friction</v>
      </c>
      <c r="N863" s="1" t="n">
        <f aca="false">IF(OR(M863="friction",M863="need",M863="workaround"),1,0)</f>
        <v>1</v>
      </c>
      <c r="O863" s="1" t="n">
        <f aca="false">IF(COUNTIFS($K$2:K863,K863,$L$2:L863,L863,$M$2:M863,M863,$J$2:J863,J863)=1,1,0)</f>
        <v>1</v>
      </c>
      <c r="P863" s="1" t="n">
        <f aca="false">IF(AND(N863=1,S863=1,COUNTIFS($L$2:L863,L863,$J$2:J863,J863,$N$2:N863,1,$S$2:S863,1)=1),1,0)</f>
        <v>0</v>
      </c>
      <c r="Q863" s="1" t="n">
        <f aca="false">IF(AND(N863=1,S863=1,COUNTIFS($L$2:L863,L863,$K$2:K863,K863,$N$2:N863,1,$S$2:S863,1)=1),1,0)</f>
        <v>1</v>
      </c>
      <c r="R863" s="1" t="n">
        <f aca="false">IF(AND(N863=1,COUNTIFS($K$2:K863,K863,$L$2:L863,L863,$J$2:J863,J863,$N$2:N863,1)=1),1,0)</f>
        <v>1</v>
      </c>
      <c r="S863" s="1" t="n">
        <f aca="false">IF(AND(K863&lt;&gt;"Context and provider model",K863&lt;&gt;"Motivation"),1,0)</f>
        <v>1</v>
      </c>
    </row>
    <row r="864" customFormat="false" ht="15" hidden="false" customHeight="true" outlineLevel="0" collapsed="false">
      <c r="J864" s="1" t="str">
        <f aca="false">'Raw Atomic Data (Pro)'!A864</f>
        <v>Colin</v>
      </c>
      <c r="K864" s="1" t="str">
        <f aca="false">'Raw Atomic Data (Pro)'!C864</f>
        <v>Growth and future plans</v>
      </c>
      <c r="L864" s="1" t="str">
        <f aca="false">'Raw Atomic Data (Pro)'!D864</f>
        <v>business-growth-plans</v>
      </c>
      <c r="M864" s="1" t="str">
        <f aca="false">'Raw Atomic Data (Pro)'!E864</f>
        <v>fact</v>
      </c>
      <c r="N864" s="1" t="n">
        <f aca="false">IF(OR(M864="friction",M864="need",M864="workaround"),1,0)</f>
        <v>0</v>
      </c>
      <c r="O864" s="1" t="n">
        <f aca="false">IF(COUNTIFS($K$2:K864,K864,$L$2:L864,L864,$M$2:M864,M864,$J$2:J864,J864)=1,1,0)</f>
        <v>1</v>
      </c>
      <c r="P864" s="1" t="n">
        <f aca="false">IF(AND(N864=1,S864=1,COUNTIFS($L$2:L864,L864,$J$2:J864,J864,$N$2:N864,1,$S$2:S864,1)=1),1,0)</f>
        <v>0</v>
      </c>
      <c r="Q864" s="1" t="n">
        <f aca="false">IF(AND(N864=1,S864=1,COUNTIFS($L$2:L864,L864,$K$2:K864,K864,$N$2:N864,1,$S$2:S864,1)=1),1,0)</f>
        <v>0</v>
      </c>
      <c r="R864" s="1" t="n">
        <f aca="false">IF(AND(N864=1,COUNTIFS($K$2:K864,K864,$L$2:L864,L864,$J$2:J864,J864,$N$2:N864,1)=1),1,0)</f>
        <v>0</v>
      </c>
      <c r="S864" s="1" t="n">
        <f aca="false">IF(AND(K864&lt;&gt;"Context and provider model",K864&lt;&gt;"Motivation"),1,0)</f>
        <v>1</v>
      </c>
    </row>
    <row r="865" customFormat="false" ht="15" hidden="false" customHeight="true" outlineLevel="0" collapsed="false">
      <c r="J865" s="1" t="str">
        <f aca="false">'Raw Atomic Data (Pro)'!A865</f>
        <v>Colin</v>
      </c>
      <c r="K865" s="1" t="str">
        <f aca="false">'Raw Atomic Data (Pro)'!C865</f>
        <v>Growth and future plans</v>
      </c>
      <c r="L865" s="1" t="str">
        <f aca="false">'Raw Atomic Data (Pro)'!D865</f>
        <v>business-growth-plans</v>
      </c>
      <c r="M865" s="1" t="str">
        <f aca="false">'Raw Atomic Data (Pro)'!E865</f>
        <v>fact</v>
      </c>
      <c r="N865" s="1" t="n">
        <f aca="false">IF(OR(M865="friction",M865="need",M865="workaround"),1,0)</f>
        <v>0</v>
      </c>
      <c r="O865" s="1" t="n">
        <f aca="false">IF(COUNTIFS($K$2:K865,K865,$L$2:L865,L865,$M$2:M865,M865,$J$2:J865,J865)=1,1,0)</f>
        <v>0</v>
      </c>
      <c r="P865" s="1" t="n">
        <f aca="false">IF(AND(N865=1,S865=1,COUNTIFS($L$2:L865,L865,$J$2:J865,J865,$N$2:N865,1,$S$2:S865,1)=1),1,0)</f>
        <v>0</v>
      </c>
      <c r="Q865" s="1" t="n">
        <f aca="false">IF(AND(N865=1,S865=1,COUNTIFS($L$2:L865,L865,$K$2:K865,K865,$N$2:N865,1,$S$2:S865,1)=1),1,0)</f>
        <v>0</v>
      </c>
      <c r="R865" s="1" t="n">
        <f aca="false">IF(AND(N865=1,COUNTIFS($K$2:K865,K865,$L$2:L865,L865,$J$2:J865,J865,$N$2:N865,1)=1),1,0)</f>
        <v>0</v>
      </c>
      <c r="S865" s="1" t="n">
        <f aca="false">IF(AND(K865&lt;&gt;"Context and provider model",K865&lt;&gt;"Motivation"),1,0)</f>
        <v>1</v>
      </c>
    </row>
    <row r="866" customFormat="false" ht="15" hidden="false" customHeight="true" outlineLevel="0" collapsed="false">
      <c r="J866" s="1" t="str">
        <f aca="false">'Raw Atomic Data (Pro)'!A866</f>
        <v>Colin</v>
      </c>
      <c r="K866" s="1" t="str">
        <f aca="false">'Raw Atomic Data (Pro)'!C866</f>
        <v>Growth and future plans</v>
      </c>
      <c r="L866" s="1" t="str">
        <f aca="false">'Raw Atomic Data (Pro)'!D866</f>
        <v>business-growth-plans</v>
      </c>
      <c r="M866" s="1" t="str">
        <f aca="false">'Raw Atomic Data (Pro)'!E866</f>
        <v>fact</v>
      </c>
      <c r="N866" s="1" t="n">
        <f aca="false">IF(OR(M866="friction",M866="need",M866="workaround"),1,0)</f>
        <v>0</v>
      </c>
      <c r="O866" s="1" t="n">
        <f aca="false">IF(COUNTIFS($K$2:K866,K866,$L$2:L866,L866,$M$2:M866,M866,$J$2:J866,J866)=1,1,0)</f>
        <v>0</v>
      </c>
      <c r="P866" s="1" t="n">
        <f aca="false">IF(AND(N866=1,S866=1,COUNTIFS($L$2:L866,L866,$J$2:J866,J866,$N$2:N866,1,$S$2:S866,1)=1),1,0)</f>
        <v>0</v>
      </c>
      <c r="Q866" s="1" t="n">
        <f aca="false">IF(AND(N866=1,S866=1,COUNTIFS($L$2:L866,L866,$K$2:K866,K866,$N$2:N866,1,$S$2:S866,1)=1),1,0)</f>
        <v>0</v>
      </c>
      <c r="R866" s="1" t="n">
        <f aca="false">IF(AND(N866=1,COUNTIFS($K$2:K866,K866,$L$2:L866,L866,$J$2:J866,J866,$N$2:N866,1)=1),1,0)</f>
        <v>0</v>
      </c>
      <c r="S866" s="1" t="n">
        <f aca="false">IF(AND(K866&lt;&gt;"Context and provider model",K866&lt;&gt;"Motivation"),1,0)</f>
        <v>1</v>
      </c>
    </row>
    <row r="867" customFormat="false" ht="15" hidden="false" customHeight="true" outlineLevel="0" collapsed="false">
      <c r="J867" s="1" t="str">
        <f aca="false">'Raw Atomic Data (Pro)'!A867</f>
        <v>Colin</v>
      </c>
      <c r="K867" s="1" t="str">
        <f aca="false">'Raw Atomic Data (Pro)'!C867</f>
        <v>Growth and future plans</v>
      </c>
      <c r="L867" s="1" t="str">
        <f aca="false">'Raw Atomic Data (Pro)'!D867</f>
        <v>business-growth-plans</v>
      </c>
      <c r="M867" s="1" t="str">
        <f aca="false">'Raw Atomic Data (Pro)'!E867</f>
        <v>need</v>
      </c>
      <c r="N867" s="1" t="n">
        <f aca="false">IF(OR(M867="friction",M867="need",M867="workaround"),1,0)</f>
        <v>1</v>
      </c>
      <c r="O867" s="1" t="n">
        <f aca="false">IF(COUNTIFS($K$2:K867,K867,$L$2:L867,L867,$M$2:M867,M867,$J$2:J867,J867)=1,1,0)</f>
        <v>1</v>
      </c>
      <c r="P867" s="1" t="n">
        <f aca="false">IF(AND(N867=1,S867=1,COUNTIFS($L$2:L867,L867,$J$2:J867,J867,$N$2:N867,1,$S$2:S867,1)=1),1,0)</f>
        <v>1</v>
      </c>
      <c r="Q867" s="1" t="n">
        <f aca="false">IF(AND(N867=1,S867=1,COUNTIFS($L$2:L867,L867,$K$2:K867,K867,$N$2:N867,1,$S$2:S867,1)=1),1,0)</f>
        <v>0</v>
      </c>
      <c r="R867" s="1" t="n">
        <f aca="false">IF(AND(N867=1,COUNTIFS($K$2:K867,K867,$L$2:L867,L867,$J$2:J867,J867,$N$2:N867,1)=1),1,0)</f>
        <v>1</v>
      </c>
      <c r="S867" s="1" t="n">
        <f aca="false">IF(AND(K867&lt;&gt;"Context and provider model",K867&lt;&gt;"Motivation"),1,0)</f>
        <v>1</v>
      </c>
    </row>
    <row r="868" customFormat="false" ht="15" hidden="false" customHeight="true" outlineLevel="0" collapsed="false">
      <c r="J868" s="1" t="str">
        <f aca="false">'Raw Atomic Data (Pro)'!A868</f>
        <v>Colin</v>
      </c>
      <c r="K868" s="1" t="str">
        <f aca="false">'Raw Atomic Data (Pro)'!C868</f>
        <v>Growth and future plans</v>
      </c>
      <c r="L868" s="1" t="str">
        <f aca="false">'Raw Atomic Data (Pro)'!D868</f>
        <v>business-growth-plans</v>
      </c>
      <c r="M868" s="1" t="str">
        <f aca="false">'Raw Atomic Data (Pro)'!E868</f>
        <v>need</v>
      </c>
      <c r="N868" s="1" t="n">
        <f aca="false">IF(OR(M868="friction",M868="need",M868="workaround"),1,0)</f>
        <v>1</v>
      </c>
      <c r="O868" s="1" t="n">
        <f aca="false">IF(COUNTIFS($K$2:K868,K868,$L$2:L868,L868,$M$2:M868,M868,$J$2:J868,J868)=1,1,0)</f>
        <v>0</v>
      </c>
      <c r="P868" s="1" t="n">
        <f aca="false">IF(AND(N868=1,S868=1,COUNTIFS($L$2:L868,L868,$J$2:J868,J868,$N$2:N868,1,$S$2:S868,1)=1),1,0)</f>
        <v>0</v>
      </c>
      <c r="Q868" s="1" t="n">
        <f aca="false">IF(AND(N868=1,S868=1,COUNTIFS($L$2:L868,L868,$K$2:K868,K868,$N$2:N868,1,$S$2:S868,1)=1),1,0)</f>
        <v>0</v>
      </c>
      <c r="R868" s="1" t="n">
        <f aca="false">IF(AND(N868=1,COUNTIFS($K$2:K868,K868,$L$2:L868,L868,$J$2:J868,J868,$N$2:N868,1)=1),1,0)</f>
        <v>0</v>
      </c>
      <c r="S868" s="1" t="n">
        <f aca="false">IF(AND(K868&lt;&gt;"Context and provider model",K868&lt;&gt;"Motivation"),1,0)</f>
        <v>1</v>
      </c>
    </row>
    <row r="869" customFormat="false" ht="15" hidden="false" customHeight="true" outlineLevel="0" collapsed="false">
      <c r="J869" s="1" t="str">
        <f aca="false">'Raw Atomic Data (Pro)'!A869</f>
        <v>Colin</v>
      </c>
      <c r="K869" s="1" t="str">
        <f aca="false">'Raw Atomic Data (Pro)'!C869</f>
        <v>Growth and future plans</v>
      </c>
      <c r="L869" s="1" t="str">
        <f aca="false">'Raw Atomic Data (Pro)'!D869</f>
        <v>business-growth-plans</v>
      </c>
      <c r="M869" s="1" t="str">
        <f aca="false">'Raw Atomic Data (Pro)'!E869</f>
        <v>value-statement</v>
      </c>
      <c r="N869" s="1" t="n">
        <f aca="false">IF(OR(M869="friction",M869="need",M869="workaround"),1,0)</f>
        <v>0</v>
      </c>
      <c r="O869" s="1" t="n">
        <f aca="false">IF(COUNTIFS($K$2:K869,K869,$L$2:L869,L869,$M$2:M869,M869,$J$2:J869,J869)=1,1,0)</f>
        <v>1</v>
      </c>
      <c r="P869" s="1" t="n">
        <f aca="false">IF(AND(N869=1,S869=1,COUNTIFS($L$2:L869,L869,$J$2:J869,J869,$N$2:N869,1,$S$2:S869,1)=1),1,0)</f>
        <v>0</v>
      </c>
      <c r="Q869" s="1" t="n">
        <f aca="false">IF(AND(N869=1,S869=1,COUNTIFS($L$2:L869,L869,$K$2:K869,K869,$N$2:N869,1,$S$2:S869,1)=1),1,0)</f>
        <v>0</v>
      </c>
      <c r="R869" s="1" t="n">
        <f aca="false">IF(AND(N869=1,COUNTIFS($K$2:K869,K869,$L$2:L869,L869,$J$2:J869,J869,$N$2:N869,1)=1),1,0)</f>
        <v>0</v>
      </c>
      <c r="S869" s="1" t="n">
        <f aca="false">IF(AND(K869&lt;&gt;"Context and provider model",K869&lt;&gt;"Motivation"),1,0)</f>
        <v>1</v>
      </c>
    </row>
    <row r="870" customFormat="false" ht="15" hidden="false" customHeight="true" outlineLevel="0" collapsed="false">
      <c r="J870" s="1" t="str">
        <f aca="false">'Raw Atomic Data (Pro)'!A870</f>
        <v>Colin</v>
      </c>
      <c r="K870" s="1" t="str">
        <f aca="false">'Raw Atomic Data (Pro)'!C870</f>
        <v>Growth and future plans</v>
      </c>
      <c r="L870" s="1" t="str">
        <f aca="false">'Raw Atomic Data (Pro)'!D870</f>
        <v>capacity-multi-pet-management</v>
      </c>
      <c r="M870" s="1" t="str">
        <f aca="false">'Raw Atomic Data (Pro)'!E870</f>
        <v>friction</v>
      </c>
      <c r="N870" s="1" t="n">
        <f aca="false">IF(OR(M870="friction",M870="need",M870="workaround"),1,0)</f>
        <v>1</v>
      </c>
      <c r="O870" s="1" t="n">
        <f aca="false">IF(COUNTIFS($K$2:K870,K870,$L$2:L870,L870,$M$2:M870,M870,$J$2:J870,J870)=1,1,0)</f>
        <v>1</v>
      </c>
      <c r="P870" s="1" t="n">
        <f aca="false">IF(AND(N870=1,S870=1,COUNTIFS($L$2:L870,L870,$J$2:J870,J870,$N$2:N870,1,$S$2:S870,1)=1),1,0)</f>
        <v>1</v>
      </c>
      <c r="Q870" s="1" t="n">
        <f aca="false">IF(AND(N870=1,S870=1,COUNTIFS($L$2:L870,L870,$K$2:K870,K870,$N$2:N870,1,$S$2:S870,1)=1),1,0)</f>
        <v>1</v>
      </c>
      <c r="R870" s="1" t="n">
        <f aca="false">IF(AND(N870=1,COUNTIFS($K$2:K870,K870,$L$2:L870,L870,$J$2:J870,J870,$N$2:N870,1)=1),1,0)</f>
        <v>1</v>
      </c>
      <c r="S870" s="1" t="n">
        <f aca="false">IF(AND(K870&lt;&gt;"Context and provider model",K870&lt;&gt;"Motivation"),1,0)</f>
        <v>1</v>
      </c>
    </row>
    <row r="871" customFormat="false" ht="15" hidden="false" customHeight="true" outlineLevel="0" collapsed="false">
      <c r="J871" s="1" t="str">
        <f aca="false">'Raw Atomic Data (Pro)'!A871</f>
        <v>Colin</v>
      </c>
      <c r="K871" s="1" t="str">
        <f aca="false">'Raw Atomic Data (Pro)'!C871</f>
        <v>Growth and future plans</v>
      </c>
      <c r="L871" s="1" t="str">
        <f aca="false">'Raw Atomic Data (Pro)'!D871</f>
        <v>business-growth-plans</v>
      </c>
      <c r="M871" s="1" t="str">
        <f aca="false">'Raw Atomic Data (Pro)'!E871</f>
        <v>fact</v>
      </c>
      <c r="N871" s="1" t="n">
        <f aca="false">IF(OR(M871="friction",M871="need",M871="workaround"),1,0)</f>
        <v>0</v>
      </c>
      <c r="O871" s="1" t="n">
        <f aca="false">IF(COUNTIFS($K$2:K871,K871,$L$2:L871,L871,$M$2:M871,M871,$J$2:J871,J871)=1,1,0)</f>
        <v>0</v>
      </c>
      <c r="P871" s="1" t="n">
        <f aca="false">IF(AND(N871=1,S871=1,COUNTIFS($L$2:L871,L871,$J$2:J871,J871,$N$2:N871,1,$S$2:S871,1)=1),1,0)</f>
        <v>0</v>
      </c>
      <c r="Q871" s="1" t="n">
        <f aca="false">IF(AND(N871=1,S871=1,COUNTIFS($L$2:L871,L871,$K$2:K871,K871,$N$2:N871,1,$S$2:S871,1)=1),1,0)</f>
        <v>0</v>
      </c>
      <c r="R871" s="1" t="n">
        <f aca="false">IF(AND(N871=1,COUNTIFS($K$2:K871,K871,$L$2:L871,L871,$J$2:J871,J871,$N$2:N871,1)=1),1,0)</f>
        <v>0</v>
      </c>
      <c r="S871" s="1" t="n">
        <f aca="false">IF(AND(K871&lt;&gt;"Context and provider model",K871&lt;&gt;"Motivation"),1,0)</f>
        <v>1</v>
      </c>
    </row>
    <row r="872" customFormat="false" ht="15" hidden="false" customHeight="true" outlineLevel="0" collapsed="false">
      <c r="J872" s="1" t="str">
        <f aca="false">'Raw Atomic Data (Pro)'!A872</f>
        <v>Colin</v>
      </c>
      <c r="K872" s="1" t="str">
        <f aca="false">'Raw Atomic Data (Pro)'!C872</f>
        <v>Growth and future plans</v>
      </c>
      <c r="L872" s="1" t="str">
        <f aca="false">'Raw Atomic Data (Pro)'!D872</f>
        <v>capacity-multi-pet-management</v>
      </c>
      <c r="M872" s="1" t="str">
        <f aca="false">'Raw Atomic Data (Pro)'!E872</f>
        <v>fact</v>
      </c>
      <c r="N872" s="1" t="n">
        <f aca="false">IF(OR(M872="friction",M872="need",M872="workaround"),1,0)</f>
        <v>0</v>
      </c>
      <c r="O872" s="1" t="n">
        <f aca="false">IF(COUNTIFS($K$2:K872,K872,$L$2:L872,L872,$M$2:M872,M872,$J$2:J872,J872)=1,1,0)</f>
        <v>1</v>
      </c>
      <c r="P872" s="1" t="n">
        <f aca="false">IF(AND(N872=1,S872=1,COUNTIFS($L$2:L872,L872,$J$2:J872,J872,$N$2:N872,1,$S$2:S872,1)=1),1,0)</f>
        <v>0</v>
      </c>
      <c r="Q872" s="1" t="n">
        <f aca="false">IF(AND(N872=1,S872=1,COUNTIFS($L$2:L872,L872,$K$2:K872,K872,$N$2:N872,1,$S$2:S872,1)=1),1,0)</f>
        <v>0</v>
      </c>
      <c r="R872" s="1" t="n">
        <f aca="false">IF(AND(N872=1,COUNTIFS($K$2:K872,K872,$L$2:L872,L872,$J$2:J872,J872,$N$2:N872,1)=1),1,0)</f>
        <v>0</v>
      </c>
      <c r="S872" s="1" t="n">
        <f aca="false">IF(AND(K872&lt;&gt;"Context and provider model",K872&lt;&gt;"Motivation"),1,0)</f>
        <v>1</v>
      </c>
    </row>
    <row r="873" customFormat="false" ht="15" hidden="false" customHeight="true" outlineLevel="0" collapsed="false">
      <c r="J873" s="1" t="str">
        <f aca="false">'Raw Atomic Data (Pro)'!A873</f>
        <v>Colin</v>
      </c>
      <c r="K873" s="1" t="str">
        <f aca="false">'Raw Atomic Data (Pro)'!C873</f>
        <v>Growth and future plans</v>
      </c>
      <c r="L873" s="1" t="str">
        <f aca="false">'Raw Atomic Data (Pro)'!D873</f>
        <v>business-growth-plans</v>
      </c>
      <c r="M873" s="1" t="str">
        <f aca="false">'Raw Atomic Data (Pro)'!E873</f>
        <v>value-statement</v>
      </c>
      <c r="N873" s="1" t="n">
        <f aca="false">IF(OR(M873="friction",M873="need",M873="workaround"),1,0)</f>
        <v>0</v>
      </c>
      <c r="O873" s="1" t="n">
        <f aca="false">IF(COUNTIFS($K$2:K873,K873,$L$2:L873,L873,$M$2:M873,M873,$J$2:J873,J873)=1,1,0)</f>
        <v>0</v>
      </c>
      <c r="P873" s="1" t="n">
        <f aca="false">IF(AND(N873=1,S873=1,COUNTIFS($L$2:L873,L873,$J$2:J873,J873,$N$2:N873,1,$S$2:S873,1)=1),1,0)</f>
        <v>0</v>
      </c>
      <c r="Q873" s="1" t="n">
        <f aca="false">IF(AND(N873=1,S873=1,COUNTIFS($L$2:L873,L873,$K$2:K873,K873,$N$2:N873,1,$S$2:S873,1)=1),1,0)</f>
        <v>0</v>
      </c>
      <c r="R873" s="1" t="n">
        <f aca="false">IF(AND(N873=1,COUNTIFS($K$2:K873,K873,$L$2:L873,L873,$J$2:J873,J873,$N$2:N873,1)=1),1,0)</f>
        <v>0</v>
      </c>
      <c r="S873" s="1" t="n">
        <f aca="false">IF(AND(K873&lt;&gt;"Context and provider model",K873&lt;&gt;"Motivation"),1,0)</f>
        <v>1</v>
      </c>
    </row>
    <row r="874" customFormat="false" ht="15" hidden="false" customHeight="true" outlineLevel="0" collapsed="false">
      <c r="J874" s="1" t="str">
        <f aca="false">'Raw Atomic Data (Pro)'!A874</f>
        <v>Dawn</v>
      </c>
      <c r="K874" s="1" t="str">
        <f aca="false">'Raw Atomic Data (Pro)'!C874</f>
        <v>Growth and future plans</v>
      </c>
      <c r="L874" s="1" t="str">
        <f aca="false">'Raw Atomic Data (Pro)'!D874</f>
        <v>business-growth-plans</v>
      </c>
      <c r="M874" s="1" t="str">
        <f aca="false">'Raw Atomic Data (Pro)'!E874</f>
        <v>fact</v>
      </c>
      <c r="N874" s="1" t="n">
        <f aca="false">IF(OR(M874="friction",M874="need",M874="workaround"),1,0)</f>
        <v>0</v>
      </c>
      <c r="O874" s="1" t="n">
        <f aca="false">IF(COUNTIFS($K$2:K874,K874,$L$2:L874,L874,$M$2:M874,M874,$J$2:J874,J874)=1,1,0)</f>
        <v>1</v>
      </c>
      <c r="P874" s="1" t="n">
        <f aca="false">IF(AND(N874=1,S874=1,COUNTIFS($L$2:L874,L874,$J$2:J874,J874,$N$2:N874,1,$S$2:S874,1)=1),1,0)</f>
        <v>0</v>
      </c>
      <c r="Q874" s="1" t="n">
        <f aca="false">IF(AND(N874=1,S874=1,COUNTIFS($L$2:L874,L874,$K$2:K874,K874,$N$2:N874,1,$S$2:S874,1)=1),1,0)</f>
        <v>0</v>
      </c>
      <c r="R874" s="1" t="n">
        <f aca="false">IF(AND(N874=1,COUNTIFS($K$2:K874,K874,$L$2:L874,L874,$J$2:J874,J874,$N$2:N874,1)=1),1,0)</f>
        <v>0</v>
      </c>
      <c r="S874" s="1" t="n">
        <f aca="false">IF(AND(K874&lt;&gt;"Context and provider model",K874&lt;&gt;"Motivation"),1,0)</f>
        <v>1</v>
      </c>
    </row>
    <row r="875" customFormat="false" ht="15" hidden="false" customHeight="true" outlineLevel="0" collapsed="false">
      <c r="J875" s="1" t="str">
        <f aca="false">'Raw Atomic Data (Pro)'!A875</f>
        <v>Dawn</v>
      </c>
      <c r="K875" s="1" t="str">
        <f aca="false">'Raw Atomic Data (Pro)'!C875</f>
        <v>Growth and future plans</v>
      </c>
      <c r="L875" s="1" t="str">
        <f aca="false">'Raw Atomic Data (Pro)'!D875</f>
        <v>business-growth-plans</v>
      </c>
      <c r="M875" s="1" t="str">
        <f aca="false">'Raw Atomic Data (Pro)'!E875</f>
        <v>fact</v>
      </c>
      <c r="N875" s="1" t="n">
        <f aca="false">IF(OR(M875="friction",M875="need",M875="workaround"),1,0)</f>
        <v>0</v>
      </c>
      <c r="O875" s="1" t="n">
        <f aca="false">IF(COUNTIFS($K$2:K875,K875,$L$2:L875,L875,$M$2:M875,M875,$J$2:J875,J875)=1,1,0)</f>
        <v>0</v>
      </c>
      <c r="P875" s="1" t="n">
        <f aca="false">IF(AND(N875=1,S875=1,COUNTIFS($L$2:L875,L875,$J$2:J875,J875,$N$2:N875,1,$S$2:S875,1)=1),1,0)</f>
        <v>0</v>
      </c>
      <c r="Q875" s="1" t="n">
        <f aca="false">IF(AND(N875=1,S875=1,COUNTIFS($L$2:L875,L875,$K$2:K875,K875,$N$2:N875,1,$S$2:S875,1)=1),1,0)</f>
        <v>0</v>
      </c>
      <c r="R875" s="1" t="n">
        <f aca="false">IF(AND(N875=1,COUNTIFS($K$2:K875,K875,$L$2:L875,L875,$J$2:J875,J875,$N$2:N875,1)=1),1,0)</f>
        <v>0</v>
      </c>
      <c r="S875" s="1" t="n">
        <f aca="false">IF(AND(K875&lt;&gt;"Context and provider model",K875&lt;&gt;"Motivation"),1,0)</f>
        <v>1</v>
      </c>
    </row>
    <row r="876" customFormat="false" ht="15" hidden="false" customHeight="true" outlineLevel="0" collapsed="false">
      <c r="J876" s="1" t="str">
        <f aca="false">'Raw Atomic Data (Pro)'!A876</f>
        <v>Dawn</v>
      </c>
      <c r="K876" s="1" t="str">
        <f aca="false">'Raw Atomic Data (Pro)'!C876</f>
        <v>Growth and future plans</v>
      </c>
      <c r="L876" s="1" t="str">
        <f aca="false">'Raw Atomic Data (Pro)'!D876</f>
        <v>business-growth-plans</v>
      </c>
      <c r="M876" s="1" t="str">
        <f aca="false">'Raw Atomic Data (Pro)'!E876</f>
        <v>fact</v>
      </c>
      <c r="N876" s="1" t="n">
        <f aca="false">IF(OR(M876="friction",M876="need",M876="workaround"),1,0)</f>
        <v>0</v>
      </c>
      <c r="O876" s="1" t="n">
        <f aca="false">IF(COUNTIFS($K$2:K876,K876,$L$2:L876,L876,$M$2:M876,M876,$J$2:J876,J876)=1,1,0)</f>
        <v>0</v>
      </c>
      <c r="P876" s="1" t="n">
        <f aca="false">IF(AND(N876=1,S876=1,COUNTIFS($L$2:L876,L876,$J$2:J876,J876,$N$2:N876,1,$S$2:S876,1)=1),1,0)</f>
        <v>0</v>
      </c>
      <c r="Q876" s="1" t="n">
        <f aca="false">IF(AND(N876=1,S876=1,COUNTIFS($L$2:L876,L876,$K$2:K876,K876,$N$2:N876,1,$S$2:S876,1)=1),1,0)</f>
        <v>0</v>
      </c>
      <c r="R876" s="1" t="n">
        <f aca="false">IF(AND(N876=1,COUNTIFS($K$2:K876,K876,$L$2:L876,L876,$J$2:J876,J876,$N$2:N876,1)=1),1,0)</f>
        <v>0</v>
      </c>
      <c r="S876" s="1" t="n">
        <f aca="false">IF(AND(K876&lt;&gt;"Context and provider model",K876&lt;&gt;"Motivation"),1,0)</f>
        <v>1</v>
      </c>
    </row>
    <row r="877" customFormat="false" ht="15" hidden="false" customHeight="true" outlineLevel="0" collapsed="false">
      <c r="J877" s="1" t="str">
        <f aca="false">'Raw Atomic Data (Pro)'!A877</f>
        <v>Erika</v>
      </c>
      <c r="K877" s="1" t="str">
        <f aca="false">'Raw Atomic Data (Pro)'!C877</f>
        <v>Growth and future plans</v>
      </c>
      <c r="L877" s="1" t="str">
        <f aca="false">'Raw Atomic Data (Pro)'!D877</f>
        <v>business-growth-plans</v>
      </c>
      <c r="M877" s="1" t="str">
        <f aca="false">'Raw Atomic Data (Pro)'!E877</f>
        <v>fact</v>
      </c>
      <c r="N877" s="1" t="n">
        <f aca="false">IF(OR(M877="friction",M877="need",M877="workaround"),1,0)</f>
        <v>0</v>
      </c>
      <c r="O877" s="1" t="n">
        <f aca="false">IF(COUNTIFS($K$2:K877,K877,$L$2:L877,L877,$M$2:M877,M877,$J$2:J877,J877)=1,1,0)</f>
        <v>1</v>
      </c>
      <c r="P877" s="1" t="n">
        <f aca="false">IF(AND(N877=1,S877=1,COUNTIFS($L$2:L877,L877,$J$2:J877,J877,$N$2:N877,1,$S$2:S877,1)=1),1,0)</f>
        <v>0</v>
      </c>
      <c r="Q877" s="1" t="n">
        <f aca="false">IF(AND(N877=1,S877=1,COUNTIFS($L$2:L877,L877,$K$2:K877,K877,$N$2:N877,1,$S$2:S877,1)=1),1,0)</f>
        <v>0</v>
      </c>
      <c r="R877" s="1" t="n">
        <f aca="false">IF(AND(N877=1,COUNTIFS($K$2:K877,K877,$L$2:L877,L877,$J$2:J877,J877,$N$2:N877,1)=1),1,0)</f>
        <v>0</v>
      </c>
      <c r="S877" s="1" t="n">
        <f aca="false">IF(AND(K877&lt;&gt;"Context and provider model",K877&lt;&gt;"Motivation"),1,0)</f>
        <v>1</v>
      </c>
    </row>
    <row r="878" customFormat="false" ht="15" hidden="false" customHeight="true" outlineLevel="0" collapsed="false">
      <c r="J878" s="1" t="str">
        <f aca="false">'Raw Atomic Data (Pro)'!A878</f>
        <v>Erika</v>
      </c>
      <c r="K878" s="1" t="str">
        <f aca="false">'Raw Atomic Data (Pro)'!C878</f>
        <v>Growth and future plans</v>
      </c>
      <c r="L878" s="1" t="str">
        <f aca="false">'Raw Atomic Data (Pro)'!D878</f>
        <v>messaging-platform-mechanics</v>
      </c>
      <c r="M878" s="1" t="str">
        <f aca="false">'Raw Atomic Data (Pro)'!E878</f>
        <v>need</v>
      </c>
      <c r="N878" s="1" t="n">
        <f aca="false">IF(OR(M878="friction",M878="need",M878="workaround"),1,0)</f>
        <v>1</v>
      </c>
      <c r="O878" s="1" t="n">
        <f aca="false">IF(COUNTIFS($K$2:K878,K878,$L$2:L878,L878,$M$2:M878,M878,$J$2:J878,J878)=1,1,0)</f>
        <v>1</v>
      </c>
      <c r="P878" s="1" t="n">
        <f aca="false">IF(AND(N878=1,S878=1,COUNTIFS($L$2:L878,L878,$J$2:J878,J878,$N$2:N878,1,$S$2:S878,1)=1),1,0)</f>
        <v>1</v>
      </c>
      <c r="Q878" s="1" t="n">
        <f aca="false">IF(AND(N878=1,S878=1,COUNTIFS($L$2:L878,L878,$K$2:K878,K878,$N$2:N878,1,$S$2:S878,1)=1),1,0)</f>
        <v>1</v>
      </c>
      <c r="R878" s="1" t="n">
        <f aca="false">IF(AND(N878=1,COUNTIFS($K$2:K878,K878,$L$2:L878,L878,$J$2:J878,J878,$N$2:N878,1)=1),1,0)</f>
        <v>1</v>
      </c>
      <c r="S878" s="1" t="n">
        <f aca="false">IF(AND(K878&lt;&gt;"Context and provider model",K878&lt;&gt;"Motivation"),1,0)</f>
        <v>1</v>
      </c>
    </row>
    <row r="879" customFormat="false" ht="15" hidden="false" customHeight="true" outlineLevel="0" collapsed="false">
      <c r="J879" s="1" t="str">
        <f aca="false">'Raw Atomic Data (Pro)'!A879</f>
        <v>Erika</v>
      </c>
      <c r="K879" s="1" t="str">
        <f aca="false">'Raw Atomic Data (Pro)'!C879</f>
        <v>Growth and future plans</v>
      </c>
      <c r="L879" s="1" t="str">
        <f aca="false">'Raw Atomic Data (Pro)'!D879</f>
        <v>messaging-platform-mechanics</v>
      </c>
      <c r="M879" s="1" t="str">
        <f aca="false">'Raw Atomic Data (Pro)'!E879</f>
        <v>friction</v>
      </c>
      <c r="N879" s="1" t="n">
        <f aca="false">IF(OR(M879="friction",M879="need",M879="workaround"),1,0)</f>
        <v>1</v>
      </c>
      <c r="O879" s="1" t="n">
        <f aca="false">IF(COUNTIFS($K$2:K879,K879,$L$2:L879,L879,$M$2:M879,M879,$J$2:J879,J879)=1,1,0)</f>
        <v>1</v>
      </c>
      <c r="P879" s="1" t="n">
        <f aca="false">IF(AND(N879=1,S879=1,COUNTIFS($L$2:L879,L879,$J$2:J879,J879,$N$2:N879,1,$S$2:S879,1)=1),1,0)</f>
        <v>0</v>
      </c>
      <c r="Q879" s="1" t="n">
        <f aca="false">IF(AND(N879=1,S879=1,COUNTIFS($L$2:L879,L879,$K$2:K879,K879,$N$2:N879,1,$S$2:S879,1)=1),1,0)</f>
        <v>0</v>
      </c>
      <c r="R879" s="1" t="n">
        <f aca="false">IF(AND(N879=1,COUNTIFS($K$2:K879,K879,$L$2:L879,L879,$J$2:J879,J879,$N$2:N879,1)=1),1,0)</f>
        <v>0</v>
      </c>
      <c r="S879" s="1" t="n">
        <f aca="false">IF(AND(K879&lt;&gt;"Context and provider model",K879&lt;&gt;"Motivation"),1,0)</f>
        <v>1</v>
      </c>
    </row>
    <row r="880" customFormat="false" ht="15" hidden="false" customHeight="true" outlineLevel="0" collapsed="false">
      <c r="J880" s="1" t="str">
        <f aca="false">'Raw Atomic Data (Pro)'!A880</f>
        <v>Erika</v>
      </c>
      <c r="K880" s="1" t="str">
        <f aca="false">'Raw Atomic Data (Pro)'!C880</f>
        <v>Growth and future plans</v>
      </c>
      <c r="L880" s="1" t="str">
        <f aca="false">'Raw Atomic Data (Pro)'!D880</f>
        <v>business-growth-plans</v>
      </c>
      <c r="M880" s="1" t="str">
        <f aca="false">'Raw Atomic Data (Pro)'!E880</f>
        <v>fact</v>
      </c>
      <c r="N880" s="1" t="n">
        <f aca="false">IF(OR(M880="friction",M880="need",M880="workaround"),1,0)</f>
        <v>0</v>
      </c>
      <c r="O880" s="1" t="n">
        <f aca="false">IF(COUNTIFS($K$2:K880,K880,$L$2:L880,L880,$M$2:M880,M880,$J$2:J880,J880)=1,1,0)</f>
        <v>0</v>
      </c>
      <c r="P880" s="1" t="n">
        <f aca="false">IF(AND(N880=1,S880=1,COUNTIFS($L$2:L880,L880,$J$2:J880,J880,$N$2:N880,1,$S$2:S880,1)=1),1,0)</f>
        <v>0</v>
      </c>
      <c r="Q880" s="1" t="n">
        <f aca="false">IF(AND(N880=1,S880=1,COUNTIFS($L$2:L880,L880,$K$2:K880,K880,$N$2:N880,1,$S$2:S880,1)=1),1,0)</f>
        <v>0</v>
      </c>
      <c r="R880" s="1" t="n">
        <f aca="false">IF(AND(N880=1,COUNTIFS($K$2:K880,K880,$L$2:L880,L880,$J$2:J880,J880,$N$2:N880,1)=1),1,0)</f>
        <v>0</v>
      </c>
      <c r="S880" s="1" t="n">
        <f aca="false">IF(AND(K880&lt;&gt;"Context and provider model",K880&lt;&gt;"Motivation"),1,0)</f>
        <v>1</v>
      </c>
    </row>
    <row r="881" customFormat="false" ht="15" hidden="false" customHeight="true" outlineLevel="0" collapsed="false">
      <c r="J881" s="1" t="str">
        <f aca="false">'Raw Atomic Data (Pro)'!A881</f>
        <v>Kristin</v>
      </c>
      <c r="K881" s="1" t="str">
        <f aca="false">'Raw Atomic Data (Pro)'!C881</f>
        <v>Growth and future plans</v>
      </c>
      <c r="L881" s="1" t="str">
        <f aca="false">'Raw Atomic Data (Pro)'!D881</f>
        <v>business-growth-plans</v>
      </c>
      <c r="M881" s="1" t="str">
        <f aca="false">'Raw Atomic Data (Pro)'!E881</f>
        <v>fact</v>
      </c>
      <c r="N881" s="1" t="n">
        <f aca="false">IF(OR(M881="friction",M881="need",M881="workaround"),1,0)</f>
        <v>0</v>
      </c>
      <c r="O881" s="1" t="n">
        <f aca="false">IF(COUNTIFS($K$2:K881,K881,$L$2:L881,L881,$M$2:M881,M881,$J$2:J881,J881)=1,1,0)</f>
        <v>1</v>
      </c>
      <c r="P881" s="1" t="n">
        <f aca="false">IF(AND(N881=1,S881=1,COUNTIFS($L$2:L881,L881,$J$2:J881,J881,$N$2:N881,1,$S$2:S881,1)=1),1,0)</f>
        <v>0</v>
      </c>
      <c r="Q881" s="1" t="n">
        <f aca="false">IF(AND(N881=1,S881=1,COUNTIFS($L$2:L881,L881,$K$2:K881,K881,$N$2:N881,1,$S$2:S881,1)=1),1,0)</f>
        <v>0</v>
      </c>
      <c r="R881" s="1" t="n">
        <f aca="false">IF(AND(N881=1,COUNTIFS($K$2:K881,K881,$L$2:L881,L881,$J$2:J881,J881,$N$2:N881,1)=1),1,0)</f>
        <v>0</v>
      </c>
      <c r="S881" s="1" t="n">
        <f aca="false">IF(AND(K881&lt;&gt;"Context and provider model",K881&lt;&gt;"Motivation"),1,0)</f>
        <v>1</v>
      </c>
    </row>
    <row r="882" customFormat="false" ht="15" hidden="false" customHeight="true" outlineLevel="0" collapsed="false">
      <c r="J882" s="1" t="str">
        <f aca="false">'Raw Atomic Data (Pro)'!A882</f>
        <v>Kristin</v>
      </c>
      <c r="K882" s="1" t="str">
        <f aca="false">'Raw Atomic Data (Pro)'!C882</f>
        <v>Growth and future plans</v>
      </c>
      <c r="L882" s="1" t="str">
        <f aca="false">'Raw Atomic Data (Pro)'!D882</f>
        <v>business-growth-plans</v>
      </c>
      <c r="M882" s="1" t="str">
        <f aca="false">'Raw Atomic Data (Pro)'!E882</f>
        <v>fact</v>
      </c>
      <c r="N882" s="1" t="n">
        <f aca="false">IF(OR(M882="friction",M882="need",M882="workaround"),1,0)</f>
        <v>0</v>
      </c>
      <c r="O882" s="1" t="n">
        <f aca="false">IF(COUNTIFS($K$2:K882,K882,$L$2:L882,L882,$M$2:M882,M882,$J$2:J882,J882)=1,1,0)</f>
        <v>0</v>
      </c>
      <c r="P882" s="1" t="n">
        <f aca="false">IF(AND(N882=1,S882=1,COUNTIFS($L$2:L882,L882,$J$2:J882,J882,$N$2:N882,1,$S$2:S882,1)=1),1,0)</f>
        <v>0</v>
      </c>
      <c r="Q882" s="1" t="n">
        <f aca="false">IF(AND(N882=1,S882=1,COUNTIFS($L$2:L882,L882,$K$2:K882,K882,$N$2:N882,1,$S$2:S882,1)=1),1,0)</f>
        <v>0</v>
      </c>
      <c r="R882" s="1" t="n">
        <f aca="false">IF(AND(N882=1,COUNTIFS($K$2:K882,K882,$L$2:L882,L882,$J$2:J882,J882,$N$2:N882,1)=1),1,0)</f>
        <v>0</v>
      </c>
      <c r="S882" s="1" t="n">
        <f aca="false">IF(AND(K882&lt;&gt;"Context and provider model",K882&lt;&gt;"Motivation"),1,0)</f>
        <v>1</v>
      </c>
    </row>
    <row r="883" customFormat="false" ht="15" hidden="false" customHeight="true" outlineLevel="0" collapsed="false">
      <c r="J883" s="1" t="str">
        <f aca="false">'Raw Atomic Data (Pro)'!A883</f>
        <v>Kristin</v>
      </c>
      <c r="K883" s="1" t="str">
        <f aca="false">'Raw Atomic Data (Pro)'!C883</f>
        <v>Growth and future plans</v>
      </c>
      <c r="L883" s="1" t="str">
        <f aca="false">'Raw Atomic Data (Pro)'!D883</f>
        <v>off-platform-clients-leakage</v>
      </c>
      <c r="M883" s="1" t="str">
        <f aca="false">'Raw Atomic Data (Pro)'!E883</f>
        <v>value-statement</v>
      </c>
      <c r="N883" s="1" t="n">
        <f aca="false">IF(OR(M883="friction",M883="need",M883="workaround"),1,0)</f>
        <v>0</v>
      </c>
      <c r="O883" s="1" t="n">
        <f aca="false">IF(COUNTIFS($K$2:K883,K883,$L$2:L883,L883,$M$2:M883,M883,$J$2:J883,J883)=1,1,0)</f>
        <v>1</v>
      </c>
      <c r="P883" s="1" t="n">
        <f aca="false">IF(AND(N883=1,S883=1,COUNTIFS($L$2:L883,L883,$J$2:J883,J883,$N$2:N883,1,$S$2:S883,1)=1),1,0)</f>
        <v>0</v>
      </c>
      <c r="Q883" s="1" t="n">
        <f aca="false">IF(AND(N883=1,S883=1,COUNTIFS($L$2:L883,L883,$K$2:K883,K883,$N$2:N883,1,$S$2:S883,1)=1),1,0)</f>
        <v>0</v>
      </c>
      <c r="R883" s="1" t="n">
        <f aca="false">IF(AND(N883=1,COUNTIFS($K$2:K883,K883,$L$2:L883,L883,$J$2:J883,J883,$N$2:N883,1)=1),1,0)</f>
        <v>0</v>
      </c>
      <c r="S883" s="1" t="n">
        <f aca="false">IF(AND(K883&lt;&gt;"Context and provider model",K883&lt;&gt;"Motivation"),1,0)</f>
        <v>1</v>
      </c>
    </row>
    <row r="884" customFormat="false" ht="15" hidden="false" customHeight="true" outlineLevel="0" collapsed="false">
      <c r="J884" s="1" t="str">
        <f aca="false">'Raw Atomic Data (Pro)'!A884</f>
        <v>Kristin</v>
      </c>
      <c r="K884" s="1" t="str">
        <f aca="false">'Raw Atomic Data (Pro)'!C884</f>
        <v>Growth and future plans</v>
      </c>
      <c r="L884" s="1" t="str">
        <f aca="false">'Raw Atomic Data (Pro)'!D884</f>
        <v>business-growth-plans</v>
      </c>
      <c r="M884" s="1" t="str">
        <f aca="false">'Raw Atomic Data (Pro)'!E884</f>
        <v>fact</v>
      </c>
      <c r="N884" s="1" t="n">
        <f aca="false">IF(OR(M884="friction",M884="need",M884="workaround"),1,0)</f>
        <v>0</v>
      </c>
      <c r="O884" s="1" t="n">
        <f aca="false">IF(COUNTIFS($K$2:K884,K884,$L$2:L884,L884,$M$2:M884,M884,$J$2:J884,J884)=1,1,0)</f>
        <v>0</v>
      </c>
      <c r="P884" s="1" t="n">
        <f aca="false">IF(AND(N884=1,S884=1,COUNTIFS($L$2:L884,L884,$J$2:J884,J884,$N$2:N884,1,$S$2:S884,1)=1),1,0)</f>
        <v>0</v>
      </c>
      <c r="Q884" s="1" t="n">
        <f aca="false">IF(AND(N884=1,S884=1,COUNTIFS($L$2:L884,L884,$K$2:K884,K884,$N$2:N884,1,$S$2:S884,1)=1),1,0)</f>
        <v>0</v>
      </c>
      <c r="R884" s="1" t="n">
        <f aca="false">IF(AND(N884=1,COUNTIFS($K$2:K884,K884,$L$2:L884,L884,$J$2:J884,J884,$N$2:N884,1)=1),1,0)</f>
        <v>0</v>
      </c>
      <c r="S884" s="1" t="n">
        <f aca="false">IF(AND(K884&lt;&gt;"Context and provider model",K884&lt;&gt;"Motivation"),1,0)</f>
        <v>1</v>
      </c>
    </row>
    <row r="885" customFormat="false" ht="15" hidden="false" customHeight="true" outlineLevel="0" collapsed="false">
      <c r="J885" s="1" t="str">
        <f aca="false">'Raw Atomic Data (Pro)'!A885</f>
        <v>Kristin</v>
      </c>
      <c r="K885" s="1" t="str">
        <f aca="false">'Raw Atomic Data (Pro)'!C885</f>
        <v>Growth and future plans</v>
      </c>
      <c r="L885" s="1" t="str">
        <f aca="false">'Raw Atomic Data (Pro)'!D885</f>
        <v>business-growth-plans</v>
      </c>
      <c r="M885" s="1" t="str">
        <f aca="false">'Raw Atomic Data (Pro)'!E885</f>
        <v>value-statement</v>
      </c>
      <c r="N885" s="1" t="n">
        <f aca="false">IF(OR(M885="friction",M885="need",M885="workaround"),1,0)</f>
        <v>0</v>
      </c>
      <c r="O885" s="1" t="n">
        <f aca="false">IF(COUNTIFS($K$2:K885,K885,$L$2:L885,L885,$M$2:M885,M885,$J$2:J885,J885)=1,1,0)</f>
        <v>1</v>
      </c>
      <c r="P885" s="1" t="n">
        <f aca="false">IF(AND(N885=1,S885=1,COUNTIFS($L$2:L885,L885,$J$2:J885,J885,$N$2:N885,1,$S$2:S885,1)=1),1,0)</f>
        <v>0</v>
      </c>
      <c r="Q885" s="1" t="n">
        <f aca="false">IF(AND(N885=1,S885=1,COUNTIFS($L$2:L885,L885,$K$2:K885,K885,$N$2:N885,1,$S$2:S885,1)=1),1,0)</f>
        <v>0</v>
      </c>
      <c r="R885" s="1" t="n">
        <f aca="false">IF(AND(N885=1,COUNTIFS($K$2:K885,K885,$L$2:L885,L885,$J$2:J885,J885,$N$2:N885,1)=1),1,0)</f>
        <v>0</v>
      </c>
      <c r="S885" s="1" t="n">
        <f aca="false">IF(AND(K885&lt;&gt;"Context and provider model",K885&lt;&gt;"Motivation"),1,0)</f>
        <v>1</v>
      </c>
    </row>
    <row r="886" customFormat="false" ht="15" hidden="false" customHeight="true" outlineLevel="0" collapsed="false">
      <c r="J886" s="1" t="str">
        <f aca="false">'Raw Atomic Data (Pro)'!A886</f>
        <v>Kristin</v>
      </c>
      <c r="K886" s="1" t="str">
        <f aca="false">'Raw Atomic Data (Pro)'!C886</f>
        <v>Growth and future plans</v>
      </c>
      <c r="L886" s="1" t="str">
        <f aca="false">'Raw Atomic Data (Pro)'!D886</f>
        <v>sitter-community-network</v>
      </c>
      <c r="M886" s="1" t="str">
        <f aca="false">'Raw Atomic Data (Pro)'!E886</f>
        <v>need</v>
      </c>
      <c r="N886" s="1" t="n">
        <f aca="false">IF(OR(M886="friction",M886="need",M886="workaround"),1,0)</f>
        <v>1</v>
      </c>
      <c r="O886" s="1" t="n">
        <f aca="false">IF(COUNTIFS($K$2:K886,K886,$L$2:L886,L886,$M$2:M886,M886,$J$2:J886,J886)=1,1,0)</f>
        <v>1</v>
      </c>
      <c r="P886" s="1" t="n">
        <f aca="false">IF(AND(N886=1,S886=1,COUNTIFS($L$2:L886,L886,$J$2:J886,J886,$N$2:N886,1,$S$2:S886,1)=1),1,0)</f>
        <v>1</v>
      </c>
      <c r="Q886" s="1" t="n">
        <f aca="false">IF(AND(N886=1,S886=1,COUNTIFS($L$2:L886,L886,$K$2:K886,K886,$N$2:N886,1,$S$2:S886,1)=1),1,0)</f>
        <v>0</v>
      </c>
      <c r="R886" s="1" t="n">
        <f aca="false">IF(AND(N886=1,COUNTIFS($K$2:K886,K886,$L$2:L886,L886,$J$2:J886,J886,$N$2:N886,1)=1),1,0)</f>
        <v>1</v>
      </c>
      <c r="S886" s="1" t="n">
        <f aca="false">IF(AND(K886&lt;&gt;"Context and provider model",K886&lt;&gt;"Motivation"),1,0)</f>
        <v>1</v>
      </c>
    </row>
    <row r="887" customFormat="false" ht="15" hidden="false" customHeight="true" outlineLevel="0" collapsed="false">
      <c r="J887" s="1" t="str">
        <f aca="false">'Raw Atomic Data (Pro)'!A887</f>
        <v>Naomi</v>
      </c>
      <c r="K887" s="1" t="str">
        <f aca="false">'Raw Atomic Data (Pro)'!C887</f>
        <v>Growth and future plans</v>
      </c>
      <c r="L887" s="1" t="str">
        <f aca="false">'Raw Atomic Data (Pro)'!D887</f>
        <v>capacity-multi-pet-management</v>
      </c>
      <c r="M887" s="1" t="str">
        <f aca="false">'Raw Atomic Data (Pro)'!E887</f>
        <v>fact</v>
      </c>
      <c r="N887" s="1" t="n">
        <f aca="false">IF(OR(M887="friction",M887="need",M887="workaround"),1,0)</f>
        <v>0</v>
      </c>
      <c r="O887" s="1" t="n">
        <f aca="false">IF(COUNTIFS($K$2:K887,K887,$L$2:L887,L887,$M$2:M887,M887,$J$2:J887,J887)=1,1,0)</f>
        <v>1</v>
      </c>
      <c r="P887" s="1" t="n">
        <f aca="false">IF(AND(N887=1,S887=1,COUNTIFS($L$2:L887,L887,$J$2:J887,J887,$N$2:N887,1,$S$2:S887,1)=1),1,0)</f>
        <v>0</v>
      </c>
      <c r="Q887" s="1" t="n">
        <f aca="false">IF(AND(N887=1,S887=1,COUNTIFS($L$2:L887,L887,$K$2:K887,K887,$N$2:N887,1,$S$2:S887,1)=1),1,0)</f>
        <v>0</v>
      </c>
      <c r="R887" s="1" t="n">
        <f aca="false">IF(AND(N887=1,COUNTIFS($K$2:K887,K887,$L$2:L887,L887,$J$2:J887,J887,$N$2:N887,1)=1),1,0)</f>
        <v>0</v>
      </c>
      <c r="S887" s="1" t="n">
        <f aca="false">IF(AND(K887&lt;&gt;"Context and provider model",K887&lt;&gt;"Motivation"),1,0)</f>
        <v>1</v>
      </c>
    </row>
    <row r="888" customFormat="false" ht="15" hidden="false" customHeight="true" outlineLevel="0" collapsed="false">
      <c r="J888" s="1" t="str">
        <f aca="false">'Raw Atomic Data (Pro)'!A888</f>
        <v>Naomi</v>
      </c>
      <c r="K888" s="1" t="str">
        <f aca="false">'Raw Atomic Data (Pro)'!C888</f>
        <v>Growth and future plans</v>
      </c>
      <c r="L888" s="1" t="str">
        <f aca="false">'Raw Atomic Data (Pro)'!D888</f>
        <v>capacity-multi-pet-management</v>
      </c>
      <c r="M888" s="1" t="str">
        <f aca="false">'Raw Atomic Data (Pro)'!E888</f>
        <v>fact</v>
      </c>
      <c r="N888" s="1" t="n">
        <f aca="false">IF(OR(M888="friction",M888="need",M888="workaround"),1,0)</f>
        <v>0</v>
      </c>
      <c r="O888" s="1" t="n">
        <f aca="false">IF(COUNTIFS($K$2:K888,K888,$L$2:L888,L888,$M$2:M888,M888,$J$2:J888,J888)=1,1,0)</f>
        <v>0</v>
      </c>
      <c r="P888" s="1" t="n">
        <f aca="false">IF(AND(N888=1,S888=1,COUNTIFS($L$2:L888,L888,$J$2:J888,J888,$N$2:N888,1,$S$2:S888,1)=1),1,0)</f>
        <v>0</v>
      </c>
      <c r="Q888" s="1" t="n">
        <f aca="false">IF(AND(N888=1,S888=1,COUNTIFS($L$2:L888,L888,$K$2:K888,K888,$N$2:N888,1,$S$2:S888,1)=1),1,0)</f>
        <v>0</v>
      </c>
      <c r="R888" s="1" t="n">
        <f aca="false">IF(AND(N888=1,COUNTIFS($K$2:K888,K888,$L$2:L888,L888,$J$2:J888,J888,$N$2:N888,1)=1),1,0)</f>
        <v>0</v>
      </c>
      <c r="S888" s="1" t="n">
        <f aca="false">IF(AND(K888&lt;&gt;"Context and provider model",K888&lt;&gt;"Motivation"),1,0)</f>
        <v>1</v>
      </c>
    </row>
    <row r="889" customFormat="false" ht="15" hidden="false" customHeight="true" outlineLevel="0" collapsed="false">
      <c r="J889" s="1" t="str">
        <f aca="false">'Raw Atomic Data (Pro)'!A889</f>
        <v>Naomi</v>
      </c>
      <c r="K889" s="1" t="str">
        <f aca="false">'Raw Atomic Data (Pro)'!C889</f>
        <v>Growth and future plans</v>
      </c>
      <c r="L889" s="1" t="str">
        <f aca="false">'Raw Atomic Data (Pro)'!D889</f>
        <v>business-growth-plans</v>
      </c>
      <c r="M889" s="1" t="str">
        <f aca="false">'Raw Atomic Data (Pro)'!E889</f>
        <v>fact</v>
      </c>
      <c r="N889" s="1" t="n">
        <f aca="false">IF(OR(M889="friction",M889="need",M889="workaround"),1,0)</f>
        <v>0</v>
      </c>
      <c r="O889" s="1" t="n">
        <f aca="false">IF(COUNTIFS($K$2:K889,K889,$L$2:L889,L889,$M$2:M889,M889,$J$2:J889,J889)=1,1,0)</f>
        <v>1</v>
      </c>
      <c r="P889" s="1" t="n">
        <f aca="false">IF(AND(N889=1,S889=1,COUNTIFS($L$2:L889,L889,$J$2:J889,J889,$N$2:N889,1,$S$2:S889,1)=1),1,0)</f>
        <v>0</v>
      </c>
      <c r="Q889" s="1" t="n">
        <f aca="false">IF(AND(N889=1,S889=1,COUNTIFS($L$2:L889,L889,$K$2:K889,K889,$N$2:N889,1,$S$2:S889,1)=1),1,0)</f>
        <v>0</v>
      </c>
      <c r="R889" s="1" t="n">
        <f aca="false">IF(AND(N889=1,COUNTIFS($K$2:K889,K889,$L$2:L889,L889,$J$2:J889,J889,$N$2:N889,1)=1),1,0)</f>
        <v>0</v>
      </c>
      <c r="S889" s="1" t="n">
        <f aca="false">IF(AND(K889&lt;&gt;"Context and provider model",K889&lt;&gt;"Motivation"),1,0)</f>
        <v>1</v>
      </c>
    </row>
    <row r="890" customFormat="false" ht="15" hidden="false" customHeight="true" outlineLevel="0" collapsed="false">
      <c r="J890" s="1" t="str">
        <f aca="false">'Raw Atomic Data (Pro)'!A890</f>
        <v>Naomi</v>
      </c>
      <c r="K890" s="1" t="str">
        <f aca="false">'Raw Atomic Data (Pro)'!C890</f>
        <v>Growth and future plans</v>
      </c>
      <c r="L890" s="1" t="str">
        <f aca="false">'Raw Atomic Data (Pro)'!D890</f>
        <v>business-growth-plans</v>
      </c>
      <c r="M890" s="1" t="str">
        <f aca="false">'Raw Atomic Data (Pro)'!E890</f>
        <v>value-statement</v>
      </c>
      <c r="N890" s="1" t="n">
        <f aca="false">IF(OR(M890="friction",M890="need",M890="workaround"),1,0)</f>
        <v>0</v>
      </c>
      <c r="O890" s="1" t="n">
        <f aca="false">IF(COUNTIFS($K$2:K890,K890,$L$2:L890,L890,$M$2:M890,M890,$J$2:J890,J890)=1,1,0)</f>
        <v>1</v>
      </c>
      <c r="P890" s="1" t="n">
        <f aca="false">IF(AND(N890=1,S890=1,COUNTIFS($L$2:L890,L890,$J$2:J890,J890,$N$2:N890,1,$S$2:S890,1)=1),1,0)</f>
        <v>0</v>
      </c>
      <c r="Q890" s="1" t="n">
        <f aca="false">IF(AND(N890=1,S890=1,COUNTIFS($L$2:L890,L890,$K$2:K890,K890,$N$2:N890,1,$S$2:S890,1)=1),1,0)</f>
        <v>0</v>
      </c>
      <c r="R890" s="1" t="n">
        <f aca="false">IF(AND(N890=1,COUNTIFS($K$2:K890,K890,$L$2:L890,L890,$J$2:J890,J890,$N$2:N890,1)=1),1,0)</f>
        <v>0</v>
      </c>
      <c r="S890" s="1" t="n">
        <f aca="false">IF(AND(K890&lt;&gt;"Context and provider model",K890&lt;&gt;"Motivation"),1,0)</f>
        <v>1</v>
      </c>
    </row>
    <row r="891" customFormat="false" ht="15" hidden="false" customHeight="true" outlineLevel="0" collapsed="false">
      <c r="J891" s="1" t="str">
        <f aca="false">'Raw Atomic Data (Pro)'!A891</f>
        <v>Naomi</v>
      </c>
      <c r="K891" s="1" t="str">
        <f aca="false">'Raw Atomic Data (Pro)'!C891</f>
        <v>Growth and future plans</v>
      </c>
      <c r="L891" s="1" t="str">
        <f aca="false">'Raw Atomic Data (Pro)'!D891</f>
        <v>messaging-platform-mechanics</v>
      </c>
      <c r="M891" s="1" t="str">
        <f aca="false">'Raw Atomic Data (Pro)'!E891</f>
        <v>need</v>
      </c>
      <c r="N891" s="1" t="n">
        <f aca="false">IF(OR(M891="friction",M891="need",M891="workaround"),1,0)</f>
        <v>1</v>
      </c>
      <c r="O891" s="1" t="n">
        <f aca="false">IF(COUNTIFS($K$2:K891,K891,$L$2:L891,L891,$M$2:M891,M891,$J$2:J891,J891)=1,1,0)</f>
        <v>1</v>
      </c>
      <c r="P891" s="1" t="n">
        <f aca="false">IF(AND(N891=1,S891=1,COUNTIFS($L$2:L891,L891,$J$2:J891,J891,$N$2:N891,1,$S$2:S891,1)=1),1,0)</f>
        <v>0</v>
      </c>
      <c r="Q891" s="1" t="n">
        <f aca="false">IF(AND(N891=1,S891=1,COUNTIFS($L$2:L891,L891,$K$2:K891,K891,$N$2:N891,1,$S$2:S891,1)=1),1,0)</f>
        <v>0</v>
      </c>
      <c r="R891" s="1" t="n">
        <f aca="false">IF(AND(N891=1,COUNTIFS($K$2:K891,K891,$L$2:L891,L891,$J$2:J891,J891,$N$2:N891,1)=1),1,0)</f>
        <v>1</v>
      </c>
      <c r="S891" s="1" t="n">
        <f aca="false">IF(AND(K891&lt;&gt;"Context and provider model",K891&lt;&gt;"Motivation"),1,0)</f>
        <v>1</v>
      </c>
    </row>
    <row r="892" customFormat="false" ht="15" hidden="false" customHeight="true" outlineLevel="0" collapsed="false">
      <c r="J892" s="1" t="str">
        <f aca="false">'Raw Atomic Data (Pro)'!A892</f>
        <v>Shania</v>
      </c>
      <c r="K892" s="1" t="str">
        <f aca="false">'Raw Atomic Data (Pro)'!C892</f>
        <v>Growth and future plans</v>
      </c>
      <c r="L892" s="1" t="str">
        <f aca="false">'Raw Atomic Data (Pro)'!D892</f>
        <v>business-growth-plans</v>
      </c>
      <c r="M892" s="1" t="str">
        <f aca="false">'Raw Atomic Data (Pro)'!E892</f>
        <v>fact</v>
      </c>
      <c r="N892" s="1" t="n">
        <f aca="false">IF(OR(M892="friction",M892="need",M892="workaround"),1,0)</f>
        <v>0</v>
      </c>
      <c r="O892" s="1" t="n">
        <f aca="false">IF(COUNTIFS($K$2:K892,K892,$L$2:L892,L892,$M$2:M892,M892,$J$2:J892,J892)=1,1,0)</f>
        <v>1</v>
      </c>
      <c r="P892" s="1" t="n">
        <f aca="false">IF(AND(N892=1,S892=1,COUNTIFS($L$2:L892,L892,$J$2:J892,J892,$N$2:N892,1,$S$2:S892,1)=1),1,0)</f>
        <v>0</v>
      </c>
      <c r="Q892" s="1" t="n">
        <f aca="false">IF(AND(N892=1,S892=1,COUNTIFS($L$2:L892,L892,$K$2:K892,K892,$N$2:N892,1,$S$2:S892,1)=1),1,0)</f>
        <v>0</v>
      </c>
      <c r="R892" s="1" t="n">
        <f aca="false">IF(AND(N892=1,COUNTIFS($K$2:K892,K892,$L$2:L892,L892,$J$2:J892,J892,$N$2:N892,1)=1),1,0)</f>
        <v>0</v>
      </c>
      <c r="S892" s="1" t="n">
        <f aca="false">IF(AND(K892&lt;&gt;"Context and provider model",K892&lt;&gt;"Motivation"),1,0)</f>
        <v>1</v>
      </c>
    </row>
    <row r="893" customFormat="false" ht="15" hidden="false" customHeight="true" outlineLevel="0" collapsed="false">
      <c r="J893" s="1" t="str">
        <f aca="false">'Raw Atomic Data (Pro)'!A893</f>
        <v>Shania</v>
      </c>
      <c r="K893" s="1" t="str">
        <f aca="false">'Raw Atomic Data (Pro)'!C893</f>
        <v>Growth and future plans</v>
      </c>
      <c r="L893" s="1" t="str">
        <f aca="false">'Raw Atomic Data (Pro)'!D893</f>
        <v>business-growth-plans</v>
      </c>
      <c r="M893" s="1" t="str">
        <f aca="false">'Raw Atomic Data (Pro)'!E893</f>
        <v>fact</v>
      </c>
      <c r="N893" s="1" t="n">
        <f aca="false">IF(OR(M893="friction",M893="need",M893="workaround"),1,0)</f>
        <v>0</v>
      </c>
      <c r="O893" s="1" t="n">
        <f aca="false">IF(COUNTIFS($K$2:K893,K893,$L$2:L893,L893,$M$2:M893,M893,$J$2:J893,J893)=1,1,0)</f>
        <v>0</v>
      </c>
      <c r="P893" s="1" t="n">
        <f aca="false">IF(AND(N893=1,S893=1,COUNTIFS($L$2:L893,L893,$J$2:J893,J893,$N$2:N893,1,$S$2:S893,1)=1),1,0)</f>
        <v>0</v>
      </c>
      <c r="Q893" s="1" t="n">
        <f aca="false">IF(AND(N893=1,S893=1,COUNTIFS($L$2:L893,L893,$K$2:K893,K893,$N$2:N893,1,$S$2:S893,1)=1),1,0)</f>
        <v>0</v>
      </c>
      <c r="R893" s="1" t="n">
        <f aca="false">IF(AND(N893=1,COUNTIFS($K$2:K893,K893,$L$2:L893,L893,$J$2:J893,J893,$N$2:N893,1)=1),1,0)</f>
        <v>0</v>
      </c>
      <c r="S893" s="1" t="n">
        <f aca="false">IF(AND(K893&lt;&gt;"Context and provider model",K893&lt;&gt;"Motivation"),1,0)</f>
        <v>1</v>
      </c>
    </row>
    <row r="894" customFormat="false" ht="15" hidden="false" customHeight="true" outlineLevel="0" collapsed="false">
      <c r="J894" s="1" t="str">
        <f aca="false">'Raw Atomic Data (Pro)'!A894</f>
        <v>Shania</v>
      </c>
      <c r="K894" s="1" t="str">
        <f aca="false">'Raw Atomic Data (Pro)'!C894</f>
        <v>Growth and future plans</v>
      </c>
      <c r="L894" s="1" t="str">
        <f aca="false">'Raw Atomic Data (Pro)'!D894</f>
        <v>client-acquisition-discovery</v>
      </c>
      <c r="M894" s="1" t="str">
        <f aca="false">'Raw Atomic Data (Pro)'!E894</f>
        <v>fact</v>
      </c>
      <c r="N894" s="1" t="n">
        <f aca="false">IF(OR(M894="friction",M894="need",M894="workaround"),1,0)</f>
        <v>0</v>
      </c>
      <c r="O894" s="1" t="n">
        <f aca="false">IF(COUNTIFS($K$2:K894,K894,$L$2:L894,L894,$M$2:M894,M894,$J$2:J894,J894)=1,1,0)</f>
        <v>1</v>
      </c>
      <c r="P894" s="1" t="n">
        <f aca="false">IF(AND(N894=1,S894=1,COUNTIFS($L$2:L894,L894,$J$2:J894,J894,$N$2:N894,1,$S$2:S894,1)=1),1,0)</f>
        <v>0</v>
      </c>
      <c r="Q894" s="1" t="n">
        <f aca="false">IF(AND(N894=1,S894=1,COUNTIFS($L$2:L894,L894,$K$2:K894,K894,$N$2:N894,1,$S$2:S894,1)=1),1,0)</f>
        <v>0</v>
      </c>
      <c r="R894" s="1" t="n">
        <f aca="false">IF(AND(N894=1,COUNTIFS($K$2:K894,K894,$L$2:L894,L894,$J$2:J894,J894,$N$2:N894,1)=1),1,0)</f>
        <v>0</v>
      </c>
      <c r="S894" s="1" t="n">
        <f aca="false">IF(AND(K894&lt;&gt;"Context and provider model",K894&lt;&gt;"Motivation"),1,0)</f>
        <v>1</v>
      </c>
    </row>
    <row r="895" customFormat="false" ht="15" hidden="false" customHeight="true" outlineLevel="0" collapsed="false">
      <c r="J895" s="1" t="str">
        <f aca="false">'Raw Atomic Data (Pro)'!A895</f>
        <v>Shania</v>
      </c>
      <c r="K895" s="1" t="str">
        <f aca="false">'Raw Atomic Data (Pro)'!C895</f>
        <v>Growth and future plans</v>
      </c>
      <c r="L895" s="1" t="str">
        <f aca="false">'Raw Atomic Data (Pro)'!D895</f>
        <v>business-growth-plans</v>
      </c>
      <c r="M895" s="1" t="str">
        <f aca="false">'Raw Atomic Data (Pro)'!E895</f>
        <v>fact</v>
      </c>
      <c r="N895" s="1" t="n">
        <f aca="false">IF(OR(M895="friction",M895="need",M895="workaround"),1,0)</f>
        <v>0</v>
      </c>
      <c r="O895" s="1" t="n">
        <f aca="false">IF(COUNTIFS($K$2:K895,K895,$L$2:L895,L895,$M$2:M895,M895,$J$2:J895,J895)=1,1,0)</f>
        <v>0</v>
      </c>
      <c r="P895" s="1" t="n">
        <f aca="false">IF(AND(N895=1,S895=1,COUNTIFS($L$2:L895,L895,$J$2:J895,J895,$N$2:N895,1,$S$2:S895,1)=1),1,0)</f>
        <v>0</v>
      </c>
      <c r="Q895" s="1" t="n">
        <f aca="false">IF(AND(N895=1,S895=1,COUNTIFS($L$2:L895,L895,$K$2:K895,K895,$N$2:N895,1,$S$2:S895,1)=1),1,0)</f>
        <v>0</v>
      </c>
      <c r="R895" s="1" t="n">
        <f aca="false">IF(AND(N895=1,COUNTIFS($K$2:K895,K895,$L$2:L895,L895,$J$2:J895,J895,$N$2:N895,1)=1),1,0)</f>
        <v>0</v>
      </c>
      <c r="S895" s="1" t="n">
        <f aca="false">IF(AND(K895&lt;&gt;"Context and provider model",K895&lt;&gt;"Motivation"),1,0)</f>
        <v>1</v>
      </c>
    </row>
    <row r="896" customFormat="false" ht="15" hidden="false" customHeight="true" outlineLevel="0" collapsed="false">
      <c r="J896" s="1" t="str">
        <f aca="false">'Raw Atomic Data (Pro)'!A896</f>
        <v>Shania</v>
      </c>
      <c r="K896" s="1" t="str">
        <f aca="false">'Raw Atomic Data (Pro)'!C896</f>
        <v>Growth and future plans</v>
      </c>
      <c r="L896" s="1" t="str">
        <f aca="false">'Raw Atomic Data (Pro)'!D896</f>
        <v>business-model-fit</v>
      </c>
      <c r="M896" s="1" t="str">
        <f aca="false">'Raw Atomic Data (Pro)'!E896</f>
        <v>fact</v>
      </c>
      <c r="N896" s="1" t="n">
        <f aca="false">IF(OR(M896="friction",M896="need",M896="workaround"),1,0)</f>
        <v>0</v>
      </c>
      <c r="O896" s="1" t="n">
        <f aca="false">IF(COUNTIFS($K$2:K896,K896,$L$2:L896,L896,$M$2:M896,M896,$J$2:J896,J896)=1,1,0)</f>
        <v>1</v>
      </c>
      <c r="P896" s="1" t="n">
        <f aca="false">IF(AND(N896=1,S896=1,COUNTIFS($L$2:L896,L896,$J$2:J896,J896,$N$2:N896,1,$S$2:S896,1)=1),1,0)</f>
        <v>0</v>
      </c>
      <c r="Q896" s="1" t="n">
        <f aca="false">IF(AND(N896=1,S896=1,COUNTIFS($L$2:L896,L896,$K$2:K896,K896,$N$2:N896,1,$S$2:S896,1)=1),1,0)</f>
        <v>0</v>
      </c>
      <c r="R896" s="1" t="n">
        <f aca="false">IF(AND(N896=1,COUNTIFS($K$2:K896,K896,$L$2:L896,L896,$J$2:J896,J896,$N$2:N896,1)=1),1,0)</f>
        <v>0</v>
      </c>
      <c r="S896" s="1" t="n">
        <f aca="false">IF(AND(K896&lt;&gt;"Context and provider model",K896&lt;&gt;"Motivation"),1,0)</f>
        <v>1</v>
      </c>
    </row>
    <row r="897" customFormat="false" ht="15" hidden="false" customHeight="true" outlineLevel="0" collapsed="false">
      <c r="J897" s="1" t="str">
        <f aca="false">'Raw Atomic Data (Pro)'!A897</f>
        <v>Shania</v>
      </c>
      <c r="K897" s="1" t="str">
        <f aca="false">'Raw Atomic Data (Pro)'!C897</f>
        <v>Growth and future plans</v>
      </c>
      <c r="L897" s="1" t="str">
        <f aca="false">'Raw Atomic Data (Pro)'!D897</f>
        <v>business-growth-plans</v>
      </c>
      <c r="M897" s="1" t="str">
        <f aca="false">'Raw Atomic Data (Pro)'!E897</f>
        <v>fact</v>
      </c>
      <c r="N897" s="1" t="n">
        <f aca="false">IF(OR(M897="friction",M897="need",M897="workaround"),1,0)</f>
        <v>0</v>
      </c>
      <c r="O897" s="1" t="n">
        <f aca="false">IF(COUNTIFS($K$2:K897,K897,$L$2:L897,L897,$M$2:M897,M897,$J$2:J897,J897)=1,1,0)</f>
        <v>0</v>
      </c>
      <c r="P897" s="1" t="n">
        <f aca="false">IF(AND(N897=1,S897=1,COUNTIFS($L$2:L897,L897,$J$2:J897,J897,$N$2:N897,1,$S$2:S897,1)=1),1,0)</f>
        <v>0</v>
      </c>
      <c r="Q897" s="1" t="n">
        <f aca="false">IF(AND(N897=1,S897=1,COUNTIFS($L$2:L897,L897,$K$2:K897,K897,$N$2:N897,1,$S$2:S897,1)=1),1,0)</f>
        <v>0</v>
      </c>
      <c r="R897" s="1" t="n">
        <f aca="false">IF(AND(N897=1,COUNTIFS($K$2:K897,K897,$L$2:L897,L897,$J$2:J897,J897,$N$2:N897,1)=1),1,0)</f>
        <v>0</v>
      </c>
      <c r="S897" s="1" t="n">
        <f aca="false">IF(AND(K897&lt;&gt;"Context and provider model",K897&lt;&gt;"Motivation"),1,0)</f>
        <v>1</v>
      </c>
    </row>
    <row r="898" customFormat="false" ht="15" hidden="false" customHeight="true" outlineLevel="0" collapsed="false">
      <c r="J898" s="1" t="str">
        <f aca="false">'Raw Atomic Data (Pro)'!A898</f>
        <v>Shania</v>
      </c>
      <c r="K898" s="1" t="str">
        <f aca="false">'Raw Atomic Data (Pro)'!C898</f>
        <v>Growth and future plans</v>
      </c>
      <c r="L898" s="1" t="str">
        <f aca="false">'Raw Atomic Data (Pro)'!D898</f>
        <v>client-acquisition-discovery</v>
      </c>
      <c r="M898" s="1" t="str">
        <f aca="false">'Raw Atomic Data (Pro)'!E898</f>
        <v>need</v>
      </c>
      <c r="N898" s="1" t="n">
        <f aca="false">IF(OR(M898="friction",M898="need",M898="workaround"),1,0)</f>
        <v>1</v>
      </c>
      <c r="O898" s="1" t="n">
        <f aca="false">IF(COUNTIFS($K$2:K898,K898,$L$2:L898,L898,$M$2:M898,M898,$J$2:J898,J898)=1,1,0)</f>
        <v>1</v>
      </c>
      <c r="P898" s="1" t="n">
        <f aca="false">IF(AND(N898=1,S898=1,COUNTIFS($L$2:L898,L898,$J$2:J898,J898,$N$2:N898,1,$S$2:S898,1)=1),1,0)</f>
        <v>1</v>
      </c>
      <c r="Q898" s="1" t="n">
        <f aca="false">IF(AND(N898=1,S898=1,COUNTIFS($L$2:L898,L898,$K$2:K898,K898,$N$2:N898,1,$S$2:S898,1)=1),1,0)</f>
        <v>0</v>
      </c>
      <c r="R898" s="1" t="n">
        <f aca="false">IF(AND(N898=1,COUNTIFS($K$2:K898,K898,$L$2:L898,L898,$J$2:J898,J898,$N$2:N898,1)=1),1,0)</f>
        <v>1</v>
      </c>
      <c r="S898" s="1" t="n">
        <f aca="false">IF(AND(K898&lt;&gt;"Context and provider model",K898&lt;&gt;"Motivation"),1,0)</f>
        <v>1</v>
      </c>
    </row>
    <row r="899" customFormat="false" ht="15" hidden="false" customHeight="true" outlineLevel="0" collapsed="false">
      <c r="J899" s="1" t="str">
        <f aca="false">'Raw Atomic Data (Pro)'!A899</f>
        <v>Tianrui</v>
      </c>
      <c r="K899" s="1" t="str">
        <f aca="false">'Raw Atomic Data (Pro)'!C899</f>
        <v>Growth and future plans</v>
      </c>
      <c r="L899" s="1" t="str">
        <f aca="false">'Raw Atomic Data (Pro)'!D899</f>
        <v>business-growth-plans</v>
      </c>
      <c r="M899" s="1" t="str">
        <f aca="false">'Raw Atomic Data (Pro)'!E899</f>
        <v>fact</v>
      </c>
      <c r="N899" s="1" t="n">
        <f aca="false">IF(OR(M899="friction",M899="need",M899="workaround"),1,0)</f>
        <v>0</v>
      </c>
      <c r="O899" s="1" t="n">
        <f aca="false">IF(COUNTIFS($K$2:K899,K899,$L$2:L899,L899,$M$2:M899,M899,$J$2:J899,J899)=1,1,0)</f>
        <v>1</v>
      </c>
      <c r="P899" s="1" t="n">
        <f aca="false">IF(AND(N899=1,S899=1,COUNTIFS($L$2:L899,L899,$J$2:J899,J899,$N$2:N899,1,$S$2:S899,1)=1),1,0)</f>
        <v>0</v>
      </c>
      <c r="Q899" s="1" t="n">
        <f aca="false">IF(AND(N899=1,S899=1,COUNTIFS($L$2:L899,L899,$K$2:K899,K899,$N$2:N899,1,$S$2:S899,1)=1),1,0)</f>
        <v>0</v>
      </c>
      <c r="R899" s="1" t="n">
        <f aca="false">IF(AND(N899=1,COUNTIFS($K$2:K899,K899,$L$2:L899,L899,$J$2:J899,J899,$N$2:N899,1)=1),1,0)</f>
        <v>0</v>
      </c>
      <c r="S899" s="1" t="n">
        <f aca="false">IF(AND(K899&lt;&gt;"Context and provider model",K899&lt;&gt;"Motivation"),1,0)</f>
        <v>1</v>
      </c>
    </row>
    <row r="900" customFormat="false" ht="15" hidden="false" customHeight="true" outlineLevel="0" collapsed="false">
      <c r="J900" s="1" t="str">
        <f aca="false">'Raw Atomic Data (Pro)'!A900</f>
        <v>Tianrui</v>
      </c>
      <c r="K900" s="1" t="str">
        <f aca="false">'Raw Atomic Data (Pro)'!C900</f>
        <v>Growth and future plans</v>
      </c>
      <c r="L900" s="1" t="str">
        <f aca="false">'Raw Atomic Data (Pro)'!D900</f>
        <v>business-growth-plans</v>
      </c>
      <c r="M900" s="1" t="str">
        <f aca="false">'Raw Atomic Data (Pro)'!E900</f>
        <v>fact</v>
      </c>
      <c r="N900" s="1" t="n">
        <f aca="false">IF(OR(M900="friction",M900="need",M900="workaround"),1,0)</f>
        <v>0</v>
      </c>
      <c r="O900" s="1" t="n">
        <f aca="false">IF(COUNTIFS($K$2:K900,K900,$L$2:L900,L900,$M$2:M900,M900,$J$2:J900,J900)=1,1,0)</f>
        <v>0</v>
      </c>
      <c r="P900" s="1" t="n">
        <f aca="false">IF(AND(N900=1,S900=1,COUNTIFS($L$2:L900,L900,$J$2:J900,J900,$N$2:N900,1,$S$2:S900,1)=1),1,0)</f>
        <v>0</v>
      </c>
      <c r="Q900" s="1" t="n">
        <f aca="false">IF(AND(N900=1,S900=1,COUNTIFS($L$2:L900,L900,$K$2:K900,K900,$N$2:N900,1,$S$2:S900,1)=1),1,0)</f>
        <v>0</v>
      </c>
      <c r="R900" s="1" t="n">
        <f aca="false">IF(AND(N900=1,COUNTIFS($K$2:K900,K900,$L$2:L900,L900,$J$2:J900,J900,$N$2:N900,1)=1),1,0)</f>
        <v>0</v>
      </c>
      <c r="S900" s="1" t="n">
        <f aca="false">IF(AND(K900&lt;&gt;"Context and provider model",K900&lt;&gt;"Motivation"),1,0)</f>
        <v>1</v>
      </c>
    </row>
    <row r="901" customFormat="false" ht="15" hidden="false" customHeight="true" outlineLevel="0" collapsed="false">
      <c r="J901" s="1" t="str">
        <f aca="false">'Raw Atomic Data (Pro)'!A901</f>
        <v>Tianrui</v>
      </c>
      <c r="K901" s="1" t="str">
        <f aca="false">'Raw Atomic Data (Pro)'!C901</f>
        <v>Growth and future plans</v>
      </c>
      <c r="L901" s="1" t="str">
        <f aca="false">'Raw Atomic Data (Pro)'!D901</f>
        <v>business-growth-plans</v>
      </c>
      <c r="M901" s="1" t="str">
        <f aca="false">'Raw Atomic Data (Pro)'!E901</f>
        <v>fact</v>
      </c>
      <c r="N901" s="1" t="n">
        <f aca="false">IF(OR(M901="friction",M901="need",M901="workaround"),1,0)</f>
        <v>0</v>
      </c>
      <c r="O901" s="1" t="n">
        <f aca="false">IF(COUNTIFS($K$2:K901,K901,$L$2:L901,L901,$M$2:M901,M901,$J$2:J901,J901)=1,1,0)</f>
        <v>0</v>
      </c>
      <c r="P901" s="1" t="n">
        <f aca="false">IF(AND(N901=1,S901=1,COUNTIFS($L$2:L901,L901,$J$2:J901,J901,$N$2:N901,1,$S$2:S901,1)=1),1,0)</f>
        <v>0</v>
      </c>
      <c r="Q901" s="1" t="n">
        <f aca="false">IF(AND(N901=1,S901=1,COUNTIFS($L$2:L901,L901,$K$2:K901,K901,$N$2:N901,1,$S$2:S901,1)=1),1,0)</f>
        <v>0</v>
      </c>
      <c r="R901" s="1" t="n">
        <f aca="false">IF(AND(N901=1,COUNTIFS($K$2:K901,K901,$L$2:L901,L901,$J$2:J901,J901,$N$2:N901,1)=1),1,0)</f>
        <v>0</v>
      </c>
      <c r="S901" s="1" t="n">
        <f aca="false">IF(AND(K901&lt;&gt;"Context and provider model",K901&lt;&gt;"Motivation"),1,0)</f>
        <v>1</v>
      </c>
    </row>
    <row r="902" customFormat="false" ht="15" hidden="false" customHeight="true" outlineLevel="0" collapsed="false">
      <c r="J902" s="1" t="str">
        <f aca="false">'Raw Atomic Data (Pro)'!A902</f>
        <v>Tianrui</v>
      </c>
      <c r="K902" s="1" t="str">
        <f aca="false">'Raw Atomic Data (Pro)'!C902</f>
        <v>Growth and future plans</v>
      </c>
      <c r="L902" s="1" t="str">
        <f aca="false">'Raw Atomic Data (Pro)'!D902</f>
        <v>search-ranking-visibility</v>
      </c>
      <c r="M902" s="1" t="str">
        <f aca="false">'Raw Atomic Data (Pro)'!E902</f>
        <v>need</v>
      </c>
      <c r="N902" s="1" t="n">
        <f aca="false">IF(OR(M902="friction",M902="need",M902="workaround"),1,0)</f>
        <v>1</v>
      </c>
      <c r="O902" s="1" t="n">
        <f aca="false">IF(COUNTIFS($K$2:K902,K902,$L$2:L902,L902,$M$2:M902,M902,$J$2:J902,J902)=1,1,0)</f>
        <v>1</v>
      </c>
      <c r="P902" s="1" t="n">
        <f aca="false">IF(AND(N902=1,S902=1,COUNTIFS($L$2:L902,L902,$J$2:J902,J902,$N$2:N902,1,$S$2:S902,1)=1),1,0)</f>
        <v>0</v>
      </c>
      <c r="Q902" s="1" t="n">
        <f aca="false">IF(AND(N902=1,S902=1,COUNTIFS($L$2:L902,L902,$K$2:K902,K902,$N$2:N902,1,$S$2:S902,1)=1),1,0)</f>
        <v>1</v>
      </c>
      <c r="R902" s="1" t="n">
        <f aca="false">IF(AND(N902=1,COUNTIFS($K$2:K902,K902,$L$2:L902,L902,$J$2:J902,J902,$N$2:N902,1)=1),1,0)</f>
        <v>1</v>
      </c>
      <c r="S902" s="1" t="n">
        <f aca="false">IF(AND(K902&lt;&gt;"Context and provider model",K902&lt;&gt;"Motivation"),1,0)</f>
        <v>1</v>
      </c>
    </row>
    <row r="903" customFormat="false" ht="15" hidden="false" customHeight="true" outlineLevel="0" collapsed="false">
      <c r="J903" s="1" t="str">
        <f aca="false">'Raw Atomic Data (Pro)'!A903</f>
        <v>Tianrui</v>
      </c>
      <c r="K903" s="1" t="str">
        <f aca="false">'Raw Atomic Data (Pro)'!C903</f>
        <v>Growth and future plans</v>
      </c>
      <c r="L903" s="1" t="str">
        <f aca="false">'Raw Atomic Data (Pro)'!D903</f>
        <v>search-ranking-visibility</v>
      </c>
      <c r="M903" s="1" t="str">
        <f aca="false">'Raw Atomic Data (Pro)'!E903</f>
        <v>need</v>
      </c>
      <c r="N903" s="1" t="n">
        <f aca="false">IF(OR(M903="friction",M903="need",M903="workaround"),1,0)</f>
        <v>1</v>
      </c>
      <c r="O903" s="1" t="n">
        <f aca="false">IF(COUNTIFS($K$2:K903,K903,$L$2:L903,L903,$M$2:M903,M903,$J$2:J903,J903)=1,1,0)</f>
        <v>0</v>
      </c>
      <c r="P903" s="1" t="n">
        <f aca="false">IF(AND(N903=1,S903=1,COUNTIFS($L$2:L903,L903,$J$2:J903,J903,$N$2:N903,1,$S$2:S903,1)=1),1,0)</f>
        <v>0</v>
      </c>
      <c r="Q903" s="1" t="n">
        <f aca="false">IF(AND(N903=1,S903=1,COUNTIFS($L$2:L903,L903,$K$2:K903,K903,$N$2:N903,1,$S$2:S903,1)=1),1,0)</f>
        <v>0</v>
      </c>
      <c r="R903" s="1" t="n">
        <f aca="false">IF(AND(N903=1,COUNTIFS($K$2:K903,K903,$L$2:L903,L903,$J$2:J903,J903,$N$2:N903,1)=1),1,0)</f>
        <v>0</v>
      </c>
      <c r="S903" s="1" t="n">
        <f aca="false">IF(AND(K903&lt;&gt;"Context and provider model",K903&lt;&gt;"Motivation"),1,0)</f>
        <v>1</v>
      </c>
    </row>
    <row r="904" customFormat="false" ht="15" hidden="false" customHeight="true" outlineLevel="0" collapsed="false">
      <c r="J904" s="1" t="str">
        <f aca="false">'Raw Atomic Data (Pro)'!A904</f>
        <v>Tianrui</v>
      </c>
      <c r="K904" s="1" t="str">
        <f aca="false">'Raw Atomic Data (Pro)'!C904</f>
        <v>Growth and future plans</v>
      </c>
      <c r="L904" s="1" t="str">
        <f aca="false">'Raw Atomic Data (Pro)'!D904</f>
        <v>safety-risk-incidents</v>
      </c>
      <c r="M904" s="1" t="str">
        <f aca="false">'Raw Atomic Data (Pro)'!E904</f>
        <v>need</v>
      </c>
      <c r="N904" s="1" t="n">
        <f aca="false">IF(OR(M904="friction",M904="need",M904="workaround"),1,0)</f>
        <v>1</v>
      </c>
      <c r="O904" s="1" t="n">
        <f aca="false">IF(COUNTIFS($K$2:K904,K904,$L$2:L904,L904,$M$2:M904,M904,$J$2:J904,J904)=1,1,0)</f>
        <v>1</v>
      </c>
      <c r="P904" s="1" t="n">
        <f aca="false">IF(AND(N904=1,S904=1,COUNTIFS($L$2:L904,L904,$J$2:J904,J904,$N$2:N904,1,$S$2:S904,1)=1),1,0)</f>
        <v>1</v>
      </c>
      <c r="Q904" s="1" t="n">
        <f aca="false">IF(AND(N904=1,S904=1,COUNTIFS($L$2:L904,L904,$K$2:K904,K904,$N$2:N904,1,$S$2:S904,1)=1),1,0)</f>
        <v>1</v>
      </c>
      <c r="R904" s="1" t="n">
        <f aca="false">IF(AND(N904=1,COUNTIFS($K$2:K904,K904,$L$2:L904,L904,$J$2:J904,J904,$N$2:N904,1)=1),1,0)</f>
        <v>1</v>
      </c>
      <c r="S904" s="1" t="n">
        <f aca="false">IF(AND(K904&lt;&gt;"Context and provider model",K904&lt;&gt;"Motivation"),1,0)</f>
        <v>1</v>
      </c>
    </row>
    <row r="905" customFormat="false" ht="15" hidden="false" customHeight="true" outlineLevel="0" collapsed="false">
      <c r="J905" s="1" t="str">
        <f aca="false">'Raw Atomic Data (Pro)'!A905</f>
        <v>Tianrui</v>
      </c>
      <c r="K905" s="1" t="str">
        <f aca="false">'Raw Atomic Data (Pro)'!C905</f>
        <v>Growth and future plans</v>
      </c>
      <c r="L905" s="1" t="str">
        <f aca="false">'Raw Atomic Data (Pro)'!D905</f>
        <v>reviews-feedback-process</v>
      </c>
      <c r="M905" s="1" t="str">
        <f aca="false">'Raw Atomic Data (Pro)'!E905</f>
        <v>need</v>
      </c>
      <c r="N905" s="1" t="n">
        <f aca="false">IF(OR(M905="friction",M905="need",M905="workaround"),1,0)</f>
        <v>1</v>
      </c>
      <c r="O905" s="1" t="n">
        <f aca="false">IF(COUNTIFS($K$2:K905,K905,$L$2:L905,L905,$M$2:M905,M905,$J$2:J905,J905)=1,1,0)</f>
        <v>1</v>
      </c>
      <c r="P905" s="1" t="n">
        <f aca="false">IF(AND(N905=1,S905=1,COUNTIFS($L$2:L905,L905,$J$2:J905,J905,$N$2:N905,1,$S$2:S905,1)=1),1,0)</f>
        <v>0</v>
      </c>
      <c r="Q905" s="1" t="n">
        <f aca="false">IF(AND(N905=1,S905=1,COUNTIFS($L$2:L905,L905,$K$2:K905,K905,$N$2:N905,1,$S$2:S905,1)=1),1,0)</f>
        <v>1</v>
      </c>
      <c r="R905" s="1" t="n">
        <f aca="false">IF(AND(N905=1,COUNTIFS($K$2:K905,K905,$L$2:L905,L905,$J$2:J905,J905,$N$2:N905,1)=1),1,0)</f>
        <v>1</v>
      </c>
      <c r="S905" s="1" t="n">
        <f aca="false">IF(AND(K905&lt;&gt;"Context and provider model",K905&lt;&gt;"Motivation"),1,0)</f>
        <v>1</v>
      </c>
    </row>
    <row r="906" customFormat="false" ht="15" hidden="false" customHeight="true" outlineLevel="0" collapsed="false">
      <c r="J906" s="1" t="str">
        <f aca="false">'Raw Atomic Data (Pro)'!A906</f>
        <v>Tifany</v>
      </c>
      <c r="K906" s="1" t="str">
        <f aca="false">'Raw Atomic Data (Pro)'!C906</f>
        <v>Growth and future plans</v>
      </c>
      <c r="L906" s="1" t="str">
        <f aca="false">'Raw Atomic Data (Pro)'!D906</f>
        <v>private-business-parallel-ops</v>
      </c>
      <c r="M906" s="1" t="str">
        <f aca="false">'Raw Atomic Data (Pro)'!E906</f>
        <v>fact</v>
      </c>
      <c r="N906" s="1" t="n">
        <f aca="false">IF(OR(M906="friction",M906="need",M906="workaround"),1,0)</f>
        <v>0</v>
      </c>
      <c r="O906" s="1" t="n">
        <f aca="false">IF(COUNTIFS($K$2:K906,K906,$L$2:L906,L906,$M$2:M906,M906,$J$2:J906,J906)=1,1,0)</f>
        <v>1</v>
      </c>
      <c r="P906" s="1" t="n">
        <f aca="false">IF(AND(N906=1,S906=1,COUNTIFS($L$2:L906,L906,$J$2:J906,J906,$N$2:N906,1,$S$2:S906,1)=1),1,0)</f>
        <v>0</v>
      </c>
      <c r="Q906" s="1" t="n">
        <f aca="false">IF(AND(N906=1,S906=1,COUNTIFS($L$2:L906,L906,$K$2:K906,K906,$N$2:N906,1,$S$2:S906,1)=1),1,0)</f>
        <v>0</v>
      </c>
      <c r="R906" s="1" t="n">
        <f aca="false">IF(AND(N906=1,COUNTIFS($K$2:K906,K906,$L$2:L906,L906,$J$2:J906,J906,$N$2:N906,1)=1),1,0)</f>
        <v>0</v>
      </c>
      <c r="S906" s="1" t="n">
        <f aca="false">IF(AND(K906&lt;&gt;"Context and provider model",K906&lt;&gt;"Motivation"),1,0)</f>
        <v>1</v>
      </c>
    </row>
    <row r="907" customFormat="false" ht="15" hidden="false" customHeight="true" outlineLevel="0" collapsed="false">
      <c r="J907" s="1" t="str">
        <f aca="false">'Raw Atomic Data (Pro)'!A907</f>
        <v>Tifany</v>
      </c>
      <c r="K907" s="1" t="str">
        <f aca="false">'Raw Atomic Data (Pro)'!C907</f>
        <v>Growth and future plans</v>
      </c>
      <c r="L907" s="1" t="str">
        <f aca="false">'Raw Atomic Data (Pro)'!D907</f>
        <v>payout-timing-tracking</v>
      </c>
      <c r="M907" s="1" t="str">
        <f aca="false">'Raw Atomic Data (Pro)'!E907</f>
        <v>need</v>
      </c>
      <c r="N907" s="1" t="n">
        <f aca="false">IF(OR(M907="friction",M907="need",M907="workaround"),1,0)</f>
        <v>1</v>
      </c>
      <c r="O907" s="1" t="n">
        <f aca="false">IF(COUNTIFS($K$2:K907,K907,$L$2:L907,L907,$M$2:M907,M907,$J$2:J907,J907)=1,1,0)</f>
        <v>1</v>
      </c>
      <c r="P907" s="1" t="n">
        <f aca="false">IF(AND(N907=1,S907=1,COUNTIFS($L$2:L907,L907,$J$2:J907,J907,$N$2:N907,1,$S$2:S907,1)=1),1,0)</f>
        <v>0</v>
      </c>
      <c r="Q907" s="1" t="n">
        <f aca="false">IF(AND(N907=1,S907=1,COUNTIFS($L$2:L907,L907,$K$2:K907,K907,$N$2:N907,1,$S$2:S907,1)=1),1,0)</f>
        <v>1</v>
      </c>
      <c r="R907" s="1" t="n">
        <f aca="false">IF(AND(N907=1,COUNTIFS($K$2:K907,K907,$L$2:L907,L907,$J$2:J907,J907,$N$2:N907,1)=1),1,0)</f>
        <v>1</v>
      </c>
      <c r="S907" s="1" t="n">
        <f aca="false">IF(AND(K907&lt;&gt;"Context and provider model",K907&lt;&gt;"Motivation"),1,0)</f>
        <v>1</v>
      </c>
    </row>
    <row r="908" customFormat="false" ht="15" hidden="false" customHeight="true" outlineLevel="0" collapsed="false">
      <c r="J908" s="1" t="str">
        <f aca="false">'Raw Atomic Data (Pro)'!A908</f>
        <v>Tifany</v>
      </c>
      <c r="K908" s="1" t="str">
        <f aca="false">'Raw Atomic Data (Pro)'!C908</f>
        <v>Growth and future plans</v>
      </c>
      <c r="L908" s="1" t="str">
        <f aca="false">'Raw Atomic Data (Pro)'!D908</f>
        <v>calendar-scheduling-tools</v>
      </c>
      <c r="M908" s="1" t="str">
        <f aca="false">'Raw Atomic Data (Pro)'!E908</f>
        <v>need</v>
      </c>
      <c r="N908" s="1" t="n">
        <f aca="false">IF(OR(M908="friction",M908="need",M908="workaround"),1,0)</f>
        <v>1</v>
      </c>
      <c r="O908" s="1" t="n">
        <f aca="false">IF(COUNTIFS($K$2:K908,K908,$L$2:L908,L908,$M$2:M908,M908,$J$2:J908,J908)=1,1,0)</f>
        <v>1</v>
      </c>
      <c r="P908" s="1" t="n">
        <f aca="false">IF(AND(N908=1,S908=1,COUNTIFS($L$2:L908,L908,$J$2:J908,J908,$N$2:N908,1,$S$2:S908,1)=1),1,0)</f>
        <v>0</v>
      </c>
      <c r="Q908" s="1" t="n">
        <f aca="false">IF(AND(N908=1,S908=1,COUNTIFS($L$2:L908,L908,$K$2:K908,K908,$N$2:N908,1,$S$2:S908,1)=1),1,0)</f>
        <v>1</v>
      </c>
      <c r="R908" s="1" t="n">
        <f aca="false">IF(AND(N908=1,COUNTIFS($K$2:K908,K908,$L$2:L908,L908,$J$2:J908,J908,$N$2:N908,1)=1),1,0)</f>
        <v>1</v>
      </c>
      <c r="S908" s="1" t="n">
        <f aca="false">IF(AND(K908&lt;&gt;"Context and provider model",K908&lt;&gt;"Motivation"),1,0)</f>
        <v>1</v>
      </c>
    </row>
    <row r="909" customFormat="false" ht="15" hidden="false" customHeight="true" outlineLevel="0" collapsed="false">
      <c r="J909" s="1" t="str">
        <f aca="false">'Raw Atomic Data (Pro)'!A909</f>
        <v>Tifany</v>
      </c>
      <c r="K909" s="1" t="str">
        <f aca="false">'Raw Atomic Data (Pro)'!C909</f>
        <v>Growth and future plans</v>
      </c>
      <c r="L909" s="1" t="str">
        <f aca="false">'Raw Atomic Data (Pro)'!D909</f>
        <v>messaging-platform-mechanics</v>
      </c>
      <c r="M909" s="1" t="str">
        <f aca="false">'Raw Atomic Data (Pro)'!E909</f>
        <v>need</v>
      </c>
      <c r="N909" s="1" t="n">
        <f aca="false">IF(OR(M909="friction",M909="need",M909="workaround"),1,0)</f>
        <v>1</v>
      </c>
      <c r="O909" s="1" t="n">
        <f aca="false">IF(COUNTIFS($K$2:K909,K909,$L$2:L909,L909,$M$2:M909,M909,$J$2:J909,J909)=1,1,0)</f>
        <v>1</v>
      </c>
      <c r="P909" s="1" t="n">
        <f aca="false">IF(AND(N909=1,S909=1,COUNTIFS($L$2:L909,L909,$J$2:J909,J909,$N$2:N909,1,$S$2:S909,1)=1),1,0)</f>
        <v>0</v>
      </c>
      <c r="Q909" s="1" t="n">
        <f aca="false">IF(AND(N909=1,S909=1,COUNTIFS($L$2:L909,L909,$K$2:K909,K909,$N$2:N909,1,$S$2:S909,1)=1),1,0)</f>
        <v>0</v>
      </c>
      <c r="R909" s="1" t="n">
        <f aca="false">IF(AND(N909=1,COUNTIFS($K$2:K909,K909,$L$2:L909,L909,$J$2:J909,J909,$N$2:N909,1)=1),1,0)</f>
        <v>1</v>
      </c>
      <c r="S909" s="1" t="n">
        <f aca="false">IF(AND(K909&lt;&gt;"Context and provider model",K909&lt;&gt;"Motivation"),1,0)</f>
        <v>1</v>
      </c>
    </row>
    <row r="910" customFormat="false" ht="15" hidden="false" customHeight="true" outlineLevel="0" collapsed="false">
      <c r="J910" s="1" t="str">
        <f aca="false">'Raw Atomic Data (Pro)'!A910</f>
        <v>Tifany</v>
      </c>
      <c r="K910" s="1" t="str">
        <f aca="false">'Raw Atomic Data (Pro)'!C910</f>
        <v>Growth and future plans</v>
      </c>
      <c r="L910" s="1" t="str">
        <f aca="false">'Raw Atomic Data (Pro)'!D910</f>
        <v>client-dog-screening-criteria</v>
      </c>
      <c r="M910" s="1" t="str">
        <f aca="false">'Raw Atomic Data (Pro)'!E910</f>
        <v>fact</v>
      </c>
      <c r="N910" s="1" t="n">
        <f aca="false">IF(OR(M910="friction",M910="need",M910="workaround"),1,0)</f>
        <v>0</v>
      </c>
      <c r="O910" s="1" t="n">
        <f aca="false">IF(COUNTIFS($K$2:K910,K910,$L$2:L910,L910,$M$2:M910,M910,$J$2:J910,J910)=1,1,0)</f>
        <v>1</v>
      </c>
      <c r="P910" s="1" t="n">
        <f aca="false">IF(AND(N910=1,S910=1,COUNTIFS($L$2:L910,L910,$J$2:J910,J910,$N$2:N910,1,$S$2:S910,1)=1),1,0)</f>
        <v>0</v>
      </c>
      <c r="Q910" s="1" t="n">
        <f aca="false">IF(AND(N910=1,S910=1,COUNTIFS($L$2:L910,L910,$K$2:K910,K910,$N$2:N910,1,$S$2:S910,1)=1),1,0)</f>
        <v>0</v>
      </c>
      <c r="R910" s="1" t="n">
        <f aca="false">IF(AND(N910=1,COUNTIFS($K$2:K910,K910,$L$2:L910,L910,$J$2:J910,J910,$N$2:N910,1)=1),1,0)</f>
        <v>0</v>
      </c>
      <c r="S910" s="1" t="n">
        <f aca="false">IF(AND(K910&lt;&gt;"Context and provider model",K910&lt;&gt;"Motivation"),1,0)</f>
        <v>1</v>
      </c>
    </row>
    <row r="911" customFormat="false" ht="15" hidden="false" customHeight="true" outlineLevel="0" collapsed="false">
      <c r="J911" s="1" t="str">
        <f aca="false">'Raw Atomic Data (Pro)'!A911</f>
        <v>Tifany</v>
      </c>
      <c r="K911" s="1" t="str">
        <f aca="false">'Raw Atomic Data (Pro)'!C911</f>
        <v>Growth and future plans</v>
      </c>
      <c r="L911" s="1" t="str">
        <f aca="false">'Raw Atomic Data (Pro)'!D911</f>
        <v>insurance-liability-coverage</v>
      </c>
      <c r="M911" s="1" t="str">
        <f aca="false">'Raw Atomic Data (Pro)'!E911</f>
        <v>friction</v>
      </c>
      <c r="N911" s="1" t="n">
        <f aca="false">IF(OR(M911="friction",M911="need",M911="workaround"),1,0)</f>
        <v>1</v>
      </c>
      <c r="O911" s="1" t="n">
        <f aca="false">IF(COUNTIFS($K$2:K911,K911,$L$2:L911,L911,$M$2:M911,M911,$J$2:J911,J911)=1,1,0)</f>
        <v>1</v>
      </c>
      <c r="P911" s="1" t="n">
        <f aca="false">IF(AND(N911=1,S911=1,COUNTIFS($L$2:L911,L911,$J$2:J911,J911,$N$2:N911,1,$S$2:S911,1)=1),1,0)</f>
        <v>1</v>
      </c>
      <c r="Q911" s="1" t="n">
        <f aca="false">IF(AND(N911=1,S911=1,COUNTIFS($L$2:L911,L911,$K$2:K911,K911,$N$2:N911,1,$S$2:S911,1)=1),1,0)</f>
        <v>1</v>
      </c>
      <c r="R911" s="1" t="n">
        <f aca="false">IF(AND(N911=1,COUNTIFS($K$2:K911,K911,$L$2:L911,L911,$J$2:J911,J911,$N$2:N911,1)=1),1,0)</f>
        <v>1</v>
      </c>
      <c r="S911" s="1" t="n">
        <f aca="false">IF(AND(K911&lt;&gt;"Context and provider model",K911&lt;&gt;"Motivation"),1,0)</f>
        <v>1</v>
      </c>
    </row>
    <row r="912" customFormat="false" ht="15" hidden="false" customHeight="true" outlineLevel="0" collapsed="false">
      <c r="J912" s="1" t="str">
        <f aca="false">'Raw Atomic Data (Pro)'!A912</f>
        <v>Ashley P.</v>
      </c>
      <c r="K912" s="1" t="str">
        <f aca="false">'Raw Atomic Data (Pro)'!C912</f>
        <v>Context and provider model</v>
      </c>
      <c r="L912" s="1" t="str">
        <f aca="false">'Raw Atomic Data (Pro)'!D912</f>
        <v>provider-background</v>
      </c>
      <c r="M912" s="1" t="str">
        <f aca="false">'Raw Atomic Data (Pro)'!E912</f>
        <v>fact</v>
      </c>
      <c r="N912" s="1" t="n">
        <f aca="false">IF(OR(M912="friction",M912="need",M912="workaround"),1,0)</f>
        <v>0</v>
      </c>
      <c r="O912" s="1" t="n">
        <f aca="false">IF(COUNTIFS($K$2:K912,K912,$L$2:L912,L912,$M$2:M912,M912,$J$2:J912,J912)=1,1,0)</f>
        <v>1</v>
      </c>
      <c r="P912" s="1" t="n">
        <f aca="false">IF(AND(N912=1,S912=1,COUNTIFS($L$2:L912,L912,$J$2:J912,J912,$N$2:N912,1,$S$2:S912,1)=1),1,0)</f>
        <v>0</v>
      </c>
      <c r="Q912" s="1" t="n">
        <f aca="false">IF(AND(N912=1,S912=1,COUNTIFS($L$2:L912,L912,$K$2:K912,K912,$N$2:N912,1,$S$2:S912,1)=1),1,0)</f>
        <v>0</v>
      </c>
      <c r="R912" s="1" t="n">
        <f aca="false">IF(AND(N912=1,COUNTIFS($K$2:K912,K912,$L$2:L912,L912,$J$2:J912,J912,$N$2:N912,1)=1),1,0)</f>
        <v>0</v>
      </c>
      <c r="S912" s="1" t="n">
        <f aca="false">IF(AND(K912&lt;&gt;"Context and provider model",K912&lt;&gt;"Motivation"),1,0)</f>
        <v>0</v>
      </c>
    </row>
    <row r="913" customFormat="false" ht="15" hidden="false" customHeight="true" outlineLevel="0" collapsed="false">
      <c r="J913" s="1" t="str">
        <f aca="false">'Raw Atomic Data (Pro)'!A913</f>
        <v>Ashley P.</v>
      </c>
      <c r="K913" s="1" t="str">
        <f aca="false">'Raw Atomic Data (Pro)'!C913</f>
        <v>Context and provider model</v>
      </c>
      <c r="L913" s="1" t="str">
        <f aca="false">'Raw Atomic Data (Pro)'!D913</f>
        <v>business-model-fit</v>
      </c>
      <c r="M913" s="1" t="str">
        <f aca="false">'Raw Atomic Data (Pro)'!E913</f>
        <v>fact</v>
      </c>
      <c r="N913" s="1" t="n">
        <f aca="false">IF(OR(M913="friction",M913="need",M913="workaround"),1,0)</f>
        <v>0</v>
      </c>
      <c r="O913" s="1" t="n">
        <f aca="false">IF(COUNTIFS($K$2:K913,K913,$L$2:L913,L913,$M$2:M913,M913,$J$2:J913,J913)=1,1,0)</f>
        <v>1</v>
      </c>
      <c r="P913" s="1" t="n">
        <f aca="false">IF(AND(N913=1,S913=1,COUNTIFS($L$2:L913,L913,$J$2:J913,J913,$N$2:N913,1,$S$2:S913,1)=1),1,0)</f>
        <v>0</v>
      </c>
      <c r="Q913" s="1" t="n">
        <f aca="false">IF(AND(N913=1,S913=1,COUNTIFS($L$2:L913,L913,$K$2:K913,K913,$N$2:N913,1,$S$2:S913,1)=1),1,0)</f>
        <v>0</v>
      </c>
      <c r="R913" s="1" t="n">
        <f aca="false">IF(AND(N913=1,COUNTIFS($K$2:K913,K913,$L$2:L913,L913,$J$2:J913,J913,$N$2:N913,1)=1),1,0)</f>
        <v>0</v>
      </c>
      <c r="S913" s="1" t="n">
        <f aca="false">IF(AND(K913&lt;&gt;"Context and provider model",K913&lt;&gt;"Motivation"),1,0)</f>
        <v>0</v>
      </c>
    </row>
    <row r="914" customFormat="false" ht="15" hidden="false" customHeight="true" outlineLevel="0" collapsed="false">
      <c r="J914" s="1" t="str">
        <f aca="false">'Raw Atomic Data (Pro)'!A914</f>
        <v>Ashley P.</v>
      </c>
      <c r="K914" s="1" t="str">
        <f aca="false">'Raw Atomic Data (Pro)'!C914</f>
        <v>Context and provider model</v>
      </c>
      <c r="L914" s="1" t="str">
        <f aca="false">'Raw Atomic Data (Pro)'!D914</f>
        <v>business-model-fit</v>
      </c>
      <c r="M914" s="1" t="str">
        <f aca="false">'Raw Atomic Data (Pro)'!E914</f>
        <v>fact</v>
      </c>
      <c r="N914" s="1" t="n">
        <f aca="false">IF(OR(M914="friction",M914="need",M914="workaround"),1,0)</f>
        <v>0</v>
      </c>
      <c r="O914" s="1" t="n">
        <f aca="false">IF(COUNTIFS($K$2:K914,K914,$L$2:L914,L914,$M$2:M914,M914,$J$2:J914,J914)=1,1,0)</f>
        <v>0</v>
      </c>
      <c r="P914" s="1" t="n">
        <f aca="false">IF(AND(N914=1,S914=1,COUNTIFS($L$2:L914,L914,$J$2:J914,J914,$N$2:N914,1,$S$2:S914,1)=1),1,0)</f>
        <v>0</v>
      </c>
      <c r="Q914" s="1" t="n">
        <f aca="false">IF(AND(N914=1,S914=1,COUNTIFS($L$2:L914,L914,$K$2:K914,K914,$N$2:N914,1,$S$2:S914,1)=1),1,0)</f>
        <v>0</v>
      </c>
      <c r="R914" s="1" t="n">
        <f aca="false">IF(AND(N914=1,COUNTIFS($K$2:K914,K914,$L$2:L914,L914,$J$2:J914,J914,$N$2:N914,1)=1),1,0)</f>
        <v>0</v>
      </c>
      <c r="S914" s="1" t="n">
        <f aca="false">IF(AND(K914&lt;&gt;"Context and provider model",K914&lt;&gt;"Motivation"),1,0)</f>
        <v>0</v>
      </c>
    </row>
    <row r="915" customFormat="false" ht="15" hidden="false" customHeight="true" outlineLevel="0" collapsed="false">
      <c r="J915" s="1" t="str">
        <f aca="false">'Raw Atomic Data (Pro)'!A915</f>
        <v>Ashley P.</v>
      </c>
      <c r="K915" s="1" t="str">
        <f aca="false">'Raw Atomic Data (Pro)'!C915</f>
        <v>Context and provider model</v>
      </c>
      <c r="L915" s="1" t="str">
        <f aca="false">'Raw Atomic Data (Pro)'!D915</f>
        <v>business-model-fit</v>
      </c>
      <c r="M915" s="1" t="str">
        <f aca="false">'Raw Atomic Data (Pro)'!E915</f>
        <v>fact</v>
      </c>
      <c r="N915" s="1" t="n">
        <f aca="false">IF(OR(M915="friction",M915="need",M915="workaround"),1,0)</f>
        <v>0</v>
      </c>
      <c r="O915" s="1" t="n">
        <f aca="false">IF(COUNTIFS($K$2:K915,K915,$L$2:L915,L915,$M$2:M915,M915,$J$2:J915,J915)=1,1,0)</f>
        <v>0</v>
      </c>
      <c r="P915" s="1" t="n">
        <f aca="false">IF(AND(N915=1,S915=1,COUNTIFS($L$2:L915,L915,$J$2:J915,J915,$N$2:N915,1,$S$2:S915,1)=1),1,0)</f>
        <v>0</v>
      </c>
      <c r="Q915" s="1" t="n">
        <f aca="false">IF(AND(N915=1,S915=1,COUNTIFS($L$2:L915,L915,$K$2:K915,K915,$N$2:N915,1,$S$2:S915,1)=1),1,0)</f>
        <v>0</v>
      </c>
      <c r="R915" s="1" t="n">
        <f aca="false">IF(AND(N915=1,COUNTIFS($K$2:K915,K915,$L$2:L915,L915,$J$2:J915,J915,$N$2:N915,1)=1),1,0)</f>
        <v>0</v>
      </c>
      <c r="S915" s="1" t="n">
        <f aca="false">IF(AND(K915&lt;&gt;"Context and provider model",K915&lt;&gt;"Motivation"),1,0)</f>
        <v>0</v>
      </c>
    </row>
    <row r="916" customFormat="false" ht="15" hidden="false" customHeight="true" outlineLevel="0" collapsed="false">
      <c r="J916" s="1" t="str">
        <f aca="false">'Raw Atomic Data (Pro)'!A916</f>
        <v>Ashley P.</v>
      </c>
      <c r="K916" s="1" t="str">
        <f aca="false">'Raw Atomic Data (Pro)'!C916</f>
        <v>Context and provider model</v>
      </c>
      <c r="L916" s="1" t="str">
        <f aca="false">'Raw Atomic Data (Pro)'!D916</f>
        <v>business-model-fit</v>
      </c>
      <c r="M916" s="1" t="str">
        <f aca="false">'Raw Atomic Data (Pro)'!E916</f>
        <v>friction</v>
      </c>
      <c r="N916" s="1" t="n">
        <f aca="false">IF(OR(M916="friction",M916="need",M916="workaround"),1,0)</f>
        <v>1</v>
      </c>
      <c r="O916" s="1" t="n">
        <f aca="false">IF(COUNTIFS($K$2:K916,K916,$L$2:L916,L916,$M$2:M916,M916,$J$2:J916,J916)=1,1,0)</f>
        <v>1</v>
      </c>
      <c r="P916" s="1" t="n">
        <f aca="false">IF(AND(N916=1,S916=1,COUNTIFS($L$2:L916,L916,$J$2:J916,J916,$N$2:N916,1,$S$2:S916,1)=1),1,0)</f>
        <v>0</v>
      </c>
      <c r="Q916" s="1" t="n">
        <f aca="false">IF(AND(N916=1,S916=1,COUNTIFS($L$2:L916,L916,$K$2:K916,K916,$N$2:N916,1,$S$2:S916,1)=1),1,0)</f>
        <v>0</v>
      </c>
      <c r="R916" s="1" t="n">
        <f aca="false">IF(AND(N916=1,COUNTIFS($K$2:K916,K916,$L$2:L916,L916,$J$2:J916,J916,$N$2:N916,1)=1),1,0)</f>
        <v>1</v>
      </c>
      <c r="S916" s="1" t="n">
        <f aca="false">IF(AND(K916&lt;&gt;"Context and provider model",K916&lt;&gt;"Motivation"),1,0)</f>
        <v>0</v>
      </c>
    </row>
    <row r="917" customFormat="false" ht="15" hidden="false" customHeight="true" outlineLevel="0" collapsed="false">
      <c r="J917" s="1" t="str">
        <f aca="false">'Raw Atomic Data (Pro)'!A917</f>
        <v>Ashley P.</v>
      </c>
      <c r="K917" s="1" t="str">
        <f aca="false">'Raw Atomic Data (Pro)'!C917</f>
        <v>Context and provider model</v>
      </c>
      <c r="L917" s="1" t="str">
        <f aca="false">'Raw Atomic Data (Pro)'!D917</f>
        <v>provider-background</v>
      </c>
      <c r="M917" s="1" t="str">
        <f aca="false">'Raw Atomic Data (Pro)'!E917</f>
        <v>fact</v>
      </c>
      <c r="N917" s="1" t="n">
        <f aca="false">IF(OR(M917="friction",M917="need",M917="workaround"),1,0)</f>
        <v>0</v>
      </c>
      <c r="O917" s="1" t="n">
        <f aca="false">IF(COUNTIFS($K$2:K917,K917,$L$2:L917,L917,$M$2:M917,M917,$J$2:J917,J917)=1,1,0)</f>
        <v>0</v>
      </c>
      <c r="P917" s="1" t="n">
        <f aca="false">IF(AND(N917=1,S917=1,COUNTIFS($L$2:L917,L917,$J$2:J917,J917,$N$2:N917,1,$S$2:S917,1)=1),1,0)</f>
        <v>0</v>
      </c>
      <c r="Q917" s="1" t="n">
        <f aca="false">IF(AND(N917=1,S917=1,COUNTIFS($L$2:L917,L917,$K$2:K917,K917,$N$2:N917,1,$S$2:S917,1)=1),1,0)</f>
        <v>0</v>
      </c>
      <c r="R917" s="1" t="n">
        <f aca="false">IF(AND(N917=1,COUNTIFS($K$2:K917,K917,$L$2:L917,L917,$J$2:J917,J917,$N$2:N917,1)=1),1,0)</f>
        <v>0</v>
      </c>
      <c r="S917" s="1" t="n">
        <f aca="false">IF(AND(K917&lt;&gt;"Context and provider model",K917&lt;&gt;"Motivation"),1,0)</f>
        <v>0</v>
      </c>
    </row>
    <row r="918" customFormat="false" ht="15" hidden="false" customHeight="true" outlineLevel="0" collapsed="false">
      <c r="J918" s="1" t="str">
        <f aca="false">'Raw Atomic Data (Pro)'!A918</f>
        <v>Ashley P.</v>
      </c>
      <c r="K918" s="1" t="str">
        <f aca="false">'Raw Atomic Data (Pro)'!C918</f>
        <v>Context and provider model</v>
      </c>
      <c r="L918" s="1" t="str">
        <f aca="false">'Raw Atomic Data (Pro)'!D918</f>
        <v>private-business-parallel-ops</v>
      </c>
      <c r="M918" s="1" t="str">
        <f aca="false">'Raw Atomic Data (Pro)'!E918</f>
        <v>fact</v>
      </c>
      <c r="N918" s="1" t="n">
        <f aca="false">IF(OR(M918="friction",M918="need",M918="workaround"),1,0)</f>
        <v>0</v>
      </c>
      <c r="O918" s="1" t="n">
        <f aca="false">IF(COUNTIFS($K$2:K918,K918,$L$2:L918,L918,$M$2:M918,M918,$J$2:J918,J918)=1,1,0)</f>
        <v>1</v>
      </c>
      <c r="P918" s="1" t="n">
        <f aca="false">IF(AND(N918=1,S918=1,COUNTIFS($L$2:L918,L918,$J$2:J918,J918,$N$2:N918,1,$S$2:S918,1)=1),1,0)</f>
        <v>0</v>
      </c>
      <c r="Q918" s="1" t="n">
        <f aca="false">IF(AND(N918=1,S918=1,COUNTIFS($L$2:L918,L918,$K$2:K918,K918,$N$2:N918,1,$S$2:S918,1)=1),1,0)</f>
        <v>0</v>
      </c>
      <c r="R918" s="1" t="n">
        <f aca="false">IF(AND(N918=1,COUNTIFS($K$2:K918,K918,$L$2:L918,L918,$J$2:J918,J918,$N$2:N918,1)=1),1,0)</f>
        <v>0</v>
      </c>
      <c r="S918" s="1" t="n">
        <f aca="false">IF(AND(K918&lt;&gt;"Context and provider model",K918&lt;&gt;"Motivation"),1,0)</f>
        <v>0</v>
      </c>
    </row>
    <row r="919" customFormat="false" ht="15" hidden="false" customHeight="true" outlineLevel="0" collapsed="false">
      <c r="J919" s="1" t="str">
        <f aca="false">'Raw Atomic Data (Pro)'!A919</f>
        <v>Ashley P.</v>
      </c>
      <c r="K919" s="1" t="str">
        <f aca="false">'Raw Atomic Data (Pro)'!C919</f>
        <v>Context and provider model</v>
      </c>
      <c r="L919" s="1" t="str">
        <f aca="false">'Raw Atomic Data (Pro)'!D919</f>
        <v>private-business-parallel-ops</v>
      </c>
      <c r="M919" s="1" t="str">
        <f aca="false">'Raw Atomic Data (Pro)'!E919</f>
        <v>friction</v>
      </c>
      <c r="N919" s="1" t="n">
        <f aca="false">IF(OR(M919="friction",M919="need",M919="workaround"),1,0)</f>
        <v>1</v>
      </c>
      <c r="O919" s="1" t="n">
        <f aca="false">IF(COUNTIFS($K$2:K919,K919,$L$2:L919,L919,$M$2:M919,M919,$J$2:J919,J919)=1,1,0)</f>
        <v>1</v>
      </c>
      <c r="P919" s="1" t="n">
        <f aca="false">IF(AND(N919=1,S919=1,COUNTIFS($L$2:L919,L919,$J$2:J919,J919,$N$2:N919,1,$S$2:S919,1)=1),1,0)</f>
        <v>0</v>
      </c>
      <c r="Q919" s="1" t="n">
        <f aca="false">IF(AND(N919=1,S919=1,COUNTIFS($L$2:L919,L919,$K$2:K919,K919,$N$2:N919,1,$S$2:S919,1)=1),1,0)</f>
        <v>0</v>
      </c>
      <c r="R919" s="1" t="n">
        <f aca="false">IF(AND(N919=1,COUNTIFS($K$2:K919,K919,$L$2:L919,L919,$J$2:J919,J919,$N$2:N919,1)=1),1,0)</f>
        <v>1</v>
      </c>
      <c r="S919" s="1" t="n">
        <f aca="false">IF(AND(K919&lt;&gt;"Context and provider model",K919&lt;&gt;"Motivation"),1,0)</f>
        <v>0</v>
      </c>
    </row>
    <row r="920" customFormat="false" ht="15" hidden="false" customHeight="true" outlineLevel="0" collapsed="false">
      <c r="J920" s="1" t="str">
        <f aca="false">'Raw Atomic Data (Pro)'!A920</f>
        <v>Ashley P.</v>
      </c>
      <c r="K920" s="1" t="str">
        <f aca="false">'Raw Atomic Data (Pro)'!C920</f>
        <v>Motivation</v>
      </c>
      <c r="L920" s="1" t="str">
        <f aca="false">'Raw Atomic Data (Pro)'!D920</f>
        <v>motivation-emotional-connection</v>
      </c>
      <c r="M920" s="1" t="str">
        <f aca="false">'Raw Atomic Data (Pro)'!E920</f>
        <v>value-statement</v>
      </c>
      <c r="N920" s="1" t="n">
        <f aca="false">IF(OR(M920="friction",M920="need",M920="workaround"),1,0)</f>
        <v>0</v>
      </c>
      <c r="O920" s="1" t="n">
        <f aca="false">IF(COUNTIFS($K$2:K920,K920,$L$2:L920,L920,$M$2:M920,M920,$J$2:J920,J920)=1,1,0)</f>
        <v>1</v>
      </c>
      <c r="P920" s="1" t="n">
        <f aca="false">IF(AND(N920=1,S920=1,COUNTIFS($L$2:L920,L920,$J$2:J920,J920,$N$2:N920,1,$S$2:S920,1)=1),1,0)</f>
        <v>0</v>
      </c>
      <c r="Q920" s="1" t="n">
        <f aca="false">IF(AND(N920=1,S920=1,COUNTIFS($L$2:L920,L920,$K$2:K920,K920,$N$2:N920,1,$S$2:S920,1)=1),1,0)</f>
        <v>0</v>
      </c>
      <c r="R920" s="1" t="n">
        <f aca="false">IF(AND(N920=1,COUNTIFS($K$2:K920,K920,$L$2:L920,L920,$J$2:J920,J920,$N$2:N920,1)=1),1,0)</f>
        <v>0</v>
      </c>
      <c r="S920" s="1" t="n">
        <f aca="false">IF(AND(K920&lt;&gt;"Context and provider model",K920&lt;&gt;"Motivation"),1,0)</f>
        <v>0</v>
      </c>
    </row>
    <row r="921" customFormat="false" ht="15" hidden="false" customHeight="true" outlineLevel="0" collapsed="false">
      <c r="J921" s="1" t="str">
        <f aca="false">'Raw Atomic Data (Pro)'!A921</f>
        <v>Ashley P.</v>
      </c>
      <c r="K921" s="1" t="str">
        <f aca="false">'Raw Atomic Data (Pro)'!C921</f>
        <v>Motivation</v>
      </c>
      <c r="L921" s="1" t="str">
        <f aca="false">'Raw Atomic Data (Pro)'!D921</f>
        <v>motivation-emotional-connection</v>
      </c>
      <c r="M921" s="1" t="str">
        <f aca="false">'Raw Atomic Data (Pro)'!E921</f>
        <v>value-statement</v>
      </c>
      <c r="N921" s="1" t="n">
        <f aca="false">IF(OR(M921="friction",M921="need",M921="workaround"),1,0)</f>
        <v>0</v>
      </c>
      <c r="O921" s="1" t="n">
        <f aca="false">IF(COUNTIFS($K$2:K921,K921,$L$2:L921,L921,$M$2:M921,M921,$J$2:J921,J921)=1,1,0)</f>
        <v>0</v>
      </c>
      <c r="P921" s="1" t="n">
        <f aca="false">IF(AND(N921=1,S921=1,COUNTIFS($L$2:L921,L921,$J$2:J921,J921,$N$2:N921,1,$S$2:S921,1)=1),1,0)</f>
        <v>0</v>
      </c>
      <c r="Q921" s="1" t="n">
        <f aca="false">IF(AND(N921=1,S921=1,COUNTIFS($L$2:L921,L921,$K$2:K921,K921,$N$2:N921,1,$S$2:S921,1)=1),1,0)</f>
        <v>0</v>
      </c>
      <c r="R921" s="1" t="n">
        <f aca="false">IF(AND(N921=1,COUNTIFS($K$2:K921,K921,$L$2:L921,L921,$J$2:J921,J921,$N$2:N921,1)=1),1,0)</f>
        <v>0</v>
      </c>
      <c r="S921" s="1" t="n">
        <f aca="false">IF(AND(K921&lt;&gt;"Context and provider model",K921&lt;&gt;"Motivation"),1,0)</f>
        <v>0</v>
      </c>
    </row>
    <row r="922" customFormat="false" ht="15" hidden="false" customHeight="true" outlineLevel="0" collapsed="false">
      <c r="J922" s="1" t="str">
        <f aca="false">'Raw Atomic Data (Pro)'!A922</f>
        <v>Ashley P.</v>
      </c>
      <c r="K922" s="1" t="str">
        <f aca="false">'Raw Atomic Data (Pro)'!C922</f>
        <v>Motivation</v>
      </c>
      <c r="L922" s="1" t="str">
        <f aca="false">'Raw Atomic Data (Pro)'!D922</f>
        <v>motivation-emotional-connection</v>
      </c>
      <c r="M922" s="1" t="str">
        <f aca="false">'Raw Atomic Data (Pro)'!E922</f>
        <v>value-statement</v>
      </c>
      <c r="N922" s="1" t="n">
        <f aca="false">IF(OR(M922="friction",M922="need",M922="workaround"),1,0)</f>
        <v>0</v>
      </c>
      <c r="O922" s="1" t="n">
        <f aca="false">IF(COUNTIFS($K$2:K922,K922,$L$2:L922,L922,$M$2:M922,M922,$J$2:J922,J922)=1,1,0)</f>
        <v>0</v>
      </c>
      <c r="P922" s="1" t="n">
        <f aca="false">IF(AND(N922=1,S922=1,COUNTIFS($L$2:L922,L922,$J$2:J922,J922,$N$2:N922,1,$S$2:S922,1)=1),1,0)</f>
        <v>0</v>
      </c>
      <c r="Q922" s="1" t="n">
        <f aca="false">IF(AND(N922=1,S922=1,COUNTIFS($L$2:L922,L922,$K$2:K922,K922,$N$2:N922,1,$S$2:S922,1)=1),1,0)</f>
        <v>0</v>
      </c>
      <c r="R922" s="1" t="n">
        <f aca="false">IF(AND(N922=1,COUNTIFS($K$2:K922,K922,$L$2:L922,L922,$J$2:J922,J922,$N$2:N922,1)=1),1,0)</f>
        <v>0</v>
      </c>
      <c r="S922" s="1" t="n">
        <f aca="false">IF(AND(K922&lt;&gt;"Context and provider model",K922&lt;&gt;"Motivation"),1,0)</f>
        <v>0</v>
      </c>
    </row>
    <row r="923" customFormat="false" ht="15" hidden="false" customHeight="true" outlineLevel="0" collapsed="false">
      <c r="J923" s="1" t="str">
        <f aca="false">'Raw Atomic Data (Pro)'!A923</f>
        <v>Ashley P.</v>
      </c>
      <c r="K923" s="1" t="str">
        <f aca="false">'Raw Atomic Data (Pro)'!C923</f>
        <v>Motivation</v>
      </c>
      <c r="L923" s="1" t="str">
        <f aca="false">'Raw Atomic Data (Pro)'!D923</f>
        <v>motivation-emotional-connection</v>
      </c>
      <c r="M923" s="1" t="str">
        <f aca="false">'Raw Atomic Data (Pro)'!E923</f>
        <v>value-statement</v>
      </c>
      <c r="N923" s="1" t="n">
        <f aca="false">IF(OR(M923="friction",M923="need",M923="workaround"),1,0)</f>
        <v>0</v>
      </c>
      <c r="O923" s="1" t="n">
        <f aca="false">IF(COUNTIFS($K$2:K923,K923,$L$2:L923,L923,$M$2:M923,M923,$J$2:J923,J923)=1,1,0)</f>
        <v>0</v>
      </c>
      <c r="P923" s="1" t="n">
        <f aca="false">IF(AND(N923=1,S923=1,COUNTIFS($L$2:L923,L923,$J$2:J923,J923,$N$2:N923,1,$S$2:S923,1)=1),1,0)</f>
        <v>0</v>
      </c>
      <c r="Q923" s="1" t="n">
        <f aca="false">IF(AND(N923=1,S923=1,COUNTIFS($L$2:L923,L923,$K$2:K923,K923,$N$2:N923,1,$S$2:S923,1)=1),1,0)</f>
        <v>0</v>
      </c>
      <c r="R923" s="1" t="n">
        <f aca="false">IF(AND(N923=1,COUNTIFS($K$2:K923,K923,$L$2:L923,L923,$J$2:J923,J923,$N$2:N923,1)=1),1,0)</f>
        <v>0</v>
      </c>
      <c r="S923" s="1" t="n">
        <f aca="false">IF(AND(K923&lt;&gt;"Context and provider model",K923&lt;&gt;"Motivation"),1,0)</f>
        <v>0</v>
      </c>
    </row>
    <row r="924" customFormat="false" ht="15" hidden="false" customHeight="true" outlineLevel="0" collapsed="false">
      <c r="J924" s="1" t="str">
        <f aca="false">'Raw Atomic Data (Pro)'!A924</f>
        <v>Ashley P.</v>
      </c>
      <c r="K924" s="1" t="str">
        <f aca="false">'Raw Atomic Data (Pro)'!C924</f>
        <v>Motivation</v>
      </c>
      <c r="L924" s="1" t="str">
        <f aca="false">'Raw Atomic Data (Pro)'!D924</f>
        <v>motivation-emotional-connection</v>
      </c>
      <c r="M924" s="1" t="str">
        <f aca="false">'Raw Atomic Data (Pro)'!E924</f>
        <v>value-statement</v>
      </c>
      <c r="N924" s="1" t="n">
        <f aca="false">IF(OR(M924="friction",M924="need",M924="workaround"),1,0)</f>
        <v>0</v>
      </c>
      <c r="O924" s="1" t="n">
        <f aca="false">IF(COUNTIFS($K$2:K924,K924,$L$2:L924,L924,$M$2:M924,M924,$J$2:J924,J924)=1,1,0)</f>
        <v>0</v>
      </c>
      <c r="P924" s="1" t="n">
        <f aca="false">IF(AND(N924=1,S924=1,COUNTIFS($L$2:L924,L924,$J$2:J924,J924,$N$2:N924,1,$S$2:S924,1)=1),1,0)</f>
        <v>0</v>
      </c>
      <c r="Q924" s="1" t="n">
        <f aca="false">IF(AND(N924=1,S924=1,COUNTIFS($L$2:L924,L924,$K$2:K924,K924,$N$2:N924,1,$S$2:S924,1)=1),1,0)</f>
        <v>0</v>
      </c>
      <c r="R924" s="1" t="n">
        <f aca="false">IF(AND(N924=1,COUNTIFS($K$2:K924,K924,$L$2:L924,L924,$J$2:J924,J924,$N$2:N924,1)=1),1,0)</f>
        <v>0</v>
      </c>
      <c r="S924" s="1" t="n">
        <f aca="false">IF(AND(K924&lt;&gt;"Context and provider model",K924&lt;&gt;"Motivation"),1,0)</f>
        <v>0</v>
      </c>
    </row>
    <row r="925" customFormat="false" ht="15" hidden="false" customHeight="true" outlineLevel="0" collapsed="false">
      <c r="J925" s="1" t="str">
        <f aca="false">'Raw Atomic Data (Pro)'!A925</f>
        <v>Ashley P.</v>
      </c>
      <c r="K925" s="1" t="str">
        <f aca="false">'Raw Atomic Data (Pro)'!C925</f>
        <v>Motivation</v>
      </c>
      <c r="L925" s="1" t="str">
        <f aca="false">'Raw Atomic Data (Pro)'!D925</f>
        <v>motivation-emotional-connection</v>
      </c>
      <c r="M925" s="1" t="str">
        <f aca="false">'Raw Atomic Data (Pro)'!E925</f>
        <v>fact</v>
      </c>
      <c r="N925" s="1" t="n">
        <f aca="false">IF(OR(M925="friction",M925="need",M925="workaround"),1,0)</f>
        <v>0</v>
      </c>
      <c r="O925" s="1" t="n">
        <f aca="false">IF(COUNTIFS($K$2:K925,K925,$L$2:L925,L925,$M$2:M925,M925,$J$2:J925,J925)=1,1,0)</f>
        <v>1</v>
      </c>
      <c r="P925" s="1" t="n">
        <f aca="false">IF(AND(N925=1,S925=1,COUNTIFS($L$2:L925,L925,$J$2:J925,J925,$N$2:N925,1,$S$2:S925,1)=1),1,0)</f>
        <v>0</v>
      </c>
      <c r="Q925" s="1" t="n">
        <f aca="false">IF(AND(N925=1,S925=1,COUNTIFS($L$2:L925,L925,$K$2:K925,K925,$N$2:N925,1,$S$2:S925,1)=1),1,0)</f>
        <v>0</v>
      </c>
      <c r="R925" s="1" t="n">
        <f aca="false">IF(AND(N925=1,COUNTIFS($K$2:K925,K925,$L$2:L925,L925,$J$2:J925,J925,$N$2:N925,1)=1),1,0)</f>
        <v>0</v>
      </c>
      <c r="S925" s="1" t="n">
        <f aca="false">IF(AND(K925&lt;&gt;"Context and provider model",K925&lt;&gt;"Motivation"),1,0)</f>
        <v>0</v>
      </c>
    </row>
    <row r="926" customFormat="false" ht="15" hidden="false" customHeight="true" outlineLevel="0" collapsed="false">
      <c r="J926" s="1" t="str">
        <f aca="false">'Raw Atomic Data (Pro)'!A926</f>
        <v>Ashley P.</v>
      </c>
      <c r="K926" s="1" t="str">
        <f aca="false">'Raw Atomic Data (Pro)'!C926</f>
        <v>Motivation</v>
      </c>
      <c r="L926" s="1" t="str">
        <f aca="false">'Raw Atomic Data (Pro)'!D926</f>
        <v>motivation-emotional-connection</v>
      </c>
      <c r="M926" s="1" t="str">
        <f aca="false">'Raw Atomic Data (Pro)'!E926</f>
        <v>value-statement</v>
      </c>
      <c r="N926" s="1" t="n">
        <f aca="false">IF(OR(M926="friction",M926="need",M926="workaround"),1,0)</f>
        <v>0</v>
      </c>
      <c r="O926" s="1" t="n">
        <f aca="false">IF(COUNTIFS($K$2:K926,K926,$L$2:L926,L926,$M$2:M926,M926,$J$2:J926,J926)=1,1,0)</f>
        <v>0</v>
      </c>
      <c r="P926" s="1" t="n">
        <f aca="false">IF(AND(N926=1,S926=1,COUNTIFS($L$2:L926,L926,$J$2:J926,J926,$N$2:N926,1,$S$2:S926,1)=1),1,0)</f>
        <v>0</v>
      </c>
      <c r="Q926" s="1" t="n">
        <f aca="false">IF(AND(N926=1,S926=1,COUNTIFS($L$2:L926,L926,$K$2:K926,K926,$N$2:N926,1,$S$2:S926,1)=1),1,0)</f>
        <v>0</v>
      </c>
      <c r="R926" s="1" t="n">
        <f aca="false">IF(AND(N926=1,COUNTIFS($K$2:K926,K926,$L$2:L926,L926,$J$2:J926,J926,$N$2:N926,1)=1),1,0)</f>
        <v>0</v>
      </c>
      <c r="S926" s="1" t="n">
        <f aca="false">IF(AND(K926&lt;&gt;"Context and provider model",K926&lt;&gt;"Motivation"),1,0)</f>
        <v>0</v>
      </c>
    </row>
    <row r="927" customFormat="false" ht="15" hidden="false" customHeight="true" outlineLevel="0" collapsed="false">
      <c r="J927" s="1" t="str">
        <f aca="false">'Raw Atomic Data (Pro)'!A927</f>
        <v>Ashley P.</v>
      </c>
      <c r="K927" s="1" t="str">
        <f aca="false">'Raw Atomic Data (Pro)'!C927</f>
        <v>Client acquisition</v>
      </c>
      <c r="L927" s="1" t="str">
        <f aca="false">'Raw Atomic Data (Pro)'!D927</f>
        <v>client-acquisition-discovery</v>
      </c>
      <c r="M927" s="1" t="str">
        <f aca="false">'Raw Atomic Data (Pro)'!E927</f>
        <v>fact</v>
      </c>
      <c r="N927" s="1" t="n">
        <f aca="false">IF(OR(M927="friction",M927="need",M927="workaround"),1,0)</f>
        <v>0</v>
      </c>
      <c r="O927" s="1" t="n">
        <f aca="false">IF(COUNTIFS($K$2:K927,K927,$L$2:L927,L927,$M$2:M927,M927,$J$2:J927,J927)=1,1,0)</f>
        <v>1</v>
      </c>
      <c r="P927" s="1" t="n">
        <f aca="false">IF(AND(N927=1,S927=1,COUNTIFS($L$2:L927,L927,$J$2:J927,J927,$N$2:N927,1,$S$2:S927,1)=1),1,0)</f>
        <v>0</v>
      </c>
      <c r="Q927" s="1" t="n">
        <f aca="false">IF(AND(N927=1,S927=1,COUNTIFS($L$2:L927,L927,$K$2:K927,K927,$N$2:N927,1,$S$2:S927,1)=1),1,0)</f>
        <v>0</v>
      </c>
      <c r="R927" s="1" t="n">
        <f aca="false">IF(AND(N927=1,COUNTIFS($K$2:K927,K927,$L$2:L927,L927,$J$2:J927,J927,$N$2:N927,1)=1),1,0)</f>
        <v>0</v>
      </c>
      <c r="S927" s="1" t="n">
        <f aca="false">IF(AND(K927&lt;&gt;"Context and provider model",K927&lt;&gt;"Motivation"),1,0)</f>
        <v>1</v>
      </c>
    </row>
    <row r="928" customFormat="false" ht="15" hidden="false" customHeight="true" outlineLevel="0" collapsed="false">
      <c r="J928" s="1" t="str">
        <f aca="false">'Raw Atomic Data (Pro)'!A928</f>
        <v>Ashley P.</v>
      </c>
      <c r="K928" s="1" t="str">
        <f aca="false">'Raw Atomic Data (Pro)'!C928</f>
        <v>Client acquisition</v>
      </c>
      <c r="L928" s="1" t="str">
        <f aca="false">'Raw Atomic Data (Pro)'!D928</f>
        <v>client-acquisition-discovery</v>
      </c>
      <c r="M928" s="1" t="str">
        <f aca="false">'Raw Atomic Data (Pro)'!E928</f>
        <v>friction</v>
      </c>
      <c r="N928" s="1" t="n">
        <f aca="false">IF(OR(M928="friction",M928="need",M928="workaround"),1,0)</f>
        <v>1</v>
      </c>
      <c r="O928" s="1" t="n">
        <f aca="false">IF(COUNTIFS($K$2:K928,K928,$L$2:L928,L928,$M$2:M928,M928,$J$2:J928,J928)=1,1,0)</f>
        <v>1</v>
      </c>
      <c r="P928" s="1" t="n">
        <f aca="false">IF(AND(N928=1,S928=1,COUNTIFS($L$2:L928,L928,$J$2:J928,J928,$N$2:N928,1,$S$2:S928,1)=1),1,0)</f>
        <v>1</v>
      </c>
      <c r="Q928" s="1" t="n">
        <f aca="false">IF(AND(N928=1,S928=1,COUNTIFS($L$2:L928,L928,$K$2:K928,K928,$N$2:N928,1,$S$2:S928,1)=1),1,0)</f>
        <v>0</v>
      </c>
      <c r="R928" s="1" t="n">
        <f aca="false">IF(AND(N928=1,COUNTIFS($K$2:K928,K928,$L$2:L928,L928,$J$2:J928,J928,$N$2:N928,1)=1),1,0)</f>
        <v>1</v>
      </c>
      <c r="S928" s="1" t="n">
        <f aca="false">IF(AND(K928&lt;&gt;"Context and provider model",K928&lt;&gt;"Motivation"),1,0)</f>
        <v>1</v>
      </c>
    </row>
    <row r="929" customFormat="false" ht="15" hidden="false" customHeight="true" outlineLevel="0" collapsed="false">
      <c r="J929" s="1" t="str">
        <f aca="false">'Raw Atomic Data (Pro)'!A929</f>
        <v>Ashley P.</v>
      </c>
      <c r="K929" s="1" t="str">
        <f aca="false">'Raw Atomic Data (Pro)'!C929</f>
        <v>Client acquisition</v>
      </c>
      <c r="L929" s="1" t="str">
        <f aca="false">'Raw Atomic Data (Pro)'!D929</f>
        <v>client-acquisition-discovery</v>
      </c>
      <c r="M929" s="1" t="str">
        <f aca="false">'Raw Atomic Data (Pro)'!E929</f>
        <v>fact</v>
      </c>
      <c r="N929" s="1" t="n">
        <f aca="false">IF(OR(M929="friction",M929="need",M929="workaround"),1,0)</f>
        <v>0</v>
      </c>
      <c r="O929" s="1" t="n">
        <f aca="false">IF(COUNTIFS($K$2:K929,K929,$L$2:L929,L929,$M$2:M929,M929,$J$2:J929,J929)=1,1,0)</f>
        <v>0</v>
      </c>
      <c r="P929" s="1" t="n">
        <f aca="false">IF(AND(N929=1,S929=1,COUNTIFS($L$2:L929,L929,$J$2:J929,J929,$N$2:N929,1,$S$2:S929,1)=1),1,0)</f>
        <v>0</v>
      </c>
      <c r="Q929" s="1" t="n">
        <f aca="false">IF(AND(N929=1,S929=1,COUNTIFS($L$2:L929,L929,$K$2:K929,K929,$N$2:N929,1,$S$2:S929,1)=1),1,0)</f>
        <v>0</v>
      </c>
      <c r="R929" s="1" t="n">
        <f aca="false">IF(AND(N929=1,COUNTIFS($K$2:K929,K929,$L$2:L929,L929,$J$2:J929,J929,$N$2:N929,1)=1),1,0)</f>
        <v>0</v>
      </c>
      <c r="S929" s="1" t="n">
        <f aca="false">IF(AND(K929&lt;&gt;"Context and provider model",K929&lt;&gt;"Motivation"),1,0)</f>
        <v>1</v>
      </c>
    </row>
    <row r="930" customFormat="false" ht="15" hidden="false" customHeight="true" outlineLevel="0" collapsed="false">
      <c r="J930" s="1" t="str">
        <f aca="false">'Raw Atomic Data (Pro)'!A930</f>
        <v>Ashley P.</v>
      </c>
      <c r="K930" s="1" t="str">
        <f aca="false">'Raw Atomic Data (Pro)'!C930</f>
        <v>Client acquisition</v>
      </c>
      <c r="L930" s="1" t="str">
        <f aca="false">'Raw Atomic Data (Pro)'!D930</f>
        <v>client-acquisition-discovery</v>
      </c>
      <c r="M930" s="1" t="str">
        <f aca="false">'Raw Atomic Data (Pro)'!E930</f>
        <v>fact</v>
      </c>
      <c r="N930" s="1" t="n">
        <f aca="false">IF(OR(M930="friction",M930="need",M930="workaround"),1,0)</f>
        <v>0</v>
      </c>
      <c r="O930" s="1" t="n">
        <f aca="false">IF(COUNTIFS($K$2:K930,K930,$L$2:L930,L930,$M$2:M930,M930,$J$2:J930,J930)=1,1,0)</f>
        <v>0</v>
      </c>
      <c r="P930" s="1" t="n">
        <f aca="false">IF(AND(N930=1,S930=1,COUNTIFS($L$2:L930,L930,$J$2:J930,J930,$N$2:N930,1,$S$2:S930,1)=1),1,0)</f>
        <v>0</v>
      </c>
      <c r="Q930" s="1" t="n">
        <f aca="false">IF(AND(N930=1,S930=1,COUNTIFS($L$2:L930,L930,$K$2:K930,K930,$N$2:N930,1,$S$2:S930,1)=1),1,0)</f>
        <v>0</v>
      </c>
      <c r="R930" s="1" t="n">
        <f aca="false">IF(AND(N930=1,COUNTIFS($K$2:K930,K930,$L$2:L930,L930,$J$2:J930,J930,$N$2:N930,1)=1),1,0)</f>
        <v>0</v>
      </c>
      <c r="S930" s="1" t="n">
        <f aca="false">IF(AND(K930&lt;&gt;"Context and provider model",K930&lt;&gt;"Motivation"),1,0)</f>
        <v>1</v>
      </c>
    </row>
    <row r="931" customFormat="false" ht="15" hidden="false" customHeight="true" outlineLevel="0" collapsed="false">
      <c r="J931" s="1" t="str">
        <f aca="false">'Raw Atomic Data (Pro)'!A931</f>
        <v>Ashley P.</v>
      </c>
      <c r="K931" s="1" t="str">
        <f aca="false">'Raw Atomic Data (Pro)'!C931</f>
        <v>Client acquisition</v>
      </c>
      <c r="L931" s="1" t="str">
        <f aca="false">'Raw Atomic Data (Pro)'!D931</f>
        <v>messaging-platform-mechanics</v>
      </c>
      <c r="M931" s="1" t="str">
        <f aca="false">'Raw Atomic Data (Pro)'!E931</f>
        <v>fact</v>
      </c>
      <c r="N931" s="1" t="n">
        <f aca="false">IF(OR(M931="friction",M931="need",M931="workaround"),1,0)</f>
        <v>0</v>
      </c>
      <c r="O931" s="1" t="n">
        <f aca="false">IF(COUNTIFS($K$2:K931,K931,$L$2:L931,L931,$M$2:M931,M931,$J$2:J931,J931)=1,1,0)</f>
        <v>1</v>
      </c>
      <c r="P931" s="1" t="n">
        <f aca="false">IF(AND(N931=1,S931=1,COUNTIFS($L$2:L931,L931,$J$2:J931,J931,$N$2:N931,1,$S$2:S931,1)=1),1,0)</f>
        <v>0</v>
      </c>
      <c r="Q931" s="1" t="n">
        <f aca="false">IF(AND(N931=1,S931=1,COUNTIFS($L$2:L931,L931,$K$2:K931,K931,$N$2:N931,1,$S$2:S931,1)=1),1,0)</f>
        <v>0</v>
      </c>
      <c r="R931" s="1" t="n">
        <f aca="false">IF(AND(N931=1,COUNTIFS($K$2:K931,K931,$L$2:L931,L931,$J$2:J931,J931,$N$2:N931,1)=1),1,0)</f>
        <v>0</v>
      </c>
      <c r="S931" s="1" t="n">
        <f aca="false">IF(AND(K931&lt;&gt;"Context and provider model",K931&lt;&gt;"Motivation"),1,0)</f>
        <v>1</v>
      </c>
    </row>
    <row r="932" customFormat="false" ht="15" hidden="false" customHeight="true" outlineLevel="0" collapsed="false">
      <c r="J932" s="1" t="str">
        <f aca="false">'Raw Atomic Data (Pro)'!A932</f>
        <v>Ashley P.</v>
      </c>
      <c r="K932" s="1" t="str">
        <f aca="false">'Raw Atomic Data (Pro)'!C932</f>
        <v>Client acquisition</v>
      </c>
      <c r="L932" s="1" t="str">
        <f aca="false">'Raw Atomic Data (Pro)'!D932</f>
        <v>client-acquisition-discovery</v>
      </c>
      <c r="M932" s="1" t="str">
        <f aca="false">'Raw Atomic Data (Pro)'!E932</f>
        <v>fact</v>
      </c>
      <c r="N932" s="1" t="n">
        <f aca="false">IF(OR(M932="friction",M932="need",M932="workaround"),1,0)</f>
        <v>0</v>
      </c>
      <c r="O932" s="1" t="n">
        <f aca="false">IF(COUNTIFS($K$2:K932,K932,$L$2:L932,L932,$M$2:M932,M932,$J$2:J932,J932)=1,1,0)</f>
        <v>0</v>
      </c>
      <c r="P932" s="1" t="n">
        <f aca="false">IF(AND(N932=1,S932=1,COUNTIFS($L$2:L932,L932,$J$2:J932,J932,$N$2:N932,1,$S$2:S932,1)=1),1,0)</f>
        <v>0</v>
      </c>
      <c r="Q932" s="1" t="n">
        <f aca="false">IF(AND(N932=1,S932=1,COUNTIFS($L$2:L932,L932,$K$2:K932,K932,$N$2:N932,1,$S$2:S932,1)=1),1,0)</f>
        <v>0</v>
      </c>
      <c r="R932" s="1" t="n">
        <f aca="false">IF(AND(N932=1,COUNTIFS($K$2:K932,K932,$L$2:L932,L932,$J$2:J932,J932,$N$2:N932,1)=1),1,0)</f>
        <v>0</v>
      </c>
      <c r="S932" s="1" t="n">
        <f aca="false">IF(AND(K932&lt;&gt;"Context and provider model",K932&lt;&gt;"Motivation"),1,0)</f>
        <v>1</v>
      </c>
    </row>
    <row r="933" customFormat="false" ht="15" hidden="false" customHeight="true" outlineLevel="0" collapsed="false">
      <c r="J933" s="1" t="str">
        <f aca="false">'Raw Atomic Data (Pro)'!A933</f>
        <v>Ashley P.</v>
      </c>
      <c r="K933" s="1" t="str">
        <f aca="false">'Raw Atomic Data (Pro)'!C933</f>
        <v>Client acquisition</v>
      </c>
      <c r="L933" s="1" t="str">
        <f aca="false">'Raw Atomic Data (Pro)'!D933</f>
        <v>client-acquisition-discovery</v>
      </c>
      <c r="M933" s="1" t="str">
        <f aca="false">'Raw Atomic Data (Pro)'!E933</f>
        <v>fact</v>
      </c>
      <c r="N933" s="1" t="n">
        <f aca="false">IF(OR(M933="friction",M933="need",M933="workaround"),1,0)</f>
        <v>0</v>
      </c>
      <c r="O933" s="1" t="n">
        <f aca="false">IF(COUNTIFS($K$2:K933,K933,$L$2:L933,L933,$M$2:M933,M933,$J$2:J933,J933)=1,1,0)</f>
        <v>0</v>
      </c>
      <c r="P933" s="1" t="n">
        <f aca="false">IF(AND(N933=1,S933=1,COUNTIFS($L$2:L933,L933,$J$2:J933,J933,$N$2:N933,1,$S$2:S933,1)=1),1,0)</f>
        <v>0</v>
      </c>
      <c r="Q933" s="1" t="n">
        <f aca="false">IF(AND(N933=1,S933=1,COUNTIFS($L$2:L933,L933,$K$2:K933,K933,$N$2:N933,1,$S$2:S933,1)=1),1,0)</f>
        <v>0</v>
      </c>
      <c r="R933" s="1" t="n">
        <f aca="false">IF(AND(N933=1,COUNTIFS($K$2:K933,K933,$L$2:L933,L933,$J$2:J933,J933,$N$2:N933,1)=1),1,0)</f>
        <v>0</v>
      </c>
      <c r="S933" s="1" t="n">
        <f aca="false">IF(AND(K933&lt;&gt;"Context and provider model",K933&lt;&gt;"Motivation"),1,0)</f>
        <v>1</v>
      </c>
    </row>
    <row r="934" customFormat="false" ht="15" hidden="false" customHeight="true" outlineLevel="0" collapsed="false">
      <c r="J934" s="1" t="str">
        <f aca="false">'Raw Atomic Data (Pro)'!A934</f>
        <v>Ashley P.</v>
      </c>
      <c r="K934" s="1" t="str">
        <f aca="false">'Raw Atomic Data (Pro)'!C934</f>
        <v>Evaluation and meet-and-greet</v>
      </c>
      <c r="L934" s="1" t="str">
        <f aca="false">'Raw Atomic Data (Pro)'!D934</f>
        <v>meet-and-greet-process</v>
      </c>
      <c r="M934" s="1" t="str">
        <f aca="false">'Raw Atomic Data (Pro)'!E934</f>
        <v>fact</v>
      </c>
      <c r="N934" s="1" t="n">
        <f aca="false">IF(OR(M934="friction",M934="need",M934="workaround"),1,0)</f>
        <v>0</v>
      </c>
      <c r="O934" s="1" t="n">
        <f aca="false">IF(COUNTIFS($K$2:K934,K934,$L$2:L934,L934,$M$2:M934,M934,$J$2:J934,J934)=1,1,0)</f>
        <v>1</v>
      </c>
      <c r="P934" s="1" t="n">
        <f aca="false">IF(AND(N934=1,S934=1,COUNTIFS($L$2:L934,L934,$J$2:J934,J934,$N$2:N934,1,$S$2:S934,1)=1),1,0)</f>
        <v>0</v>
      </c>
      <c r="Q934" s="1" t="n">
        <f aca="false">IF(AND(N934=1,S934=1,COUNTIFS($L$2:L934,L934,$K$2:K934,K934,$N$2:N934,1,$S$2:S934,1)=1),1,0)</f>
        <v>0</v>
      </c>
      <c r="R934" s="1" t="n">
        <f aca="false">IF(AND(N934=1,COUNTIFS($K$2:K934,K934,$L$2:L934,L934,$J$2:J934,J934,$N$2:N934,1)=1),1,0)</f>
        <v>0</v>
      </c>
      <c r="S934" s="1" t="n">
        <f aca="false">IF(AND(K934&lt;&gt;"Context and provider model",K934&lt;&gt;"Motivation"),1,0)</f>
        <v>1</v>
      </c>
    </row>
    <row r="935" customFormat="false" ht="15" hidden="false" customHeight="true" outlineLevel="0" collapsed="false">
      <c r="J935" s="1" t="str">
        <f aca="false">'Raw Atomic Data (Pro)'!A935</f>
        <v>Ashley P.</v>
      </c>
      <c r="K935" s="1" t="str">
        <f aca="false">'Raw Atomic Data (Pro)'!C935</f>
        <v>Evaluation and meet-and-greet</v>
      </c>
      <c r="L935" s="1" t="str">
        <f aca="false">'Raw Atomic Data (Pro)'!D935</f>
        <v>client-dog-screening-criteria</v>
      </c>
      <c r="M935" s="1" t="str">
        <f aca="false">'Raw Atomic Data (Pro)'!E935</f>
        <v>fact</v>
      </c>
      <c r="N935" s="1" t="n">
        <f aca="false">IF(OR(M935="friction",M935="need",M935="workaround"),1,0)</f>
        <v>0</v>
      </c>
      <c r="O935" s="1" t="n">
        <f aca="false">IF(COUNTIFS($K$2:K935,K935,$L$2:L935,L935,$M$2:M935,M935,$J$2:J935,J935)=1,1,0)</f>
        <v>1</v>
      </c>
      <c r="P935" s="1" t="n">
        <f aca="false">IF(AND(N935=1,S935=1,COUNTIFS($L$2:L935,L935,$J$2:J935,J935,$N$2:N935,1,$S$2:S935,1)=1),1,0)</f>
        <v>0</v>
      </c>
      <c r="Q935" s="1" t="n">
        <f aca="false">IF(AND(N935=1,S935=1,COUNTIFS($L$2:L935,L935,$K$2:K935,K935,$N$2:N935,1,$S$2:S935,1)=1),1,0)</f>
        <v>0</v>
      </c>
      <c r="R935" s="1" t="n">
        <f aca="false">IF(AND(N935=1,COUNTIFS($K$2:K935,K935,$L$2:L935,L935,$J$2:J935,J935,$N$2:N935,1)=1),1,0)</f>
        <v>0</v>
      </c>
      <c r="S935" s="1" t="n">
        <f aca="false">IF(AND(K935&lt;&gt;"Context and provider model",K935&lt;&gt;"Motivation"),1,0)</f>
        <v>1</v>
      </c>
    </row>
    <row r="936" customFormat="false" ht="15" hidden="false" customHeight="true" outlineLevel="0" collapsed="false">
      <c r="J936" s="1" t="str">
        <f aca="false">'Raw Atomic Data (Pro)'!A936</f>
        <v>Ashley P.</v>
      </c>
      <c r="K936" s="1" t="str">
        <f aca="false">'Raw Atomic Data (Pro)'!C936</f>
        <v>Evaluation and meet-and-greet</v>
      </c>
      <c r="L936" s="1" t="str">
        <f aca="false">'Raw Atomic Data (Pro)'!D936</f>
        <v>messaging-platform-mechanics</v>
      </c>
      <c r="M936" s="1" t="str">
        <f aca="false">'Raw Atomic Data (Pro)'!E936</f>
        <v>friction</v>
      </c>
      <c r="N936" s="1" t="n">
        <f aca="false">IF(OR(M936="friction",M936="need",M936="workaround"),1,0)</f>
        <v>1</v>
      </c>
      <c r="O936" s="1" t="n">
        <f aca="false">IF(COUNTIFS($K$2:K936,K936,$L$2:L936,L936,$M$2:M936,M936,$J$2:J936,J936)=1,1,0)</f>
        <v>1</v>
      </c>
      <c r="P936" s="1" t="n">
        <f aca="false">IF(AND(N936=1,S936=1,COUNTIFS($L$2:L936,L936,$J$2:J936,J936,$N$2:N936,1,$S$2:S936,1)=1),1,0)</f>
        <v>1</v>
      </c>
      <c r="Q936" s="1" t="n">
        <f aca="false">IF(AND(N936=1,S936=1,COUNTIFS($L$2:L936,L936,$K$2:K936,K936,$N$2:N936,1,$S$2:S936,1)=1),1,0)</f>
        <v>1</v>
      </c>
      <c r="R936" s="1" t="n">
        <f aca="false">IF(AND(N936=1,COUNTIFS($K$2:K936,K936,$L$2:L936,L936,$J$2:J936,J936,$N$2:N936,1)=1),1,0)</f>
        <v>1</v>
      </c>
      <c r="S936" s="1" t="n">
        <f aca="false">IF(AND(K936&lt;&gt;"Context and provider model",K936&lt;&gt;"Motivation"),1,0)</f>
        <v>1</v>
      </c>
    </row>
    <row r="937" customFormat="false" ht="15" hidden="false" customHeight="true" outlineLevel="0" collapsed="false">
      <c r="J937" s="1" t="str">
        <f aca="false">'Raw Atomic Data (Pro)'!A937</f>
        <v>Ashley P.</v>
      </c>
      <c r="K937" s="1" t="str">
        <f aca="false">'Raw Atomic Data (Pro)'!C937</f>
        <v>Evaluation and meet-and-greet</v>
      </c>
      <c r="L937" s="1" t="str">
        <f aca="false">'Raw Atomic Data (Pro)'!D937</f>
        <v>meet-and-greet-process</v>
      </c>
      <c r="M937" s="1" t="str">
        <f aca="false">'Raw Atomic Data (Pro)'!E937</f>
        <v>fact</v>
      </c>
      <c r="N937" s="1" t="n">
        <f aca="false">IF(OR(M937="friction",M937="need",M937="workaround"),1,0)</f>
        <v>0</v>
      </c>
      <c r="O937" s="1" t="n">
        <f aca="false">IF(COUNTIFS($K$2:K937,K937,$L$2:L937,L937,$M$2:M937,M937,$J$2:J937,J937)=1,1,0)</f>
        <v>0</v>
      </c>
      <c r="P937" s="1" t="n">
        <f aca="false">IF(AND(N937=1,S937=1,COUNTIFS($L$2:L937,L937,$J$2:J937,J937,$N$2:N937,1,$S$2:S937,1)=1),1,0)</f>
        <v>0</v>
      </c>
      <c r="Q937" s="1" t="n">
        <f aca="false">IF(AND(N937=1,S937=1,COUNTIFS($L$2:L937,L937,$K$2:K937,K937,$N$2:N937,1,$S$2:S937,1)=1),1,0)</f>
        <v>0</v>
      </c>
      <c r="R937" s="1" t="n">
        <f aca="false">IF(AND(N937=1,COUNTIFS($K$2:K937,K937,$L$2:L937,L937,$J$2:J937,J937,$N$2:N937,1)=1),1,0)</f>
        <v>0</v>
      </c>
      <c r="S937" s="1" t="n">
        <f aca="false">IF(AND(K937&lt;&gt;"Context and provider model",K937&lt;&gt;"Motivation"),1,0)</f>
        <v>1</v>
      </c>
    </row>
    <row r="938" customFormat="false" ht="15" hidden="false" customHeight="true" outlineLevel="0" collapsed="false">
      <c r="J938" s="1" t="str">
        <f aca="false">'Raw Atomic Data (Pro)'!A938</f>
        <v>Ashley P.</v>
      </c>
      <c r="K938" s="1" t="str">
        <f aca="false">'Raw Atomic Data (Pro)'!C938</f>
        <v>Evaluation and meet-and-greet</v>
      </c>
      <c r="L938" s="1" t="str">
        <f aca="false">'Raw Atomic Data (Pro)'!D938</f>
        <v>meet-and-greet-process</v>
      </c>
      <c r="M938" s="1" t="str">
        <f aca="false">'Raw Atomic Data (Pro)'!E938</f>
        <v>fact</v>
      </c>
      <c r="N938" s="1" t="n">
        <f aca="false">IF(OR(M938="friction",M938="need",M938="workaround"),1,0)</f>
        <v>0</v>
      </c>
      <c r="O938" s="1" t="n">
        <f aca="false">IF(COUNTIFS($K$2:K938,K938,$L$2:L938,L938,$M$2:M938,M938,$J$2:J938,J938)=1,1,0)</f>
        <v>0</v>
      </c>
      <c r="P938" s="1" t="n">
        <f aca="false">IF(AND(N938=1,S938=1,COUNTIFS($L$2:L938,L938,$J$2:J938,J938,$N$2:N938,1,$S$2:S938,1)=1),1,0)</f>
        <v>0</v>
      </c>
      <c r="Q938" s="1" t="n">
        <f aca="false">IF(AND(N938=1,S938=1,COUNTIFS($L$2:L938,L938,$K$2:K938,K938,$N$2:N938,1,$S$2:S938,1)=1),1,0)</f>
        <v>0</v>
      </c>
      <c r="R938" s="1" t="n">
        <f aca="false">IF(AND(N938=1,COUNTIFS($K$2:K938,K938,$L$2:L938,L938,$J$2:J938,J938,$N$2:N938,1)=1),1,0)</f>
        <v>0</v>
      </c>
      <c r="S938" s="1" t="n">
        <f aca="false">IF(AND(K938&lt;&gt;"Context and provider model",K938&lt;&gt;"Motivation"),1,0)</f>
        <v>1</v>
      </c>
    </row>
    <row r="939" customFormat="false" ht="15" hidden="false" customHeight="true" outlineLevel="0" collapsed="false">
      <c r="J939" s="1" t="str">
        <f aca="false">'Raw Atomic Data (Pro)'!A939</f>
        <v>Ashley P.</v>
      </c>
      <c r="K939" s="1" t="str">
        <f aca="false">'Raw Atomic Data (Pro)'!C939</f>
        <v>Booking and availability</v>
      </c>
      <c r="L939" s="1" t="str">
        <f aca="false">'Raw Atomic Data (Pro)'!D939</f>
        <v>calendar-scheduling-tools</v>
      </c>
      <c r="M939" s="1" t="str">
        <f aca="false">'Raw Atomic Data (Pro)'!E939</f>
        <v>fact</v>
      </c>
      <c r="N939" s="1" t="n">
        <f aca="false">IF(OR(M939="friction",M939="need",M939="workaround"),1,0)</f>
        <v>0</v>
      </c>
      <c r="O939" s="1" t="n">
        <f aca="false">IF(COUNTIFS($K$2:K939,K939,$L$2:L939,L939,$M$2:M939,M939,$J$2:J939,J939)=1,1,0)</f>
        <v>1</v>
      </c>
      <c r="P939" s="1" t="n">
        <f aca="false">IF(AND(N939=1,S939=1,COUNTIFS($L$2:L939,L939,$J$2:J939,J939,$N$2:N939,1,$S$2:S939,1)=1),1,0)</f>
        <v>0</v>
      </c>
      <c r="Q939" s="1" t="n">
        <f aca="false">IF(AND(N939=1,S939=1,COUNTIFS($L$2:L939,L939,$K$2:K939,K939,$N$2:N939,1,$S$2:S939,1)=1),1,0)</f>
        <v>0</v>
      </c>
      <c r="R939" s="1" t="n">
        <f aca="false">IF(AND(N939=1,COUNTIFS($K$2:K939,K939,$L$2:L939,L939,$J$2:J939,J939,$N$2:N939,1)=1),1,0)</f>
        <v>0</v>
      </c>
      <c r="S939" s="1" t="n">
        <f aca="false">IF(AND(K939&lt;&gt;"Context and provider model",K939&lt;&gt;"Motivation"),1,0)</f>
        <v>1</v>
      </c>
    </row>
    <row r="940" customFormat="false" ht="15" hidden="false" customHeight="true" outlineLevel="0" collapsed="false">
      <c r="J940" s="1" t="str">
        <f aca="false">'Raw Atomic Data (Pro)'!A940</f>
        <v>Ashley P.</v>
      </c>
      <c r="K940" s="1" t="str">
        <f aca="false">'Raw Atomic Data (Pro)'!C940</f>
        <v>Booking and availability</v>
      </c>
      <c r="L940" s="1" t="str">
        <f aca="false">'Raw Atomic Data (Pro)'!D940</f>
        <v>calendar-scheduling-tools</v>
      </c>
      <c r="M940" s="1" t="str">
        <f aca="false">'Raw Atomic Data (Pro)'!E940</f>
        <v>fact</v>
      </c>
      <c r="N940" s="1" t="n">
        <f aca="false">IF(OR(M940="friction",M940="need",M940="workaround"),1,0)</f>
        <v>0</v>
      </c>
      <c r="O940" s="1" t="n">
        <f aca="false">IF(COUNTIFS($K$2:K940,K940,$L$2:L940,L940,$M$2:M940,M940,$J$2:J940,J940)=1,1,0)</f>
        <v>0</v>
      </c>
      <c r="P940" s="1" t="n">
        <f aca="false">IF(AND(N940=1,S940=1,COUNTIFS($L$2:L940,L940,$J$2:J940,J940,$N$2:N940,1,$S$2:S940,1)=1),1,0)</f>
        <v>0</v>
      </c>
      <c r="Q940" s="1" t="n">
        <f aca="false">IF(AND(N940=1,S940=1,COUNTIFS($L$2:L940,L940,$K$2:K940,K940,$N$2:N940,1,$S$2:S940,1)=1),1,0)</f>
        <v>0</v>
      </c>
      <c r="R940" s="1" t="n">
        <f aca="false">IF(AND(N940=1,COUNTIFS($K$2:K940,K940,$L$2:L940,L940,$J$2:J940,J940,$N$2:N940,1)=1),1,0)</f>
        <v>0</v>
      </c>
      <c r="S940" s="1" t="n">
        <f aca="false">IF(AND(K940&lt;&gt;"Context and provider model",K940&lt;&gt;"Motivation"),1,0)</f>
        <v>1</v>
      </c>
    </row>
    <row r="941" customFormat="false" ht="15" hidden="false" customHeight="true" outlineLevel="0" collapsed="false">
      <c r="J941" s="1" t="str">
        <f aca="false">'Raw Atomic Data (Pro)'!A941</f>
        <v>Ashley P.</v>
      </c>
      <c r="K941" s="1" t="str">
        <f aca="false">'Raw Atomic Data (Pro)'!C941</f>
        <v>Booking and availability</v>
      </c>
      <c r="L941" s="1" t="str">
        <f aca="false">'Raw Atomic Data (Pro)'!D941</f>
        <v>calendar-scheduling-tools</v>
      </c>
      <c r="M941" s="1" t="str">
        <f aca="false">'Raw Atomic Data (Pro)'!E941</f>
        <v>workaround</v>
      </c>
      <c r="N941" s="1" t="n">
        <f aca="false">IF(OR(M941="friction",M941="need",M941="workaround"),1,0)</f>
        <v>1</v>
      </c>
      <c r="O941" s="1" t="n">
        <f aca="false">IF(COUNTIFS($K$2:K941,K941,$L$2:L941,L941,$M$2:M941,M941,$J$2:J941,J941)=1,1,0)</f>
        <v>1</v>
      </c>
      <c r="P941" s="1" t="n">
        <f aca="false">IF(AND(N941=1,S941=1,COUNTIFS($L$2:L941,L941,$J$2:J941,J941,$N$2:N941,1,$S$2:S941,1)=1),1,0)</f>
        <v>1</v>
      </c>
      <c r="Q941" s="1" t="n">
        <f aca="false">IF(AND(N941=1,S941=1,COUNTIFS($L$2:L941,L941,$K$2:K941,K941,$N$2:N941,1,$S$2:S941,1)=1),1,0)</f>
        <v>0</v>
      </c>
      <c r="R941" s="1" t="n">
        <f aca="false">IF(AND(N941=1,COUNTIFS($K$2:K941,K941,$L$2:L941,L941,$J$2:J941,J941,$N$2:N941,1)=1),1,0)</f>
        <v>1</v>
      </c>
      <c r="S941" s="1" t="n">
        <f aca="false">IF(AND(K941&lt;&gt;"Context and provider model",K941&lt;&gt;"Motivation"),1,0)</f>
        <v>1</v>
      </c>
    </row>
    <row r="942" customFormat="false" ht="15" hidden="false" customHeight="true" outlineLevel="0" collapsed="false">
      <c r="J942" s="1" t="str">
        <f aca="false">'Raw Atomic Data (Pro)'!A942</f>
        <v>Ashley P.</v>
      </c>
      <c r="K942" s="1" t="str">
        <f aca="false">'Raw Atomic Data (Pro)'!C942</f>
        <v>Booking and availability</v>
      </c>
      <c r="L942" s="1" t="str">
        <f aca="false">'Raw Atomic Data (Pro)'!D942</f>
        <v>meet-and-greet-process</v>
      </c>
      <c r="M942" s="1" t="str">
        <f aca="false">'Raw Atomic Data (Pro)'!E942</f>
        <v>friction</v>
      </c>
      <c r="N942" s="1" t="n">
        <f aca="false">IF(OR(M942="friction",M942="need",M942="workaround"),1,0)</f>
        <v>1</v>
      </c>
      <c r="O942" s="1" t="n">
        <f aca="false">IF(COUNTIFS($K$2:K942,K942,$L$2:L942,L942,$M$2:M942,M942,$J$2:J942,J942)=1,1,0)</f>
        <v>1</v>
      </c>
      <c r="P942" s="1" t="n">
        <f aca="false">IF(AND(N942=1,S942=1,COUNTIFS($L$2:L942,L942,$J$2:J942,J942,$N$2:N942,1,$S$2:S942,1)=1),1,0)</f>
        <v>1</v>
      </c>
      <c r="Q942" s="1" t="n">
        <f aca="false">IF(AND(N942=1,S942=1,COUNTIFS($L$2:L942,L942,$K$2:K942,K942,$N$2:N942,1,$S$2:S942,1)=1),1,0)</f>
        <v>0</v>
      </c>
      <c r="R942" s="1" t="n">
        <f aca="false">IF(AND(N942=1,COUNTIFS($K$2:K942,K942,$L$2:L942,L942,$J$2:J942,J942,$N$2:N942,1)=1),1,0)</f>
        <v>1</v>
      </c>
      <c r="S942" s="1" t="n">
        <f aca="false">IF(AND(K942&lt;&gt;"Context and provider model",K942&lt;&gt;"Motivation"),1,0)</f>
        <v>1</v>
      </c>
    </row>
    <row r="943" customFormat="false" ht="15" hidden="false" customHeight="true" outlineLevel="0" collapsed="false">
      <c r="J943" s="1" t="str">
        <f aca="false">'Raw Atomic Data (Pro)'!A943</f>
        <v>Ashley P.</v>
      </c>
      <c r="K943" s="1" t="str">
        <f aca="false">'Raw Atomic Data (Pro)'!C943</f>
        <v>Booking and availability</v>
      </c>
      <c r="L943" s="1" t="str">
        <f aca="false">'Raw Atomic Data (Pro)'!D943</f>
        <v>meet-and-greet-process</v>
      </c>
      <c r="M943" s="1" t="str">
        <f aca="false">'Raw Atomic Data (Pro)'!E943</f>
        <v>need</v>
      </c>
      <c r="N943" s="1" t="n">
        <f aca="false">IF(OR(M943="friction",M943="need",M943="workaround"),1,0)</f>
        <v>1</v>
      </c>
      <c r="O943" s="1" t="n">
        <f aca="false">IF(COUNTIFS($K$2:K943,K943,$L$2:L943,L943,$M$2:M943,M943,$J$2:J943,J943)=1,1,0)</f>
        <v>1</v>
      </c>
      <c r="P943" s="1" t="n">
        <f aca="false">IF(AND(N943=1,S943=1,COUNTIFS($L$2:L943,L943,$J$2:J943,J943,$N$2:N943,1,$S$2:S943,1)=1),1,0)</f>
        <v>0</v>
      </c>
      <c r="Q943" s="1" t="n">
        <f aca="false">IF(AND(N943=1,S943=1,COUNTIFS($L$2:L943,L943,$K$2:K943,K943,$N$2:N943,1,$S$2:S943,1)=1),1,0)</f>
        <v>0</v>
      </c>
      <c r="R943" s="1" t="n">
        <f aca="false">IF(AND(N943=1,COUNTIFS($K$2:K943,K943,$L$2:L943,L943,$J$2:J943,J943,$N$2:N943,1)=1),1,0)</f>
        <v>0</v>
      </c>
      <c r="S943" s="1" t="n">
        <f aca="false">IF(AND(K943&lt;&gt;"Context and provider model",K943&lt;&gt;"Motivation"),1,0)</f>
        <v>1</v>
      </c>
    </row>
    <row r="944" customFormat="false" ht="15" hidden="false" customHeight="true" outlineLevel="0" collapsed="false">
      <c r="J944" s="1" t="str">
        <f aca="false">'Raw Atomic Data (Pro)'!A944</f>
        <v>Ashley P.</v>
      </c>
      <c r="K944" s="1" t="str">
        <f aca="false">'Raw Atomic Data (Pro)'!C944</f>
        <v>Booking and availability</v>
      </c>
      <c r="L944" s="1" t="str">
        <f aca="false">'Raw Atomic Data (Pro)'!D944</f>
        <v>business-model-fit</v>
      </c>
      <c r="M944" s="1" t="str">
        <f aca="false">'Raw Atomic Data (Pro)'!E944</f>
        <v>fact</v>
      </c>
      <c r="N944" s="1" t="n">
        <f aca="false">IF(OR(M944="friction",M944="need",M944="workaround"),1,0)</f>
        <v>0</v>
      </c>
      <c r="O944" s="1" t="n">
        <f aca="false">IF(COUNTIFS($K$2:K944,K944,$L$2:L944,L944,$M$2:M944,M944,$J$2:J944,J944)=1,1,0)</f>
        <v>1</v>
      </c>
      <c r="P944" s="1" t="n">
        <f aca="false">IF(AND(N944=1,S944=1,COUNTIFS($L$2:L944,L944,$J$2:J944,J944,$N$2:N944,1,$S$2:S944,1)=1),1,0)</f>
        <v>0</v>
      </c>
      <c r="Q944" s="1" t="n">
        <f aca="false">IF(AND(N944=1,S944=1,COUNTIFS($L$2:L944,L944,$K$2:K944,K944,$N$2:N944,1,$S$2:S944,1)=1),1,0)</f>
        <v>0</v>
      </c>
      <c r="R944" s="1" t="n">
        <f aca="false">IF(AND(N944=1,COUNTIFS($K$2:K944,K944,$L$2:L944,L944,$J$2:J944,J944,$N$2:N944,1)=1),1,0)</f>
        <v>0</v>
      </c>
      <c r="S944" s="1" t="n">
        <f aca="false">IF(AND(K944&lt;&gt;"Context and provider model",K944&lt;&gt;"Motivation"),1,0)</f>
        <v>1</v>
      </c>
    </row>
    <row r="945" customFormat="false" ht="15" hidden="false" customHeight="true" outlineLevel="0" collapsed="false">
      <c r="J945" s="1" t="str">
        <f aca="false">'Raw Atomic Data (Pro)'!A945</f>
        <v>Ashley P.</v>
      </c>
      <c r="K945" s="1" t="str">
        <f aca="false">'Raw Atomic Data (Pro)'!C945</f>
        <v>Sitting preparation</v>
      </c>
      <c r="L945" s="1" t="str">
        <f aca="false">'Raw Atomic Data (Pro)'!D945</f>
        <v>care-instructions-handoff</v>
      </c>
      <c r="M945" s="1" t="str">
        <f aca="false">'Raw Atomic Data (Pro)'!E945</f>
        <v>fact</v>
      </c>
      <c r="N945" s="1" t="n">
        <f aca="false">IF(OR(M945="friction",M945="need",M945="workaround"),1,0)</f>
        <v>0</v>
      </c>
      <c r="O945" s="1" t="n">
        <f aca="false">IF(COUNTIFS($K$2:K945,K945,$L$2:L945,L945,$M$2:M945,M945,$J$2:J945,J945)=1,1,0)</f>
        <v>1</v>
      </c>
      <c r="P945" s="1" t="n">
        <f aca="false">IF(AND(N945=1,S945=1,COUNTIFS($L$2:L945,L945,$J$2:J945,J945,$N$2:N945,1,$S$2:S945,1)=1),1,0)</f>
        <v>0</v>
      </c>
      <c r="Q945" s="1" t="n">
        <f aca="false">IF(AND(N945=1,S945=1,COUNTIFS($L$2:L945,L945,$K$2:K945,K945,$N$2:N945,1,$S$2:S945,1)=1),1,0)</f>
        <v>0</v>
      </c>
      <c r="R945" s="1" t="n">
        <f aca="false">IF(AND(N945=1,COUNTIFS($K$2:K945,K945,$L$2:L945,L945,$J$2:J945,J945,$N$2:N945,1)=1),1,0)</f>
        <v>0</v>
      </c>
      <c r="S945" s="1" t="n">
        <f aca="false">IF(AND(K945&lt;&gt;"Context and provider model",K945&lt;&gt;"Motivation"),1,0)</f>
        <v>1</v>
      </c>
    </row>
    <row r="946" customFormat="false" ht="15" hidden="false" customHeight="true" outlineLevel="0" collapsed="false">
      <c r="J946" s="1" t="str">
        <f aca="false">'Raw Atomic Data (Pro)'!A946</f>
        <v>Ashley P.</v>
      </c>
      <c r="K946" s="1" t="str">
        <f aca="false">'Raw Atomic Data (Pro)'!C946</f>
        <v>Sitting preparation</v>
      </c>
      <c r="L946" s="1" t="str">
        <f aca="false">'Raw Atomic Data (Pro)'!D946</f>
        <v>care-instructions-handoff</v>
      </c>
      <c r="M946" s="1" t="str">
        <f aca="false">'Raw Atomic Data (Pro)'!E946</f>
        <v>fact</v>
      </c>
      <c r="N946" s="1" t="n">
        <f aca="false">IF(OR(M946="friction",M946="need",M946="workaround"),1,0)</f>
        <v>0</v>
      </c>
      <c r="O946" s="1" t="n">
        <f aca="false">IF(COUNTIFS($K$2:K946,K946,$L$2:L946,L946,$M$2:M946,M946,$J$2:J946,J946)=1,1,0)</f>
        <v>0</v>
      </c>
      <c r="P946" s="1" t="n">
        <f aca="false">IF(AND(N946=1,S946=1,COUNTIFS($L$2:L946,L946,$J$2:J946,J946,$N$2:N946,1,$S$2:S946,1)=1),1,0)</f>
        <v>0</v>
      </c>
      <c r="Q946" s="1" t="n">
        <f aca="false">IF(AND(N946=1,S946=1,COUNTIFS($L$2:L946,L946,$K$2:K946,K946,$N$2:N946,1,$S$2:S946,1)=1),1,0)</f>
        <v>0</v>
      </c>
      <c r="R946" s="1" t="n">
        <f aca="false">IF(AND(N946=1,COUNTIFS($K$2:K946,K946,$L$2:L946,L946,$J$2:J946,J946,$N$2:N946,1)=1),1,0)</f>
        <v>0</v>
      </c>
      <c r="S946" s="1" t="n">
        <f aca="false">IF(AND(K946&lt;&gt;"Context and provider model",K946&lt;&gt;"Motivation"),1,0)</f>
        <v>1</v>
      </c>
    </row>
    <row r="947" customFormat="false" ht="15" hidden="false" customHeight="true" outlineLevel="0" collapsed="false">
      <c r="J947" s="1" t="str">
        <f aca="false">'Raw Atomic Data (Pro)'!A947</f>
        <v>Ashley P.</v>
      </c>
      <c r="K947" s="1" t="str">
        <f aca="false">'Raw Atomic Data (Pro)'!C947</f>
        <v>Sitting preparation</v>
      </c>
      <c r="L947" s="1" t="str">
        <f aca="false">'Raw Atomic Data (Pro)'!D947</f>
        <v>care-instructions-handoff</v>
      </c>
      <c r="M947" s="1" t="str">
        <f aca="false">'Raw Atomic Data (Pro)'!E947</f>
        <v>need</v>
      </c>
      <c r="N947" s="1" t="n">
        <f aca="false">IF(OR(M947="friction",M947="need",M947="workaround"),1,0)</f>
        <v>1</v>
      </c>
      <c r="O947" s="1" t="n">
        <f aca="false">IF(COUNTIFS($K$2:K947,K947,$L$2:L947,L947,$M$2:M947,M947,$J$2:J947,J947)=1,1,0)</f>
        <v>1</v>
      </c>
      <c r="P947" s="1" t="n">
        <f aca="false">IF(AND(N947=1,S947=1,COUNTIFS($L$2:L947,L947,$J$2:J947,J947,$N$2:N947,1,$S$2:S947,1)=1),1,0)</f>
        <v>1</v>
      </c>
      <c r="Q947" s="1" t="n">
        <f aca="false">IF(AND(N947=1,S947=1,COUNTIFS($L$2:L947,L947,$K$2:K947,K947,$N$2:N947,1,$S$2:S947,1)=1),1,0)</f>
        <v>0</v>
      </c>
      <c r="R947" s="1" t="n">
        <f aca="false">IF(AND(N947=1,COUNTIFS($K$2:K947,K947,$L$2:L947,L947,$J$2:J947,J947,$N$2:N947,1)=1),1,0)</f>
        <v>1</v>
      </c>
      <c r="S947" s="1" t="n">
        <f aca="false">IF(AND(K947&lt;&gt;"Context and provider model",K947&lt;&gt;"Motivation"),1,0)</f>
        <v>1</v>
      </c>
    </row>
    <row r="948" customFormat="false" ht="15" hidden="false" customHeight="true" outlineLevel="0" collapsed="false">
      <c r="J948" s="1" t="str">
        <f aca="false">'Raw Atomic Data (Pro)'!A948</f>
        <v>Ashley P.</v>
      </c>
      <c r="K948" s="1" t="str">
        <f aca="false">'Raw Atomic Data (Pro)'!C948</f>
        <v>Sitting preparation</v>
      </c>
      <c r="L948" s="1" t="str">
        <f aca="false">'Raw Atomic Data (Pro)'!D948</f>
        <v>care-instructions-handoff</v>
      </c>
      <c r="M948" s="1" t="str">
        <f aca="false">'Raw Atomic Data (Pro)'!E948</f>
        <v>need</v>
      </c>
      <c r="N948" s="1" t="n">
        <f aca="false">IF(OR(M948="friction",M948="need",M948="workaround"),1,0)</f>
        <v>1</v>
      </c>
      <c r="O948" s="1" t="n">
        <f aca="false">IF(COUNTIFS($K$2:K948,K948,$L$2:L948,L948,$M$2:M948,M948,$J$2:J948,J948)=1,1,0)</f>
        <v>0</v>
      </c>
      <c r="P948" s="1" t="n">
        <f aca="false">IF(AND(N948=1,S948=1,COUNTIFS($L$2:L948,L948,$J$2:J948,J948,$N$2:N948,1,$S$2:S948,1)=1),1,0)</f>
        <v>0</v>
      </c>
      <c r="Q948" s="1" t="n">
        <f aca="false">IF(AND(N948=1,S948=1,COUNTIFS($L$2:L948,L948,$K$2:K948,K948,$N$2:N948,1,$S$2:S948,1)=1),1,0)</f>
        <v>0</v>
      </c>
      <c r="R948" s="1" t="n">
        <f aca="false">IF(AND(N948=1,COUNTIFS($K$2:K948,K948,$L$2:L948,L948,$J$2:J948,J948,$N$2:N948,1)=1),1,0)</f>
        <v>0</v>
      </c>
      <c r="S948" s="1" t="n">
        <f aca="false">IF(AND(K948&lt;&gt;"Context and provider model",K948&lt;&gt;"Motivation"),1,0)</f>
        <v>1</v>
      </c>
    </row>
    <row r="949" customFormat="false" ht="15" hidden="false" customHeight="true" outlineLevel="0" collapsed="false">
      <c r="J949" s="1" t="str">
        <f aca="false">'Raw Atomic Data (Pro)'!A949</f>
        <v>Ashley P.</v>
      </c>
      <c r="K949" s="1" t="str">
        <f aca="false">'Raw Atomic Data (Pro)'!C949</f>
        <v>Service delivery</v>
      </c>
      <c r="L949" s="1" t="str">
        <f aca="false">'Raw Atomic Data (Pro)'!D949</f>
        <v>daily-care-tasks</v>
      </c>
      <c r="M949" s="1" t="str">
        <f aca="false">'Raw Atomic Data (Pro)'!E949</f>
        <v>fact</v>
      </c>
      <c r="N949" s="1" t="n">
        <f aca="false">IF(OR(M949="friction",M949="need",M949="workaround"),1,0)</f>
        <v>0</v>
      </c>
      <c r="O949" s="1" t="n">
        <f aca="false">IF(COUNTIFS($K$2:K949,K949,$L$2:L949,L949,$M$2:M949,M949,$J$2:J949,J949)=1,1,0)</f>
        <v>1</v>
      </c>
      <c r="P949" s="1" t="n">
        <f aca="false">IF(AND(N949=1,S949=1,COUNTIFS($L$2:L949,L949,$J$2:J949,J949,$N$2:N949,1,$S$2:S949,1)=1),1,0)</f>
        <v>0</v>
      </c>
      <c r="Q949" s="1" t="n">
        <f aca="false">IF(AND(N949=1,S949=1,COUNTIFS($L$2:L949,L949,$K$2:K949,K949,$N$2:N949,1,$S$2:S949,1)=1),1,0)</f>
        <v>0</v>
      </c>
      <c r="R949" s="1" t="n">
        <f aca="false">IF(AND(N949=1,COUNTIFS($K$2:K949,K949,$L$2:L949,L949,$J$2:J949,J949,$N$2:N949,1)=1),1,0)</f>
        <v>0</v>
      </c>
      <c r="S949" s="1" t="n">
        <f aca="false">IF(AND(K949&lt;&gt;"Context and provider model",K949&lt;&gt;"Motivation"),1,0)</f>
        <v>1</v>
      </c>
    </row>
    <row r="950" customFormat="false" ht="15" hidden="false" customHeight="true" outlineLevel="0" collapsed="false">
      <c r="J950" s="1" t="str">
        <f aca="false">'Raw Atomic Data (Pro)'!A950</f>
        <v>Ashley P.</v>
      </c>
      <c r="K950" s="1" t="str">
        <f aca="false">'Raw Atomic Data (Pro)'!C950</f>
        <v>Service delivery</v>
      </c>
      <c r="L950" s="1" t="str">
        <f aca="false">'Raw Atomic Data (Pro)'!D950</f>
        <v>daily-care-tasks</v>
      </c>
      <c r="M950" s="1" t="str">
        <f aca="false">'Raw Atomic Data (Pro)'!E950</f>
        <v>friction</v>
      </c>
      <c r="N950" s="1" t="n">
        <f aca="false">IF(OR(M950="friction",M950="need",M950="workaround"),1,0)</f>
        <v>1</v>
      </c>
      <c r="O950" s="1" t="n">
        <f aca="false">IF(COUNTIFS($K$2:K950,K950,$L$2:L950,L950,$M$2:M950,M950,$J$2:J950,J950)=1,1,0)</f>
        <v>1</v>
      </c>
      <c r="P950" s="1" t="n">
        <f aca="false">IF(AND(N950=1,S950=1,COUNTIFS($L$2:L950,L950,$J$2:J950,J950,$N$2:N950,1,$S$2:S950,1)=1),1,0)</f>
        <v>1</v>
      </c>
      <c r="Q950" s="1" t="n">
        <f aca="false">IF(AND(N950=1,S950=1,COUNTIFS($L$2:L950,L950,$K$2:K950,K950,$N$2:N950,1,$S$2:S950,1)=1),1,0)</f>
        <v>0</v>
      </c>
      <c r="R950" s="1" t="n">
        <f aca="false">IF(AND(N950=1,COUNTIFS($K$2:K950,K950,$L$2:L950,L950,$J$2:J950,J950,$N$2:N950,1)=1),1,0)</f>
        <v>1</v>
      </c>
      <c r="S950" s="1" t="n">
        <f aca="false">IF(AND(K950&lt;&gt;"Context and provider model",K950&lt;&gt;"Motivation"),1,0)</f>
        <v>1</v>
      </c>
    </row>
    <row r="951" customFormat="false" ht="15" hidden="false" customHeight="true" outlineLevel="0" collapsed="false">
      <c r="J951" s="1" t="str">
        <f aca="false">'Raw Atomic Data (Pro)'!A951</f>
        <v>Ashley P.</v>
      </c>
      <c r="K951" s="1" t="str">
        <f aca="false">'Raw Atomic Data (Pro)'!C951</f>
        <v>Service delivery</v>
      </c>
      <c r="L951" s="1" t="str">
        <f aca="false">'Raw Atomic Data (Pro)'!D951</f>
        <v>daily-care-tasks</v>
      </c>
      <c r="M951" s="1" t="str">
        <f aca="false">'Raw Atomic Data (Pro)'!E951</f>
        <v>value-statement</v>
      </c>
      <c r="N951" s="1" t="n">
        <f aca="false">IF(OR(M951="friction",M951="need",M951="workaround"),1,0)</f>
        <v>0</v>
      </c>
      <c r="O951" s="1" t="n">
        <f aca="false">IF(COUNTIFS($K$2:K951,K951,$L$2:L951,L951,$M$2:M951,M951,$J$2:J951,J951)=1,1,0)</f>
        <v>1</v>
      </c>
      <c r="P951" s="1" t="n">
        <f aca="false">IF(AND(N951=1,S951=1,COUNTIFS($L$2:L951,L951,$J$2:J951,J951,$N$2:N951,1,$S$2:S951,1)=1),1,0)</f>
        <v>0</v>
      </c>
      <c r="Q951" s="1" t="n">
        <f aca="false">IF(AND(N951=1,S951=1,COUNTIFS($L$2:L951,L951,$K$2:K951,K951,$N$2:N951,1,$S$2:S951,1)=1),1,0)</f>
        <v>0</v>
      </c>
      <c r="R951" s="1" t="n">
        <f aca="false">IF(AND(N951=1,COUNTIFS($K$2:K951,K951,$L$2:L951,L951,$J$2:J951,J951,$N$2:N951,1)=1),1,0)</f>
        <v>0</v>
      </c>
      <c r="S951" s="1" t="n">
        <f aca="false">IF(AND(K951&lt;&gt;"Context and provider model",K951&lt;&gt;"Motivation"),1,0)</f>
        <v>1</v>
      </c>
    </row>
    <row r="952" customFormat="false" ht="15" hidden="false" customHeight="true" outlineLevel="0" collapsed="false">
      <c r="J952" s="1" t="str">
        <f aca="false">'Raw Atomic Data (Pro)'!A952</f>
        <v>Ashley P.</v>
      </c>
      <c r="K952" s="1" t="str">
        <f aca="false">'Raw Atomic Data (Pro)'!C952</f>
        <v>Service delivery</v>
      </c>
      <c r="L952" s="1" t="str">
        <f aca="false">'Raw Atomic Data (Pro)'!D952</f>
        <v>daily-care-tasks</v>
      </c>
      <c r="M952" s="1" t="str">
        <f aca="false">'Raw Atomic Data (Pro)'!E952</f>
        <v>need</v>
      </c>
      <c r="N952" s="1" t="n">
        <f aca="false">IF(OR(M952="friction",M952="need",M952="workaround"),1,0)</f>
        <v>1</v>
      </c>
      <c r="O952" s="1" t="n">
        <f aca="false">IF(COUNTIFS($K$2:K952,K952,$L$2:L952,L952,$M$2:M952,M952,$J$2:J952,J952)=1,1,0)</f>
        <v>1</v>
      </c>
      <c r="P952" s="1" t="n">
        <f aca="false">IF(AND(N952=1,S952=1,COUNTIFS($L$2:L952,L952,$J$2:J952,J952,$N$2:N952,1,$S$2:S952,1)=1),1,0)</f>
        <v>0</v>
      </c>
      <c r="Q952" s="1" t="n">
        <f aca="false">IF(AND(N952=1,S952=1,COUNTIFS($L$2:L952,L952,$K$2:K952,K952,$N$2:N952,1,$S$2:S952,1)=1),1,0)</f>
        <v>0</v>
      </c>
      <c r="R952" s="1" t="n">
        <f aca="false">IF(AND(N952=1,COUNTIFS($K$2:K952,K952,$L$2:L952,L952,$J$2:J952,J952,$N$2:N952,1)=1),1,0)</f>
        <v>0</v>
      </c>
      <c r="S952" s="1" t="n">
        <f aca="false">IF(AND(K952&lt;&gt;"Context and provider model",K952&lt;&gt;"Motivation"),1,0)</f>
        <v>1</v>
      </c>
    </row>
    <row r="953" customFormat="false" ht="15" hidden="false" customHeight="true" outlineLevel="0" collapsed="false">
      <c r="J953" s="1" t="str">
        <f aca="false">'Raw Atomic Data (Pro)'!A953</f>
        <v>Ashley P.</v>
      </c>
      <c r="K953" s="1" t="str">
        <f aca="false">'Raw Atomic Data (Pro)'!C953</f>
        <v>Client communication</v>
      </c>
      <c r="L953" s="1" t="str">
        <f aca="false">'Raw Atomic Data (Pro)'!D953</f>
        <v>messaging-platform-mechanics</v>
      </c>
      <c r="M953" s="1" t="str">
        <f aca="false">'Raw Atomic Data (Pro)'!E953</f>
        <v>fact</v>
      </c>
      <c r="N953" s="1" t="n">
        <f aca="false">IF(OR(M953="friction",M953="need",M953="workaround"),1,0)</f>
        <v>0</v>
      </c>
      <c r="O953" s="1" t="n">
        <f aca="false">IF(COUNTIFS($K$2:K953,K953,$L$2:L953,L953,$M$2:M953,M953,$J$2:J953,J953)=1,1,0)</f>
        <v>1</v>
      </c>
      <c r="P953" s="1" t="n">
        <f aca="false">IF(AND(N953=1,S953=1,COUNTIFS($L$2:L953,L953,$J$2:J953,J953,$N$2:N953,1,$S$2:S953,1)=1),1,0)</f>
        <v>0</v>
      </c>
      <c r="Q953" s="1" t="n">
        <f aca="false">IF(AND(N953=1,S953=1,COUNTIFS($L$2:L953,L953,$K$2:K953,K953,$N$2:N953,1,$S$2:S953,1)=1),1,0)</f>
        <v>0</v>
      </c>
      <c r="R953" s="1" t="n">
        <f aca="false">IF(AND(N953=1,COUNTIFS($K$2:K953,K953,$L$2:L953,L953,$J$2:J953,J953,$N$2:N953,1)=1),1,0)</f>
        <v>0</v>
      </c>
      <c r="S953" s="1" t="n">
        <f aca="false">IF(AND(K953&lt;&gt;"Context and provider model",K953&lt;&gt;"Motivation"),1,0)</f>
        <v>1</v>
      </c>
    </row>
    <row r="954" customFormat="false" ht="15" hidden="false" customHeight="true" outlineLevel="0" collapsed="false">
      <c r="J954" s="1" t="str">
        <f aca="false">'Raw Atomic Data (Pro)'!A954</f>
        <v>Ashley P.</v>
      </c>
      <c r="K954" s="1" t="str">
        <f aca="false">'Raw Atomic Data (Pro)'!C954</f>
        <v>Client communication</v>
      </c>
      <c r="L954" s="1" t="str">
        <f aca="false">'Raw Atomic Data (Pro)'!D954</f>
        <v>messaging-platform-mechanics</v>
      </c>
      <c r="M954" s="1" t="str">
        <f aca="false">'Raw Atomic Data (Pro)'!E954</f>
        <v>workaround</v>
      </c>
      <c r="N954" s="1" t="n">
        <f aca="false">IF(OR(M954="friction",M954="need",M954="workaround"),1,0)</f>
        <v>1</v>
      </c>
      <c r="O954" s="1" t="n">
        <f aca="false">IF(COUNTIFS($K$2:K954,K954,$L$2:L954,L954,$M$2:M954,M954,$J$2:J954,J954)=1,1,0)</f>
        <v>1</v>
      </c>
      <c r="P954" s="1" t="n">
        <f aca="false">IF(AND(N954=1,S954=1,COUNTIFS($L$2:L954,L954,$J$2:J954,J954,$N$2:N954,1,$S$2:S954,1)=1),1,0)</f>
        <v>0</v>
      </c>
      <c r="Q954" s="1" t="n">
        <f aca="false">IF(AND(N954=1,S954=1,COUNTIFS($L$2:L954,L954,$K$2:K954,K954,$N$2:N954,1,$S$2:S954,1)=1),1,0)</f>
        <v>0</v>
      </c>
      <c r="R954" s="1" t="n">
        <f aca="false">IF(AND(N954=1,COUNTIFS($K$2:K954,K954,$L$2:L954,L954,$J$2:J954,J954,$N$2:N954,1)=1),1,0)</f>
        <v>1</v>
      </c>
      <c r="S954" s="1" t="n">
        <f aca="false">IF(AND(K954&lt;&gt;"Context and provider model",K954&lt;&gt;"Motivation"),1,0)</f>
        <v>1</v>
      </c>
    </row>
    <row r="955" customFormat="false" ht="15" hidden="false" customHeight="true" outlineLevel="0" collapsed="false">
      <c r="J955" s="1" t="str">
        <f aca="false">'Raw Atomic Data (Pro)'!A955</f>
        <v>Ashley P.</v>
      </c>
      <c r="K955" s="1" t="str">
        <f aca="false">'Raw Atomic Data (Pro)'!C955</f>
        <v>Client communication</v>
      </c>
      <c r="L955" s="1" t="str">
        <f aca="false">'Raw Atomic Data (Pro)'!D955</f>
        <v>safety-risk-incidents</v>
      </c>
      <c r="M955" s="1" t="str">
        <f aca="false">'Raw Atomic Data (Pro)'!E955</f>
        <v>value-statement</v>
      </c>
      <c r="N955" s="1" t="n">
        <f aca="false">IF(OR(M955="friction",M955="need",M955="workaround"),1,0)</f>
        <v>0</v>
      </c>
      <c r="O955" s="1" t="n">
        <f aca="false">IF(COUNTIFS($K$2:K955,K955,$L$2:L955,L955,$M$2:M955,M955,$J$2:J955,J955)=1,1,0)</f>
        <v>1</v>
      </c>
      <c r="P955" s="1" t="n">
        <f aca="false">IF(AND(N955=1,S955=1,COUNTIFS($L$2:L955,L955,$J$2:J955,J955,$N$2:N955,1,$S$2:S955,1)=1),1,0)</f>
        <v>0</v>
      </c>
      <c r="Q955" s="1" t="n">
        <f aca="false">IF(AND(N955=1,S955=1,COUNTIFS($L$2:L955,L955,$K$2:K955,K955,$N$2:N955,1,$S$2:S955,1)=1),1,0)</f>
        <v>0</v>
      </c>
      <c r="R955" s="1" t="n">
        <f aca="false">IF(AND(N955=1,COUNTIFS($K$2:K955,K955,$L$2:L955,L955,$J$2:J955,J955,$N$2:N955,1)=1),1,0)</f>
        <v>0</v>
      </c>
      <c r="S955" s="1" t="n">
        <f aca="false">IF(AND(K955&lt;&gt;"Context and provider model",K955&lt;&gt;"Motivation"),1,0)</f>
        <v>1</v>
      </c>
    </row>
    <row r="956" customFormat="false" ht="15" hidden="false" customHeight="true" outlineLevel="0" collapsed="false">
      <c r="J956" s="1" t="str">
        <f aca="false">'Raw Atomic Data (Pro)'!A956</f>
        <v>Ashley P.</v>
      </c>
      <c r="K956" s="1" t="str">
        <f aca="false">'Raw Atomic Data (Pro)'!C956</f>
        <v>Completion and feedback</v>
      </c>
      <c r="L956" s="1" t="str">
        <f aca="false">'Raw Atomic Data (Pro)'!D956</f>
        <v>payout-timing-tracking</v>
      </c>
      <c r="M956" s="1" t="str">
        <f aca="false">'Raw Atomic Data (Pro)'!E956</f>
        <v>friction</v>
      </c>
      <c r="N956" s="1" t="n">
        <f aca="false">IF(OR(M956="friction",M956="need",M956="workaround"),1,0)</f>
        <v>1</v>
      </c>
      <c r="O956" s="1" t="n">
        <f aca="false">IF(COUNTIFS($K$2:K956,K956,$L$2:L956,L956,$M$2:M956,M956,$J$2:J956,J956)=1,1,0)</f>
        <v>1</v>
      </c>
      <c r="P956" s="1" t="n">
        <f aca="false">IF(AND(N956=1,S956=1,COUNTIFS($L$2:L956,L956,$J$2:J956,J956,$N$2:N956,1,$S$2:S956,1)=1),1,0)</f>
        <v>1</v>
      </c>
      <c r="Q956" s="1" t="n">
        <f aca="false">IF(AND(N956=1,S956=1,COUNTIFS($L$2:L956,L956,$K$2:K956,K956,$N$2:N956,1,$S$2:S956,1)=1),1,0)</f>
        <v>1</v>
      </c>
      <c r="R956" s="1" t="n">
        <f aca="false">IF(AND(N956=1,COUNTIFS($K$2:K956,K956,$L$2:L956,L956,$J$2:J956,J956,$N$2:N956,1)=1),1,0)</f>
        <v>1</v>
      </c>
      <c r="S956" s="1" t="n">
        <f aca="false">IF(AND(K956&lt;&gt;"Context and provider model",K956&lt;&gt;"Motivation"),1,0)</f>
        <v>1</v>
      </c>
    </row>
    <row r="957" customFormat="false" ht="15" hidden="false" customHeight="true" outlineLevel="0" collapsed="false">
      <c r="J957" s="1" t="str">
        <f aca="false">'Raw Atomic Data (Pro)'!A957</f>
        <v>Ashley P.</v>
      </c>
      <c r="K957" s="1" t="str">
        <f aca="false">'Raw Atomic Data (Pro)'!C957</f>
        <v>Completion and feedback</v>
      </c>
      <c r="L957" s="1" t="str">
        <f aca="false">'Raw Atomic Data (Pro)'!D957</f>
        <v>payout-timing-tracking</v>
      </c>
      <c r="M957" s="1" t="str">
        <f aca="false">'Raw Atomic Data (Pro)'!E957</f>
        <v>need</v>
      </c>
      <c r="N957" s="1" t="n">
        <f aca="false">IF(OR(M957="friction",M957="need",M957="workaround"),1,0)</f>
        <v>1</v>
      </c>
      <c r="O957" s="1" t="n">
        <f aca="false">IF(COUNTIFS($K$2:K957,K957,$L$2:L957,L957,$M$2:M957,M957,$J$2:J957,J957)=1,1,0)</f>
        <v>1</v>
      </c>
      <c r="P957" s="1" t="n">
        <f aca="false">IF(AND(N957=1,S957=1,COUNTIFS($L$2:L957,L957,$J$2:J957,J957,$N$2:N957,1,$S$2:S957,1)=1),1,0)</f>
        <v>0</v>
      </c>
      <c r="Q957" s="1" t="n">
        <f aca="false">IF(AND(N957=1,S957=1,COUNTIFS($L$2:L957,L957,$K$2:K957,K957,$N$2:N957,1,$S$2:S957,1)=1),1,0)</f>
        <v>0</v>
      </c>
      <c r="R957" s="1" t="n">
        <f aca="false">IF(AND(N957=1,COUNTIFS($K$2:K957,K957,$L$2:L957,L957,$J$2:J957,J957,$N$2:N957,1)=1),1,0)</f>
        <v>0</v>
      </c>
      <c r="S957" s="1" t="n">
        <f aca="false">IF(AND(K957&lt;&gt;"Context and provider model",K957&lt;&gt;"Motivation"),1,0)</f>
        <v>1</v>
      </c>
    </row>
    <row r="958" customFormat="false" ht="15" hidden="false" customHeight="true" outlineLevel="0" collapsed="false">
      <c r="J958" s="1" t="str">
        <f aca="false">'Raw Atomic Data (Pro)'!A958</f>
        <v>Ashley P.</v>
      </c>
      <c r="K958" s="1" t="str">
        <f aca="false">'Raw Atomic Data (Pro)'!C958</f>
        <v>Completion and feedback</v>
      </c>
      <c r="L958" s="1" t="str">
        <f aca="false">'Raw Atomic Data (Pro)'!D958</f>
        <v>reviews-feedback-process</v>
      </c>
      <c r="M958" s="1" t="str">
        <f aca="false">'Raw Atomic Data (Pro)'!E958</f>
        <v>friction</v>
      </c>
      <c r="N958" s="1" t="n">
        <f aca="false">IF(OR(M958="friction",M958="need",M958="workaround"),1,0)</f>
        <v>1</v>
      </c>
      <c r="O958" s="1" t="n">
        <f aca="false">IF(COUNTIFS($K$2:K958,K958,$L$2:L958,L958,$M$2:M958,M958,$J$2:J958,J958)=1,1,0)</f>
        <v>1</v>
      </c>
      <c r="P958" s="1" t="n">
        <f aca="false">IF(AND(N958=1,S958=1,COUNTIFS($L$2:L958,L958,$J$2:J958,J958,$N$2:N958,1,$S$2:S958,1)=1),1,0)</f>
        <v>1</v>
      </c>
      <c r="Q958" s="1" t="n">
        <f aca="false">IF(AND(N958=1,S958=1,COUNTIFS($L$2:L958,L958,$K$2:K958,K958,$N$2:N958,1,$S$2:S958,1)=1),1,0)</f>
        <v>0</v>
      </c>
      <c r="R958" s="1" t="n">
        <f aca="false">IF(AND(N958=1,COUNTIFS($K$2:K958,K958,$L$2:L958,L958,$J$2:J958,J958,$N$2:N958,1)=1),1,0)</f>
        <v>1</v>
      </c>
      <c r="S958" s="1" t="n">
        <f aca="false">IF(AND(K958&lt;&gt;"Context and provider model",K958&lt;&gt;"Motivation"),1,0)</f>
        <v>1</v>
      </c>
    </row>
    <row r="959" customFormat="false" ht="15" hidden="false" customHeight="true" outlineLevel="0" collapsed="false">
      <c r="J959" s="1" t="str">
        <f aca="false">'Raw Atomic Data (Pro)'!A959</f>
        <v>Ashley P.</v>
      </c>
      <c r="K959" s="1" t="str">
        <f aca="false">'Raw Atomic Data (Pro)'!C959</f>
        <v>Completion and feedback</v>
      </c>
      <c r="L959" s="1" t="str">
        <f aca="false">'Raw Atomic Data (Pro)'!D959</f>
        <v>reviews-feedback-process</v>
      </c>
      <c r="M959" s="1" t="str">
        <f aca="false">'Raw Atomic Data (Pro)'!E959</f>
        <v>friction</v>
      </c>
      <c r="N959" s="1" t="n">
        <f aca="false">IF(OR(M959="friction",M959="need",M959="workaround"),1,0)</f>
        <v>1</v>
      </c>
      <c r="O959" s="1" t="n">
        <f aca="false">IF(COUNTIFS($K$2:K959,K959,$L$2:L959,L959,$M$2:M959,M959,$J$2:J959,J959)=1,1,0)</f>
        <v>0</v>
      </c>
      <c r="P959" s="1" t="n">
        <f aca="false">IF(AND(N959=1,S959=1,COUNTIFS($L$2:L959,L959,$J$2:J959,J959,$N$2:N959,1,$S$2:S959,1)=1),1,0)</f>
        <v>0</v>
      </c>
      <c r="Q959" s="1" t="n">
        <f aca="false">IF(AND(N959=1,S959=1,COUNTIFS($L$2:L959,L959,$K$2:K959,K959,$N$2:N959,1,$S$2:S959,1)=1),1,0)</f>
        <v>0</v>
      </c>
      <c r="R959" s="1" t="n">
        <f aca="false">IF(AND(N959=1,COUNTIFS($K$2:K959,K959,$L$2:L959,L959,$J$2:J959,J959,$N$2:N959,1)=1),1,0)</f>
        <v>0</v>
      </c>
      <c r="S959" s="1" t="n">
        <f aca="false">IF(AND(K959&lt;&gt;"Context and provider model",K959&lt;&gt;"Motivation"),1,0)</f>
        <v>1</v>
      </c>
    </row>
    <row r="960" customFormat="false" ht="15" hidden="false" customHeight="true" outlineLevel="0" collapsed="false">
      <c r="J960" s="1" t="str">
        <f aca="false">'Raw Atomic Data (Pro)'!A960</f>
        <v>Ashley P.</v>
      </c>
      <c r="K960" s="1" t="str">
        <f aca="false">'Raw Atomic Data (Pro)'!C960</f>
        <v>Completion and feedback</v>
      </c>
      <c r="L960" s="1" t="str">
        <f aca="false">'Raw Atomic Data (Pro)'!D960</f>
        <v>reviews-feedback-process</v>
      </c>
      <c r="M960" s="1" t="str">
        <f aca="false">'Raw Atomic Data (Pro)'!E960</f>
        <v>friction</v>
      </c>
      <c r="N960" s="1" t="n">
        <f aca="false">IF(OR(M960="friction",M960="need",M960="workaround"),1,0)</f>
        <v>1</v>
      </c>
      <c r="O960" s="1" t="n">
        <f aca="false">IF(COUNTIFS($K$2:K960,K960,$L$2:L960,L960,$M$2:M960,M960,$J$2:J960,J960)=1,1,0)</f>
        <v>0</v>
      </c>
      <c r="P960" s="1" t="n">
        <f aca="false">IF(AND(N960=1,S960=1,COUNTIFS($L$2:L960,L960,$J$2:J960,J960,$N$2:N960,1,$S$2:S960,1)=1),1,0)</f>
        <v>0</v>
      </c>
      <c r="Q960" s="1" t="n">
        <f aca="false">IF(AND(N960=1,S960=1,COUNTIFS($L$2:L960,L960,$K$2:K960,K960,$N$2:N960,1,$S$2:S960,1)=1),1,0)</f>
        <v>0</v>
      </c>
      <c r="R960" s="1" t="n">
        <f aca="false">IF(AND(N960=1,COUNTIFS($K$2:K960,K960,$L$2:L960,L960,$J$2:J960,J960,$N$2:N960,1)=1),1,0)</f>
        <v>0</v>
      </c>
      <c r="S960" s="1" t="n">
        <f aca="false">IF(AND(K960&lt;&gt;"Context and provider model",K960&lt;&gt;"Motivation"),1,0)</f>
        <v>1</v>
      </c>
    </row>
    <row r="961" customFormat="false" ht="15" hidden="false" customHeight="true" outlineLevel="0" collapsed="false">
      <c r="J961" s="1" t="str">
        <f aca="false">'Raw Atomic Data (Pro)'!A961</f>
        <v>Ashley P.</v>
      </c>
      <c r="K961" s="1" t="str">
        <f aca="false">'Raw Atomic Data (Pro)'!C961</f>
        <v>Completion and feedback</v>
      </c>
      <c r="L961" s="1" t="str">
        <f aca="false">'Raw Atomic Data (Pro)'!D961</f>
        <v>reviews-feedback-process</v>
      </c>
      <c r="M961" s="1" t="str">
        <f aca="false">'Raw Atomic Data (Pro)'!E961</f>
        <v>need</v>
      </c>
      <c r="N961" s="1" t="n">
        <f aca="false">IF(OR(M961="friction",M961="need",M961="workaround"),1,0)</f>
        <v>1</v>
      </c>
      <c r="O961" s="1" t="n">
        <f aca="false">IF(COUNTIFS($K$2:K961,K961,$L$2:L961,L961,$M$2:M961,M961,$J$2:J961,J961)=1,1,0)</f>
        <v>1</v>
      </c>
      <c r="P961" s="1" t="n">
        <f aca="false">IF(AND(N961=1,S961=1,COUNTIFS($L$2:L961,L961,$J$2:J961,J961,$N$2:N961,1,$S$2:S961,1)=1),1,0)</f>
        <v>0</v>
      </c>
      <c r="Q961" s="1" t="n">
        <f aca="false">IF(AND(N961=1,S961=1,COUNTIFS($L$2:L961,L961,$K$2:K961,K961,$N$2:N961,1,$S$2:S961,1)=1),1,0)</f>
        <v>0</v>
      </c>
      <c r="R961" s="1" t="n">
        <f aca="false">IF(AND(N961=1,COUNTIFS($K$2:K961,K961,$L$2:L961,L961,$J$2:J961,J961,$N$2:N961,1)=1),1,0)</f>
        <v>0</v>
      </c>
      <c r="S961" s="1" t="n">
        <f aca="false">IF(AND(K961&lt;&gt;"Context and provider model",K961&lt;&gt;"Motivation"),1,0)</f>
        <v>1</v>
      </c>
    </row>
    <row r="962" customFormat="false" ht="15" hidden="false" customHeight="true" outlineLevel="0" collapsed="false">
      <c r="J962" s="1" t="str">
        <f aca="false">'Raw Atomic Data (Pro)'!A962</f>
        <v>Ashley P.</v>
      </c>
      <c r="K962" s="1" t="str">
        <f aca="false">'Raw Atomic Data (Pro)'!C962</f>
        <v>Payments and earnings</v>
      </c>
      <c r="L962" s="1" t="str">
        <f aca="false">'Raw Atomic Data (Pro)'!D962</f>
        <v>onboarding-signup-process</v>
      </c>
      <c r="M962" s="1" t="str">
        <f aca="false">'Raw Atomic Data (Pro)'!E962</f>
        <v>fact</v>
      </c>
      <c r="N962" s="1" t="n">
        <f aca="false">IF(OR(M962="friction",M962="need",M962="workaround"),1,0)</f>
        <v>0</v>
      </c>
      <c r="O962" s="1" t="n">
        <f aca="false">IF(COUNTIFS($K$2:K962,K962,$L$2:L962,L962,$M$2:M962,M962,$J$2:J962,J962)=1,1,0)</f>
        <v>1</v>
      </c>
      <c r="P962" s="1" t="n">
        <f aca="false">IF(AND(N962=1,S962=1,COUNTIFS($L$2:L962,L962,$J$2:J962,J962,$N$2:N962,1,$S$2:S962,1)=1),1,0)</f>
        <v>0</v>
      </c>
      <c r="Q962" s="1" t="n">
        <f aca="false">IF(AND(N962=1,S962=1,COUNTIFS($L$2:L962,L962,$K$2:K962,K962,$N$2:N962,1,$S$2:S962,1)=1),1,0)</f>
        <v>0</v>
      </c>
      <c r="R962" s="1" t="n">
        <f aca="false">IF(AND(N962=1,COUNTIFS($K$2:K962,K962,$L$2:L962,L962,$J$2:J962,J962,$N$2:N962,1)=1),1,0)</f>
        <v>0</v>
      </c>
      <c r="S962" s="1" t="n">
        <f aca="false">IF(AND(K962&lt;&gt;"Context and provider model",K962&lt;&gt;"Motivation"),1,0)</f>
        <v>1</v>
      </c>
    </row>
    <row r="963" customFormat="false" ht="15" hidden="false" customHeight="true" outlineLevel="0" collapsed="false">
      <c r="J963" s="1" t="str">
        <f aca="false">'Raw Atomic Data (Pro)'!A963</f>
        <v>Ashley P.</v>
      </c>
      <c r="K963" s="1" t="str">
        <f aca="false">'Raw Atomic Data (Pro)'!C963</f>
        <v>Payments and earnings</v>
      </c>
      <c r="L963" s="1" t="str">
        <f aca="false">'Raw Atomic Data (Pro)'!D963</f>
        <v>pricing-rate-setting</v>
      </c>
      <c r="M963" s="1" t="str">
        <f aca="false">'Raw Atomic Data (Pro)'!E963</f>
        <v>workaround</v>
      </c>
      <c r="N963" s="1" t="n">
        <f aca="false">IF(OR(M963="friction",M963="need",M963="workaround"),1,0)</f>
        <v>1</v>
      </c>
      <c r="O963" s="1" t="n">
        <f aca="false">IF(COUNTIFS($K$2:K963,K963,$L$2:L963,L963,$M$2:M963,M963,$J$2:J963,J963)=1,1,0)</f>
        <v>1</v>
      </c>
      <c r="P963" s="1" t="n">
        <f aca="false">IF(AND(N963=1,S963=1,COUNTIFS($L$2:L963,L963,$J$2:J963,J963,$N$2:N963,1,$S$2:S963,1)=1),1,0)</f>
        <v>1</v>
      </c>
      <c r="Q963" s="1" t="n">
        <f aca="false">IF(AND(N963=1,S963=1,COUNTIFS($L$2:L963,L963,$K$2:K963,K963,$N$2:N963,1,$S$2:S963,1)=1),1,0)</f>
        <v>0</v>
      </c>
      <c r="R963" s="1" t="n">
        <f aca="false">IF(AND(N963=1,COUNTIFS($K$2:K963,K963,$L$2:L963,L963,$J$2:J963,J963,$N$2:N963,1)=1),1,0)</f>
        <v>1</v>
      </c>
      <c r="S963" s="1" t="n">
        <f aca="false">IF(AND(K963&lt;&gt;"Context and provider model",K963&lt;&gt;"Motivation"),1,0)</f>
        <v>1</v>
      </c>
    </row>
    <row r="964" customFormat="false" ht="15" hidden="false" customHeight="true" outlineLevel="0" collapsed="false">
      <c r="J964" s="1" t="str">
        <f aca="false">'Raw Atomic Data (Pro)'!A964</f>
        <v>Ashley P.</v>
      </c>
      <c r="K964" s="1" t="str">
        <f aca="false">'Raw Atomic Data (Pro)'!C964</f>
        <v>Payments and earnings</v>
      </c>
      <c r="L964" s="1" t="str">
        <f aca="false">'Raw Atomic Data (Pro)'!D964</f>
        <v>pricing-rate-setting</v>
      </c>
      <c r="M964" s="1" t="str">
        <f aca="false">'Raw Atomic Data (Pro)'!E964</f>
        <v>fact</v>
      </c>
      <c r="N964" s="1" t="n">
        <f aca="false">IF(OR(M964="friction",M964="need",M964="workaround"),1,0)</f>
        <v>0</v>
      </c>
      <c r="O964" s="1" t="n">
        <f aca="false">IF(COUNTIFS($K$2:K964,K964,$L$2:L964,L964,$M$2:M964,M964,$J$2:J964,J964)=1,1,0)</f>
        <v>1</v>
      </c>
      <c r="P964" s="1" t="n">
        <f aca="false">IF(AND(N964=1,S964=1,COUNTIFS($L$2:L964,L964,$J$2:J964,J964,$N$2:N964,1,$S$2:S964,1)=1),1,0)</f>
        <v>0</v>
      </c>
      <c r="Q964" s="1" t="n">
        <f aca="false">IF(AND(N964=1,S964=1,COUNTIFS($L$2:L964,L964,$K$2:K964,K964,$N$2:N964,1,$S$2:S964,1)=1),1,0)</f>
        <v>0</v>
      </c>
      <c r="R964" s="1" t="n">
        <f aca="false">IF(AND(N964=1,COUNTIFS($K$2:K964,K964,$L$2:L964,L964,$J$2:J964,J964,$N$2:N964,1)=1),1,0)</f>
        <v>0</v>
      </c>
      <c r="S964" s="1" t="n">
        <f aca="false">IF(AND(K964&lt;&gt;"Context and provider model",K964&lt;&gt;"Motivation"),1,0)</f>
        <v>1</v>
      </c>
    </row>
    <row r="965" customFormat="false" ht="15" hidden="false" customHeight="true" outlineLevel="0" collapsed="false">
      <c r="J965" s="1" t="str">
        <f aca="false">'Raw Atomic Data (Pro)'!A965</f>
        <v>Ashley P.</v>
      </c>
      <c r="K965" s="1" t="str">
        <f aca="false">'Raw Atomic Data (Pro)'!C965</f>
        <v>Payments and earnings</v>
      </c>
      <c r="L965" s="1" t="str">
        <f aca="false">'Raw Atomic Data (Pro)'!D965</f>
        <v>business-model-fit</v>
      </c>
      <c r="M965" s="1" t="str">
        <f aca="false">'Raw Atomic Data (Pro)'!E965</f>
        <v>fact</v>
      </c>
      <c r="N965" s="1" t="n">
        <f aca="false">IF(OR(M965="friction",M965="need",M965="workaround"),1,0)</f>
        <v>0</v>
      </c>
      <c r="O965" s="1" t="n">
        <f aca="false">IF(COUNTIFS($K$2:K965,K965,$L$2:L965,L965,$M$2:M965,M965,$J$2:J965,J965)=1,1,0)</f>
        <v>1</v>
      </c>
      <c r="P965" s="1" t="n">
        <f aca="false">IF(AND(N965=1,S965=1,COUNTIFS($L$2:L965,L965,$J$2:J965,J965,$N$2:N965,1,$S$2:S965,1)=1),1,0)</f>
        <v>0</v>
      </c>
      <c r="Q965" s="1" t="n">
        <f aca="false">IF(AND(N965=1,S965=1,COUNTIFS($L$2:L965,L965,$K$2:K965,K965,$N$2:N965,1,$S$2:S965,1)=1),1,0)</f>
        <v>0</v>
      </c>
      <c r="R965" s="1" t="n">
        <f aca="false">IF(AND(N965=1,COUNTIFS($K$2:K965,K965,$L$2:L965,L965,$J$2:J965,J965,$N$2:N965,1)=1),1,0)</f>
        <v>0</v>
      </c>
      <c r="S965" s="1" t="n">
        <f aca="false">IF(AND(K965&lt;&gt;"Context and provider model",K965&lt;&gt;"Motivation"),1,0)</f>
        <v>1</v>
      </c>
    </row>
    <row r="966" customFormat="false" ht="15" hidden="false" customHeight="true" outlineLevel="0" collapsed="false">
      <c r="J966" s="1" t="str">
        <f aca="false">'Raw Atomic Data (Pro)'!A966</f>
        <v>Ashley P.</v>
      </c>
      <c r="K966" s="1" t="str">
        <f aca="false">'Raw Atomic Data (Pro)'!C966</f>
        <v>Payments and earnings</v>
      </c>
      <c r="L966" s="1" t="str">
        <f aca="false">'Raw Atomic Data (Pro)'!D966</f>
        <v>business-model-fit</v>
      </c>
      <c r="M966" s="1" t="str">
        <f aca="false">'Raw Atomic Data (Pro)'!E966</f>
        <v>fact</v>
      </c>
      <c r="N966" s="1" t="n">
        <f aca="false">IF(OR(M966="friction",M966="need",M966="workaround"),1,0)</f>
        <v>0</v>
      </c>
      <c r="O966" s="1" t="n">
        <f aca="false">IF(COUNTIFS($K$2:K966,K966,$L$2:L966,L966,$M$2:M966,M966,$J$2:J966,J966)=1,1,0)</f>
        <v>0</v>
      </c>
      <c r="P966" s="1" t="n">
        <f aca="false">IF(AND(N966=1,S966=1,COUNTIFS($L$2:L966,L966,$J$2:J966,J966,$N$2:N966,1,$S$2:S966,1)=1),1,0)</f>
        <v>0</v>
      </c>
      <c r="Q966" s="1" t="n">
        <f aca="false">IF(AND(N966=1,S966=1,COUNTIFS($L$2:L966,L966,$K$2:K966,K966,$N$2:N966,1,$S$2:S966,1)=1),1,0)</f>
        <v>0</v>
      </c>
      <c r="R966" s="1" t="n">
        <f aca="false">IF(AND(N966=1,COUNTIFS($K$2:K966,K966,$L$2:L966,L966,$J$2:J966,J966,$N$2:N966,1)=1),1,0)</f>
        <v>0</v>
      </c>
      <c r="S966" s="1" t="n">
        <f aca="false">IF(AND(K966&lt;&gt;"Context and provider model",K966&lt;&gt;"Motivation"),1,0)</f>
        <v>1</v>
      </c>
    </row>
    <row r="967" customFormat="false" ht="15" hidden="false" customHeight="true" outlineLevel="0" collapsed="false">
      <c r="J967" s="1" t="str">
        <f aca="false">'Raw Atomic Data (Pro)'!A967</f>
        <v>Ashley P.</v>
      </c>
      <c r="K967" s="1" t="str">
        <f aca="false">'Raw Atomic Data (Pro)'!C967</f>
        <v>Payments and earnings</v>
      </c>
      <c r="L967" s="1" t="str">
        <f aca="false">'Raw Atomic Data (Pro)'!D967</f>
        <v>meet-and-greet-process</v>
      </c>
      <c r="M967" s="1" t="str">
        <f aca="false">'Raw Atomic Data (Pro)'!E967</f>
        <v>need</v>
      </c>
      <c r="N967" s="1" t="n">
        <f aca="false">IF(OR(M967="friction",M967="need",M967="workaround"),1,0)</f>
        <v>1</v>
      </c>
      <c r="O967" s="1" t="n">
        <f aca="false">IF(COUNTIFS($K$2:K967,K967,$L$2:L967,L967,$M$2:M967,M967,$J$2:J967,J967)=1,1,0)</f>
        <v>1</v>
      </c>
      <c r="P967" s="1" t="n">
        <f aca="false">IF(AND(N967=1,S967=1,COUNTIFS($L$2:L967,L967,$J$2:J967,J967,$N$2:N967,1,$S$2:S967,1)=1),1,0)</f>
        <v>0</v>
      </c>
      <c r="Q967" s="1" t="n">
        <f aca="false">IF(AND(N967=1,S967=1,COUNTIFS($L$2:L967,L967,$K$2:K967,K967,$N$2:N967,1,$S$2:S967,1)=1),1,0)</f>
        <v>1</v>
      </c>
      <c r="R967" s="1" t="n">
        <f aca="false">IF(AND(N967=1,COUNTIFS($K$2:K967,K967,$L$2:L967,L967,$J$2:J967,J967,$N$2:N967,1)=1),1,0)</f>
        <v>1</v>
      </c>
      <c r="S967" s="1" t="n">
        <f aca="false">IF(AND(K967&lt;&gt;"Context and provider model",K967&lt;&gt;"Motivation"),1,0)</f>
        <v>1</v>
      </c>
    </row>
    <row r="968" customFormat="false" ht="15" hidden="false" customHeight="true" outlineLevel="0" collapsed="false">
      <c r="J968" s="1" t="str">
        <f aca="false">'Raw Atomic Data (Pro)'!A968</f>
        <v>Ashley P.</v>
      </c>
      <c r="K968" s="1" t="str">
        <f aca="false">'Raw Atomic Data (Pro)'!C968</f>
        <v>Payments and earnings</v>
      </c>
      <c r="L968" s="1" t="str">
        <f aca="false">'Raw Atomic Data (Pro)'!D968</f>
        <v>tipping</v>
      </c>
      <c r="M968" s="1" t="str">
        <f aca="false">'Raw Atomic Data (Pro)'!E968</f>
        <v>friction</v>
      </c>
      <c r="N968" s="1" t="n">
        <f aca="false">IF(OR(M968="friction",M968="need",M968="workaround"),1,0)</f>
        <v>1</v>
      </c>
      <c r="O968" s="1" t="n">
        <f aca="false">IF(COUNTIFS($K$2:K968,K968,$L$2:L968,L968,$M$2:M968,M968,$J$2:J968,J968)=1,1,0)</f>
        <v>1</v>
      </c>
      <c r="P968" s="1" t="n">
        <f aca="false">IF(AND(N968=1,S968=1,COUNTIFS($L$2:L968,L968,$J$2:J968,J968,$N$2:N968,1,$S$2:S968,1)=1),1,0)</f>
        <v>1</v>
      </c>
      <c r="Q968" s="1" t="n">
        <f aca="false">IF(AND(N968=1,S968=1,COUNTIFS($L$2:L968,L968,$K$2:K968,K968,$N$2:N968,1,$S$2:S968,1)=1),1,0)</f>
        <v>0</v>
      </c>
      <c r="R968" s="1" t="n">
        <f aca="false">IF(AND(N968=1,COUNTIFS($K$2:K968,K968,$L$2:L968,L968,$J$2:J968,J968,$N$2:N968,1)=1),1,0)</f>
        <v>1</v>
      </c>
      <c r="S968" s="1" t="n">
        <f aca="false">IF(AND(K968&lt;&gt;"Context and provider model",K968&lt;&gt;"Motivation"),1,0)</f>
        <v>1</v>
      </c>
    </row>
    <row r="969" customFormat="false" ht="15" hidden="false" customHeight="true" outlineLevel="0" collapsed="false">
      <c r="J969" s="1" t="str">
        <f aca="false">'Raw Atomic Data (Pro)'!A969</f>
        <v>Ashley P.</v>
      </c>
      <c r="K969" s="1" t="str">
        <f aca="false">'Raw Atomic Data (Pro)'!C969</f>
        <v>Payments and earnings</v>
      </c>
      <c r="L969" s="1" t="str">
        <f aca="false">'Raw Atomic Data (Pro)'!D969</f>
        <v>fee-commission-structure</v>
      </c>
      <c r="M969" s="1" t="str">
        <f aca="false">'Raw Atomic Data (Pro)'!E969</f>
        <v>fact</v>
      </c>
      <c r="N969" s="1" t="n">
        <f aca="false">IF(OR(M969="friction",M969="need",M969="workaround"),1,0)</f>
        <v>0</v>
      </c>
      <c r="O969" s="1" t="n">
        <f aca="false">IF(COUNTIFS($K$2:K969,K969,$L$2:L969,L969,$M$2:M969,M969,$J$2:J969,J969)=1,1,0)</f>
        <v>1</v>
      </c>
      <c r="P969" s="1" t="n">
        <f aca="false">IF(AND(N969=1,S969=1,COUNTIFS($L$2:L969,L969,$J$2:J969,J969,$N$2:N969,1,$S$2:S969,1)=1),1,0)</f>
        <v>0</v>
      </c>
      <c r="Q969" s="1" t="n">
        <f aca="false">IF(AND(N969=1,S969=1,COUNTIFS($L$2:L969,L969,$K$2:K969,K969,$N$2:N969,1,$S$2:S969,1)=1),1,0)</f>
        <v>0</v>
      </c>
      <c r="R969" s="1" t="n">
        <f aca="false">IF(AND(N969=1,COUNTIFS($K$2:K969,K969,$L$2:L969,L969,$J$2:J969,J969,$N$2:N969,1)=1),1,0)</f>
        <v>0</v>
      </c>
      <c r="S969" s="1" t="n">
        <f aca="false">IF(AND(K969&lt;&gt;"Context and provider model",K969&lt;&gt;"Motivation"),1,0)</f>
        <v>1</v>
      </c>
    </row>
    <row r="970" customFormat="false" ht="15" hidden="false" customHeight="true" outlineLevel="0" collapsed="false">
      <c r="J970" s="1" t="str">
        <f aca="false">'Raw Atomic Data (Pro)'!A970</f>
        <v>Ashley P.</v>
      </c>
      <c r="K970" s="1" t="str">
        <f aca="false">'Raw Atomic Data (Pro)'!C970</f>
        <v>Cross-platform behavior</v>
      </c>
      <c r="L970" s="1" t="str">
        <f aca="false">'Raw Atomic Data (Pro)'!D970</f>
        <v>off-platform-clients-leakage</v>
      </c>
      <c r="M970" s="1" t="str">
        <f aca="false">'Raw Atomic Data (Pro)'!E970</f>
        <v>fact</v>
      </c>
      <c r="N970" s="1" t="n">
        <f aca="false">IF(OR(M970="friction",M970="need",M970="workaround"),1,0)</f>
        <v>0</v>
      </c>
      <c r="O970" s="1" t="n">
        <f aca="false">IF(COUNTIFS($K$2:K970,K970,$L$2:L970,L970,$M$2:M970,M970,$J$2:J970,J970)=1,1,0)</f>
        <v>1</v>
      </c>
      <c r="P970" s="1" t="n">
        <f aca="false">IF(AND(N970=1,S970=1,COUNTIFS($L$2:L970,L970,$J$2:J970,J970,$N$2:N970,1,$S$2:S970,1)=1),1,0)</f>
        <v>0</v>
      </c>
      <c r="Q970" s="1" t="n">
        <f aca="false">IF(AND(N970=1,S970=1,COUNTIFS($L$2:L970,L970,$K$2:K970,K970,$N$2:N970,1,$S$2:S970,1)=1),1,0)</f>
        <v>0</v>
      </c>
      <c r="R970" s="1" t="n">
        <f aca="false">IF(AND(N970=1,COUNTIFS($K$2:K970,K970,$L$2:L970,L970,$J$2:J970,J970,$N$2:N970,1)=1),1,0)</f>
        <v>0</v>
      </c>
      <c r="S970" s="1" t="n">
        <f aca="false">IF(AND(K970&lt;&gt;"Context and provider model",K970&lt;&gt;"Motivation"),1,0)</f>
        <v>1</v>
      </c>
    </row>
    <row r="971" customFormat="false" ht="15" hidden="false" customHeight="true" outlineLevel="0" collapsed="false">
      <c r="J971" s="1" t="str">
        <f aca="false">'Raw Atomic Data (Pro)'!A971</f>
        <v>Ashley P.</v>
      </c>
      <c r="K971" s="1" t="str">
        <f aca="false">'Raw Atomic Data (Pro)'!C971</f>
        <v>Cross-platform behavior</v>
      </c>
      <c r="L971" s="1" t="str">
        <f aca="false">'Raw Atomic Data (Pro)'!D971</f>
        <v>off-platform-clients-leakage</v>
      </c>
      <c r="M971" s="1" t="str">
        <f aca="false">'Raw Atomic Data (Pro)'!E971</f>
        <v>fact</v>
      </c>
      <c r="N971" s="1" t="n">
        <f aca="false">IF(OR(M971="friction",M971="need",M971="workaround"),1,0)</f>
        <v>0</v>
      </c>
      <c r="O971" s="1" t="n">
        <f aca="false">IF(COUNTIFS($K$2:K971,K971,$L$2:L971,L971,$M$2:M971,M971,$J$2:J971,J971)=1,1,0)</f>
        <v>0</v>
      </c>
      <c r="P971" s="1" t="n">
        <f aca="false">IF(AND(N971=1,S971=1,COUNTIFS($L$2:L971,L971,$J$2:J971,J971,$N$2:N971,1,$S$2:S971,1)=1),1,0)</f>
        <v>0</v>
      </c>
      <c r="Q971" s="1" t="n">
        <f aca="false">IF(AND(N971=1,S971=1,COUNTIFS($L$2:L971,L971,$K$2:K971,K971,$N$2:N971,1,$S$2:S971,1)=1),1,0)</f>
        <v>0</v>
      </c>
      <c r="R971" s="1" t="n">
        <f aca="false">IF(AND(N971=1,COUNTIFS($K$2:K971,K971,$L$2:L971,L971,$J$2:J971,J971,$N$2:N971,1)=1),1,0)</f>
        <v>0</v>
      </c>
      <c r="S971" s="1" t="n">
        <f aca="false">IF(AND(K971&lt;&gt;"Context and provider model",K971&lt;&gt;"Motivation"),1,0)</f>
        <v>1</v>
      </c>
    </row>
    <row r="972" customFormat="false" ht="15" hidden="false" customHeight="true" outlineLevel="0" collapsed="false">
      <c r="J972" s="1" t="str">
        <f aca="false">'Raw Atomic Data (Pro)'!A972</f>
        <v>Ashley P.</v>
      </c>
      <c r="K972" s="1" t="str">
        <f aca="false">'Raw Atomic Data (Pro)'!C972</f>
        <v>Cross-platform behavior</v>
      </c>
      <c r="L972" s="1" t="str">
        <f aca="false">'Raw Atomic Data (Pro)'!D972</f>
        <v>insurance-liability-coverage</v>
      </c>
      <c r="M972" s="1" t="str">
        <f aca="false">'Raw Atomic Data (Pro)'!E972</f>
        <v>fact</v>
      </c>
      <c r="N972" s="1" t="n">
        <f aca="false">IF(OR(M972="friction",M972="need",M972="workaround"),1,0)</f>
        <v>0</v>
      </c>
      <c r="O972" s="1" t="n">
        <f aca="false">IF(COUNTIFS($K$2:K972,K972,$L$2:L972,L972,$M$2:M972,M972,$J$2:J972,J972)=1,1,0)</f>
        <v>1</v>
      </c>
      <c r="P972" s="1" t="n">
        <f aca="false">IF(AND(N972=1,S972=1,COUNTIFS($L$2:L972,L972,$J$2:J972,J972,$N$2:N972,1,$S$2:S972,1)=1),1,0)</f>
        <v>0</v>
      </c>
      <c r="Q972" s="1" t="n">
        <f aca="false">IF(AND(N972=1,S972=1,COUNTIFS($L$2:L972,L972,$K$2:K972,K972,$N$2:N972,1,$S$2:S972,1)=1),1,0)</f>
        <v>0</v>
      </c>
      <c r="R972" s="1" t="n">
        <f aca="false">IF(AND(N972=1,COUNTIFS($K$2:K972,K972,$L$2:L972,L972,$J$2:J972,J972,$N$2:N972,1)=1),1,0)</f>
        <v>0</v>
      </c>
      <c r="S972" s="1" t="n">
        <f aca="false">IF(AND(K972&lt;&gt;"Context and provider model",K972&lt;&gt;"Motivation"),1,0)</f>
        <v>1</v>
      </c>
    </row>
    <row r="973" customFormat="false" ht="15" hidden="false" customHeight="true" outlineLevel="0" collapsed="false">
      <c r="J973" s="1" t="str">
        <f aca="false">'Raw Atomic Data (Pro)'!A973</f>
        <v>Ashley P.</v>
      </c>
      <c r="K973" s="1" t="str">
        <f aca="false">'Raw Atomic Data (Pro)'!C973</f>
        <v>Growth and future plans</v>
      </c>
      <c r="L973" s="1" t="str">
        <f aca="false">'Raw Atomic Data (Pro)'!D973</f>
        <v>business-growth-plans</v>
      </c>
      <c r="M973" s="1" t="str">
        <f aca="false">'Raw Atomic Data (Pro)'!E973</f>
        <v>fact</v>
      </c>
      <c r="N973" s="1" t="n">
        <f aca="false">IF(OR(M973="friction",M973="need",M973="workaround"),1,0)</f>
        <v>0</v>
      </c>
      <c r="O973" s="1" t="n">
        <f aca="false">IF(COUNTIFS($K$2:K973,K973,$L$2:L973,L973,$M$2:M973,M973,$J$2:J973,J973)=1,1,0)</f>
        <v>1</v>
      </c>
      <c r="P973" s="1" t="n">
        <f aca="false">IF(AND(N973=1,S973=1,COUNTIFS($L$2:L973,L973,$J$2:J973,J973,$N$2:N973,1,$S$2:S973,1)=1),1,0)</f>
        <v>0</v>
      </c>
      <c r="Q973" s="1" t="n">
        <f aca="false">IF(AND(N973=1,S973=1,COUNTIFS($L$2:L973,L973,$K$2:K973,K973,$N$2:N973,1,$S$2:S973,1)=1),1,0)</f>
        <v>0</v>
      </c>
      <c r="R973" s="1" t="n">
        <f aca="false">IF(AND(N973=1,COUNTIFS($K$2:K973,K973,$L$2:L973,L973,$J$2:J973,J973,$N$2:N973,1)=1),1,0)</f>
        <v>0</v>
      </c>
      <c r="S973" s="1" t="n">
        <f aca="false">IF(AND(K973&lt;&gt;"Context and provider model",K973&lt;&gt;"Motivation"),1,0)</f>
        <v>1</v>
      </c>
    </row>
    <row r="974" customFormat="false" ht="15" hidden="false" customHeight="true" outlineLevel="0" collapsed="false">
      <c r="J974" s="1" t="str">
        <f aca="false">'Raw Atomic Data (Pro)'!A974</f>
        <v>Ashley P.</v>
      </c>
      <c r="K974" s="1" t="str">
        <f aca="false">'Raw Atomic Data (Pro)'!C974</f>
        <v>Growth and future plans</v>
      </c>
      <c r="L974" s="1" t="str">
        <f aca="false">'Raw Atomic Data (Pro)'!D974</f>
        <v>business-growth-plans</v>
      </c>
      <c r="M974" s="1" t="str">
        <f aca="false">'Raw Atomic Data (Pro)'!E974</f>
        <v>value-statement</v>
      </c>
      <c r="N974" s="1" t="n">
        <f aca="false">IF(OR(M974="friction",M974="need",M974="workaround"),1,0)</f>
        <v>0</v>
      </c>
      <c r="O974" s="1" t="n">
        <f aca="false">IF(COUNTIFS($K$2:K974,K974,$L$2:L974,L974,$M$2:M974,M974,$J$2:J974,J974)=1,1,0)</f>
        <v>1</v>
      </c>
      <c r="P974" s="1" t="n">
        <f aca="false">IF(AND(N974=1,S974=1,COUNTIFS($L$2:L974,L974,$J$2:J974,J974,$N$2:N974,1,$S$2:S974,1)=1),1,0)</f>
        <v>0</v>
      </c>
      <c r="Q974" s="1" t="n">
        <f aca="false">IF(AND(N974=1,S974=1,COUNTIFS($L$2:L974,L974,$K$2:K974,K974,$N$2:N974,1,$S$2:S974,1)=1),1,0)</f>
        <v>0</v>
      </c>
      <c r="R974" s="1" t="n">
        <f aca="false">IF(AND(N974=1,COUNTIFS($K$2:K974,K974,$L$2:L974,L974,$J$2:J974,J974,$N$2:N974,1)=1),1,0)</f>
        <v>0</v>
      </c>
      <c r="S974" s="1" t="n">
        <f aca="false">IF(AND(K974&lt;&gt;"Context and provider model",K974&lt;&gt;"Motivation"),1,0)</f>
        <v>1</v>
      </c>
    </row>
    <row r="975" customFormat="false" ht="15" hidden="false" customHeight="true" outlineLevel="0" collapsed="false">
      <c r="J975" s="1" t="str">
        <f aca="false">'Raw Atomic Data (Pro)'!A975</f>
        <v>Ashley P.</v>
      </c>
      <c r="K975" s="1" t="str">
        <f aca="false">'Raw Atomic Data (Pro)'!C975</f>
        <v>Growth and future plans</v>
      </c>
      <c r="L975" s="1" t="str">
        <f aca="false">'Raw Atomic Data (Pro)'!D975</f>
        <v>business-growth-plans</v>
      </c>
      <c r="M975" s="1" t="str">
        <f aca="false">'Raw Atomic Data (Pro)'!E975</f>
        <v>value-statement</v>
      </c>
      <c r="N975" s="1" t="n">
        <f aca="false">IF(OR(M975="friction",M975="need",M975="workaround"),1,0)</f>
        <v>0</v>
      </c>
      <c r="O975" s="1" t="n">
        <f aca="false">IF(COUNTIFS($K$2:K975,K975,$L$2:L975,L975,$M$2:M975,M975,$J$2:J975,J975)=1,1,0)</f>
        <v>0</v>
      </c>
      <c r="P975" s="1" t="n">
        <f aca="false">IF(AND(N975=1,S975=1,COUNTIFS($L$2:L975,L975,$J$2:J975,J975,$N$2:N975,1,$S$2:S975,1)=1),1,0)</f>
        <v>0</v>
      </c>
      <c r="Q975" s="1" t="n">
        <f aca="false">IF(AND(N975=1,S975=1,COUNTIFS($L$2:L975,L975,$K$2:K975,K975,$N$2:N975,1,$S$2:S975,1)=1),1,0)</f>
        <v>0</v>
      </c>
      <c r="R975" s="1" t="n">
        <f aca="false">IF(AND(N975=1,COUNTIFS($K$2:K975,K975,$L$2:L975,L975,$J$2:J975,J975,$N$2:N975,1)=1),1,0)</f>
        <v>0</v>
      </c>
      <c r="S975" s="1" t="n">
        <f aca="false">IF(AND(K975&lt;&gt;"Context and provider model",K975&lt;&gt;"Motivation"),1,0)</f>
        <v>1</v>
      </c>
    </row>
    <row r="976" customFormat="false" ht="15" hidden="false" customHeight="true" outlineLevel="0" collapsed="false">
      <c r="J976" s="1" t="str">
        <f aca="false">'Raw Atomic Data (Pro)'!A976</f>
        <v>Ashley P.</v>
      </c>
      <c r="K976" s="1" t="str">
        <f aca="false">'Raw Atomic Data (Pro)'!C976</f>
        <v>Growth and future plans</v>
      </c>
      <c r="L976" s="1" t="str">
        <f aca="false">'Raw Atomic Data (Pro)'!D976</f>
        <v>daily-care-tasks</v>
      </c>
      <c r="M976" s="1" t="str">
        <f aca="false">'Raw Atomic Data (Pro)'!E976</f>
        <v>need</v>
      </c>
      <c r="N976" s="1" t="n">
        <f aca="false">IF(OR(M976="friction",M976="need",M976="workaround"),1,0)</f>
        <v>1</v>
      </c>
      <c r="O976" s="1" t="n">
        <f aca="false">IF(COUNTIFS($K$2:K976,K976,$L$2:L976,L976,$M$2:M976,M976,$J$2:J976,J976)=1,1,0)</f>
        <v>1</v>
      </c>
      <c r="P976" s="1" t="n">
        <f aca="false">IF(AND(N976=1,S976=1,COUNTIFS($L$2:L976,L976,$J$2:J976,J976,$N$2:N976,1,$S$2:S976,1)=1),1,0)</f>
        <v>0</v>
      </c>
      <c r="Q976" s="1" t="n">
        <f aca="false">IF(AND(N976=1,S976=1,COUNTIFS($L$2:L976,L976,$K$2:K976,K976,$N$2:N976,1,$S$2:S976,1)=1),1,0)</f>
        <v>1</v>
      </c>
      <c r="R976" s="1" t="n">
        <f aca="false">IF(AND(N976=1,COUNTIFS($K$2:K976,K976,$L$2:L976,L976,$J$2:J976,J976,$N$2:N976,1)=1),1,0)</f>
        <v>1</v>
      </c>
      <c r="S976" s="1" t="n">
        <f aca="false">IF(AND(K976&lt;&gt;"Context and provider model",K976&lt;&gt;"Motivation"),1,0)</f>
        <v>1</v>
      </c>
    </row>
    <row r="977" customFormat="false" ht="15" hidden="false" customHeight="true" outlineLevel="0" collapsed="false">
      <c r="J977" s="1" t="str">
        <f aca="false">'Raw Atomic Data (Pro)'!A977</f>
        <v>Ashley P.</v>
      </c>
      <c r="K977" s="1" t="str">
        <f aca="false">'Raw Atomic Data (Pro)'!C977</f>
        <v>Growth and future plans</v>
      </c>
      <c r="L977" s="1" t="str">
        <f aca="false">'Raw Atomic Data (Pro)'!D977</f>
        <v>messaging-platform-mechanics</v>
      </c>
      <c r="M977" s="1" t="str">
        <f aca="false">'Raw Atomic Data (Pro)'!E977</f>
        <v>need</v>
      </c>
      <c r="N977" s="1" t="n">
        <f aca="false">IF(OR(M977="friction",M977="need",M977="workaround"),1,0)</f>
        <v>1</v>
      </c>
      <c r="O977" s="1" t="n">
        <f aca="false">IF(COUNTIFS($K$2:K977,K977,$L$2:L977,L977,$M$2:M977,M977,$J$2:J977,J977)=1,1,0)</f>
        <v>1</v>
      </c>
      <c r="P977" s="1" t="n">
        <f aca="false">IF(AND(N977=1,S977=1,COUNTIFS($L$2:L977,L977,$J$2:J977,J977,$N$2:N977,1,$S$2:S977,1)=1),1,0)</f>
        <v>0</v>
      </c>
      <c r="Q977" s="1" t="n">
        <f aca="false">IF(AND(N977=1,S977=1,COUNTIFS($L$2:L977,L977,$K$2:K977,K977,$N$2:N977,1,$S$2:S977,1)=1),1,0)</f>
        <v>0</v>
      </c>
      <c r="R977" s="1" t="n">
        <f aca="false">IF(AND(N977=1,COUNTIFS($K$2:K977,K977,$L$2:L977,L977,$J$2:J977,J977,$N$2:N977,1)=1),1,0)</f>
        <v>1</v>
      </c>
      <c r="S977" s="1" t="n">
        <f aca="false">IF(AND(K977&lt;&gt;"Context and provider model",K977&lt;&gt;"Motivation"),1,0)</f>
        <v>1</v>
      </c>
    </row>
    <row r="978" customFormat="false" ht="15" hidden="false" customHeight="true" outlineLevel="0" collapsed="false">
      <c r="J978" s="1" t="str">
        <f aca="false">'Raw Atomic Data (Pro)'!A978</f>
        <v>Ashley P.</v>
      </c>
      <c r="K978" s="1" t="str">
        <f aca="false">'Raw Atomic Data (Pro)'!C978</f>
        <v>Growth and future plans</v>
      </c>
      <c r="L978" s="1" t="str">
        <f aca="false">'Raw Atomic Data (Pro)'!D978</f>
        <v>messaging-platform-mechanics</v>
      </c>
      <c r="M978" s="1" t="str">
        <f aca="false">'Raw Atomic Data (Pro)'!E978</f>
        <v>friction</v>
      </c>
      <c r="N978" s="1" t="n">
        <f aca="false">IF(OR(M978="friction",M978="need",M978="workaround"),1,0)</f>
        <v>1</v>
      </c>
      <c r="O978" s="1" t="n">
        <f aca="false">IF(COUNTIFS($K$2:K978,K978,$L$2:L978,L978,$M$2:M978,M978,$J$2:J978,J978)=1,1,0)</f>
        <v>1</v>
      </c>
      <c r="P978" s="1" t="n">
        <f aca="false">IF(AND(N978=1,S978=1,COUNTIFS($L$2:L978,L978,$J$2:J978,J978,$N$2:N978,1,$S$2:S978,1)=1),1,0)</f>
        <v>0</v>
      </c>
      <c r="Q978" s="1" t="n">
        <f aca="false">IF(AND(N978=1,S978=1,COUNTIFS($L$2:L978,L978,$K$2:K978,K978,$N$2:N978,1,$S$2:S978,1)=1),1,0)</f>
        <v>0</v>
      </c>
      <c r="R978" s="1" t="n">
        <f aca="false">IF(AND(N978=1,COUNTIFS($K$2:K978,K978,$L$2:L978,L978,$J$2:J978,J978,$N$2:N978,1)=1),1,0)</f>
        <v>0</v>
      </c>
      <c r="S978" s="1" t="n">
        <f aca="false">IF(AND(K978&lt;&gt;"Context and provider model",K978&lt;&gt;"Motivation"),1,0)</f>
        <v>1</v>
      </c>
    </row>
  </sheetData>
  <mergeCells count="5">
    <mergeCell ref="A13:C13"/>
    <mergeCell ref="A15:H15"/>
    <mergeCell ref="A111:H111"/>
    <mergeCell ref="A113:F113"/>
    <mergeCell ref="A134:F1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2026-07-23T14:57:24Z</dcterms:created>
  <dc:creator>openpyxl</dc:creator>
  <dc:description/>
  <dc:language>en-US</dc:language>
  <cp:lastModifiedBy/>
  <dcterms:modified xsi:type="dcterms:W3CDTF">2026-07-23T15:24:08Z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