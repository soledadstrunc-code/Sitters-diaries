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Settings" sheetId="1" state="visible" r:id="rId1"/>
    <sheet xmlns:r="http://schemas.openxmlformats.org/officeDocument/2006/relationships" name="📋 Entries" sheetId="2" state="visible" r:id="rId2"/>
    <sheet xmlns:r="http://schemas.openxmlformats.org/officeDocument/2006/relationships" name="🏷️ Tag Taxonomy" sheetId="3" state="visible" r:id="rId3"/>
    <sheet xmlns:r="http://schemas.openxmlformats.org/officeDocument/2006/relationships" name="📊 Summary" sheetId="4" state="visible" r:id="rId4"/>
    <sheet xmlns:r="http://schemas.openxmlformats.org/officeDocument/2006/relationships" name="📅 Weekly Digest" sheetId="5" state="visible" r:id="rId5"/>
    <sheet xmlns:r="http://schemas.openxmlformats.org/officeDocument/2006/relationships" name="👤 Participant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mm/dd/yyyy"/>
    <numFmt numFmtId="165" formatCode="yyyy\-mm\-dd\ h:mm:ss"/>
    <numFmt numFmtId="166" formatCode="yyyy-mm-dd h:mm:ss"/>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2"/>
    </font>
    <font>
      <name val="Arial"/>
      <charset val="1"/>
      <family val="0"/>
      <color rgb="FF0000FF"/>
      <sz val="11"/>
    </font>
    <font>
      <name val="Arial"/>
      <charset val="1"/>
      <family val="0"/>
      <color rgb="FF808080"/>
      <sz val="9"/>
    </font>
    <font>
      <name val="Arial"/>
      <charset val="1"/>
      <family val="0"/>
      <b val="1"/>
      <color rgb="FFFFFFFF"/>
      <sz val="14"/>
    </font>
    <font>
      <name val="Arial"/>
      <charset val="1"/>
      <family val="0"/>
      <b val="1"/>
      <color rgb="FFFFFFFF"/>
      <sz val="10"/>
    </font>
    <font>
      <name val="Arial"/>
      <charset val="1"/>
      <family val="0"/>
      <color rgb="FF000000"/>
      <sz val="10"/>
    </font>
    <font>
      <name val="Arial"/>
      <charset val="1"/>
      <family val="0"/>
      <b val="1"/>
      <color rgb="FFFFFFFF"/>
      <sz val="11"/>
    </font>
    <font>
      <name val="Arial"/>
      <charset val="1"/>
      <family val="0"/>
      <b val="1"/>
      <color rgb="FF17A589"/>
      <sz val="10"/>
    </font>
    <font>
      <name val="Arial"/>
      <charset val="1"/>
      <family val="0"/>
      <b val="1"/>
      <color rgb="FFE67E22"/>
      <sz val="10"/>
    </font>
    <font>
      <name val="Arial"/>
      <charset val="1"/>
      <family val="0"/>
      <b val="1"/>
      <color rgb="FF7D3C98"/>
      <sz val="10"/>
    </font>
    <font>
      <name val="Arial"/>
      <charset val="1"/>
      <family val="0"/>
      <b val="1"/>
      <color rgb="FF117A65"/>
      <sz val="10"/>
    </font>
    <font>
      <name val="Arial"/>
      <charset val="1"/>
      <family val="0"/>
      <b val="1"/>
      <color rgb="FFFFFFFF"/>
      <sz val="13"/>
    </font>
    <font>
      <name val="Arial"/>
      <charset val="1"/>
      <family val="0"/>
      <b val="1"/>
      <sz val="11"/>
    </font>
  </fonts>
  <fills count="16">
    <fill>
      <patternFill/>
    </fill>
    <fill>
      <patternFill patternType="gray125"/>
    </fill>
    <fill>
      <patternFill patternType="solid">
        <fgColor rgb="FFFFF2CC"/>
        <bgColor rgb="FFFAE5D3"/>
      </patternFill>
    </fill>
    <fill>
      <patternFill patternType="solid">
        <fgColor rgb="FF1F3864"/>
        <bgColor rgb="FF333333"/>
      </patternFill>
    </fill>
    <fill>
      <patternFill patternType="solid">
        <fgColor rgb="FF2E75B6"/>
        <bgColor rgb="FF0066CC"/>
      </patternFill>
    </fill>
    <fill>
      <patternFill patternType="solid">
        <fgColor rgb="FFFFFFFF"/>
        <bgColor rgb="FFF8F9FA"/>
      </patternFill>
    </fill>
    <fill>
      <patternFill patternType="solid">
        <fgColor rgb="FFF8F9FA"/>
        <bgColor rgb="FFFFFFFF"/>
      </patternFill>
    </fill>
    <fill>
      <patternFill patternType="solid">
        <fgColor rgb="FF5D6D7E"/>
        <bgColor rgb="FF808080"/>
      </patternFill>
    </fill>
    <fill>
      <patternFill patternType="solid">
        <fgColor rgb="FFD5F5E3"/>
        <bgColor rgb="FFD1F2EB"/>
      </patternFill>
    </fill>
    <fill>
      <patternFill patternType="solid">
        <fgColor rgb="FFE67E22"/>
        <bgColor rgb="FFFF9900"/>
      </patternFill>
    </fill>
    <fill>
      <patternFill patternType="solid">
        <fgColor rgb="FFFAE5D3"/>
        <bgColor rgb="FFFFF2CC"/>
      </patternFill>
    </fill>
    <fill>
      <patternFill patternType="solid">
        <fgColor rgb="FF7D3C98"/>
        <bgColor rgb="FF993366"/>
      </patternFill>
    </fill>
    <fill>
      <patternFill patternType="solid">
        <fgColor rgb="FFF4ECF7"/>
        <bgColor rgb="FFF8F9FA"/>
      </patternFill>
    </fill>
    <fill>
      <patternFill patternType="solid">
        <fgColor rgb="FF16A085"/>
        <bgColor rgb="FF17A589"/>
      </patternFill>
    </fill>
    <fill>
      <patternFill patternType="solid">
        <fgColor rgb="FFD1F2EB"/>
        <bgColor rgb="FFD5F5E3"/>
      </patternFill>
    </fill>
    <fill>
      <patternFill patternType="solid">
        <fgColor rgb="FF17A589"/>
        <bgColor rgb="FF16A085"/>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double">
        <color rgb="FF1F3864"/>
      </top>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164" fontId="5" fillId="2" borderId="1" applyAlignment="1" pivotButton="0" quotePrefix="0" xfId="0">
      <alignment horizontal="center" vertical="center"/>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8" fillId="4" borderId="1" applyAlignment="1" pivotButton="0" quotePrefix="0" xfId="0">
      <alignment horizontal="center" vertical="center" wrapText="1"/>
    </xf>
    <xf numFmtId="165" fontId="9" fillId="5" borderId="1" applyAlignment="1" pivotButton="0" quotePrefix="0" xfId="0">
      <alignment horizontal="left" vertical="center" wrapText="1"/>
    </xf>
    <xf numFmtId="0" fontId="9" fillId="5" borderId="1" applyAlignment="1" pivotButton="0" quotePrefix="0" xfId="0">
      <alignment horizontal="left" vertical="center" wrapText="1"/>
    </xf>
    <xf numFmtId="0" fontId="0" fillId="0" borderId="1" applyAlignment="1" pivotButton="0" quotePrefix="0" xfId="0">
      <alignment horizontal="center" vertical="center"/>
    </xf>
    <xf numFmtId="165" fontId="9" fillId="6" borderId="1" applyAlignment="1" pivotButton="0" quotePrefix="0" xfId="0">
      <alignment horizontal="left" vertical="center" wrapText="1"/>
    </xf>
    <xf numFmtId="0" fontId="9"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10" fillId="4" borderId="0" applyAlignment="1" pivotButton="0" quotePrefix="0" xfId="0">
      <alignment horizontal="center" vertical="center" wrapText="1"/>
    </xf>
    <xf numFmtId="0" fontId="11" fillId="8" borderId="0" applyAlignment="1" pivotButton="0" quotePrefix="0" xfId="0">
      <alignment horizontal="left" vertical="center" wrapText="1"/>
    </xf>
    <xf numFmtId="0" fontId="10" fillId="9" borderId="0" applyAlignment="1" pivotButton="0" quotePrefix="0" xfId="0">
      <alignment horizontal="center" vertical="center" wrapText="1"/>
    </xf>
    <xf numFmtId="0" fontId="12" fillId="10" borderId="0" applyAlignment="1" pivotButton="0" quotePrefix="0" xfId="0">
      <alignment horizontal="left" vertical="center" wrapText="1"/>
    </xf>
    <xf numFmtId="0" fontId="10" fillId="11" borderId="0" applyAlignment="1" pivotButton="0" quotePrefix="0" xfId="0">
      <alignment horizontal="center" vertical="center" wrapText="1"/>
    </xf>
    <xf numFmtId="0" fontId="13" fillId="12" borderId="0" applyAlignment="1" pivotButton="0" quotePrefix="0" xfId="0">
      <alignment horizontal="left" vertical="center" wrapText="1"/>
    </xf>
    <xf numFmtId="0" fontId="10" fillId="13" borderId="1" applyAlignment="1" pivotButton="0" quotePrefix="0" xfId="0">
      <alignment horizontal="center" vertical="center" wrapText="1"/>
    </xf>
    <xf numFmtId="0" fontId="14" fillId="14" borderId="1" applyAlignment="1" pivotButton="0" quotePrefix="0" xfId="0">
      <alignment horizontal="left" vertical="center" wrapText="1"/>
    </xf>
    <xf numFmtId="0" fontId="15" fillId="3" borderId="0" applyAlignment="1" pivotButton="0" quotePrefix="0" xfId="0">
      <alignment horizontal="center" vertical="center" wrapText="1"/>
    </xf>
    <xf numFmtId="0" fontId="8" fillId="4" borderId="1" applyAlignment="1" pivotButton="0" quotePrefix="0" xfId="0">
      <alignment horizontal="left" vertical="center" wrapText="1"/>
    </xf>
    <xf numFmtId="0" fontId="8" fillId="15" borderId="1" applyAlignment="1" pivotButton="0" quotePrefix="0" xfId="0">
      <alignment horizontal="left" vertical="center" wrapText="1"/>
    </xf>
    <xf numFmtId="0" fontId="16" fillId="0" borderId="2"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164" fontId="5" fillId="2" borderId="1" applyAlignment="1" pivotButton="0" quotePrefix="0" xfId="0">
      <alignment horizontal="center" vertical="center"/>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8" fillId="4" borderId="1" applyAlignment="1" pivotButton="0" quotePrefix="0" xfId="0">
      <alignment horizontal="center" vertical="center" wrapText="1"/>
    </xf>
    <xf numFmtId="165" fontId="9" fillId="5" borderId="1" applyAlignment="1" pivotButton="0" quotePrefix="0" xfId="0">
      <alignment horizontal="left" vertical="center" wrapText="1"/>
    </xf>
    <xf numFmtId="0" fontId="9" fillId="5" borderId="1" applyAlignment="1" pivotButton="0" quotePrefix="0" xfId="0">
      <alignment horizontal="left" vertical="center" wrapText="1"/>
    </xf>
    <xf numFmtId="0" fontId="0" fillId="0" borderId="1" applyAlignment="1" pivotButton="0" quotePrefix="0" xfId="0">
      <alignment horizontal="center" vertical="center"/>
    </xf>
    <xf numFmtId="165" fontId="9" fillId="6" borderId="1" applyAlignment="1" pivotButton="0" quotePrefix="0" xfId="0">
      <alignment horizontal="left" vertical="center" wrapText="1"/>
    </xf>
    <xf numFmtId="0" fontId="9" fillId="6" borderId="1" applyAlignment="1" pivotButton="0" quotePrefix="0" xfId="0">
      <alignment horizontal="left" vertical="center" wrapText="1"/>
    </xf>
    <xf numFmtId="166" fontId="9" fillId="6" borderId="1" applyAlignment="1" pivotButton="0" quotePrefix="0" xfId="0">
      <alignment horizontal="left" vertical="center" wrapText="1"/>
    </xf>
    <xf numFmtId="166" fontId="9" fillId="5" borderId="1" applyAlignment="1" pivotButton="0" quotePrefix="0" xfId="0">
      <alignment horizontal="left" vertical="center" wrapText="1"/>
    </xf>
    <xf numFmtId="0" fontId="8" fillId="7" borderId="1" applyAlignment="1" pivotButton="0" quotePrefix="0" xfId="0">
      <alignment horizontal="center" vertical="center" wrapText="1"/>
    </xf>
    <xf numFmtId="0" fontId="10" fillId="4" borderId="0" applyAlignment="1" pivotButton="0" quotePrefix="0" xfId="0">
      <alignment horizontal="center" vertical="center" wrapText="1"/>
    </xf>
    <xf numFmtId="0" fontId="11" fillId="8" borderId="0" applyAlignment="1" pivotButton="0" quotePrefix="0" xfId="0">
      <alignment horizontal="left" vertical="center" wrapText="1"/>
    </xf>
    <xf numFmtId="0" fontId="10" fillId="9" borderId="0" applyAlignment="1" pivotButton="0" quotePrefix="0" xfId="0">
      <alignment horizontal="center" vertical="center" wrapText="1"/>
    </xf>
    <xf numFmtId="0" fontId="12" fillId="10" borderId="0" applyAlignment="1" pivotButton="0" quotePrefix="0" xfId="0">
      <alignment horizontal="left" vertical="center" wrapText="1"/>
    </xf>
    <xf numFmtId="0" fontId="10" fillId="11" borderId="0" applyAlignment="1" pivotButton="0" quotePrefix="0" xfId="0">
      <alignment horizontal="center" vertical="center" wrapText="1"/>
    </xf>
    <xf numFmtId="0" fontId="13" fillId="12" borderId="0" applyAlignment="1" pivotButton="0" quotePrefix="0" xfId="0">
      <alignment horizontal="left" vertical="center" wrapText="1"/>
    </xf>
    <xf numFmtId="0" fontId="10" fillId="13" borderId="1" applyAlignment="1" pivotButton="0" quotePrefix="0" xfId="0">
      <alignment horizontal="center" vertical="center" wrapText="1"/>
    </xf>
    <xf numFmtId="0" fontId="0" fillId="0" borderId="5" pivotButton="0" quotePrefix="0" xfId="0"/>
    <xf numFmtId="0" fontId="0" fillId="0" borderId="6" pivotButton="0" quotePrefix="0" xfId="0"/>
    <xf numFmtId="0" fontId="14" fillId="14" borderId="1" applyAlignment="1" pivotButton="0" quotePrefix="0" xfId="0">
      <alignment horizontal="left" vertical="center" wrapText="1"/>
    </xf>
    <xf numFmtId="0" fontId="15" fillId="3" borderId="0" applyAlignment="1" pivotButton="0" quotePrefix="0" xfId="0">
      <alignment horizontal="center" vertical="center" wrapText="1"/>
    </xf>
    <xf numFmtId="0" fontId="8" fillId="4" borderId="1" applyAlignment="1" pivotButton="0" quotePrefix="0" xfId="0">
      <alignment horizontal="left" vertical="center" wrapText="1"/>
    </xf>
    <xf numFmtId="0" fontId="8" fillId="15" borderId="1" applyAlignment="1" pivotButton="0" quotePrefix="0" xfId="0">
      <alignment horizontal="left" vertical="center" wrapText="1"/>
    </xf>
    <xf numFmtId="0" fontId="16" fillId="0" borderId="2"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7D3C98"/>
      <rgbColor rgb="FFFFF2CC"/>
      <rgbColor rgb="FFD1F2EB"/>
      <rgbColor rgb="FF660066"/>
      <rgbColor rgb="FFFF8080"/>
      <rgbColor rgb="FF0066CC"/>
      <rgbColor rgb="FFF4ECF7"/>
      <rgbColor rgb="FF000080"/>
      <rgbColor rgb="FFFF00FF"/>
      <rgbColor rgb="FFFFFF00"/>
      <rgbColor rgb="FF00FFFF"/>
      <rgbColor rgb="FF800080"/>
      <rgbColor rgb="FF800000"/>
      <rgbColor rgb="FF17A589"/>
      <rgbColor rgb="FF0000FF"/>
      <rgbColor rgb="FF00CCFF"/>
      <rgbColor rgb="FFF8F9FA"/>
      <rgbColor rgb="FFD5F5E3"/>
      <rgbColor rgb="FFFFFF99"/>
      <rgbColor rgb="FF99CCFF"/>
      <rgbColor rgb="FFFF99CC"/>
      <rgbColor rgb="FFCC99FF"/>
      <rgbColor rgb="FFFAE5D3"/>
      <rgbColor rgb="FF2E75B6"/>
      <rgbColor rgb="FF33CCCC"/>
      <rgbColor rgb="FF99CC00"/>
      <rgbColor rgb="FFFFCC00"/>
      <rgbColor rgb="FFFF9900"/>
      <rgbColor rgb="FFE67E22"/>
      <rgbColor rgb="FF5D6D7E"/>
      <rgbColor rgb="FF95A5A6"/>
      <rgbColor rgb="FF1F3864"/>
      <rgbColor rgb="FF16A085"/>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95A5A6"/>
    <outlinePr summaryBelow="1" summaryRight="1"/>
    <pageSetUpPr fitToPage="0"/>
  </sheetPr>
  <dimension ref="A1:B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5" customWidth="1" style="25" min="1" max="1"/>
    <col width="16" customWidth="1" style="25" min="2" max="2"/>
  </cols>
  <sheetData>
    <row r="1" ht="24" customHeight="1" s="26">
      <c r="A1" s="27" t="inlineStr">
        <is>
          <t>Study Start Date (fill in once confirmed):</t>
        </is>
      </c>
      <c r="B1" s="28" t="n">
        <v>46213</v>
      </c>
    </row>
    <row r="3" ht="45" customHeight="1" s="26">
      <c r="A3" s="29" t="inlineStr">
        <is>
          <t>Week # in the Entries and Weekly Digest tabs is calculated from this date. Leave it blank and those columns will show blank; fill it in once your kickoff date is confirmed and everything recalculates automatically.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V302"/>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25" min="1" max="1"/>
    <col width="16" customWidth="1" style="25" min="2" max="3"/>
    <col width="22" customWidth="1" style="25" min="4" max="4"/>
    <col width="16" customWidth="1" style="25" min="5" max="5"/>
    <col width="26" customWidth="1" style="25" min="6" max="6"/>
    <col width="18" customWidth="1" style="25" min="7" max="7"/>
    <col width="16" customWidth="1" style="25" min="8" max="9"/>
    <col width="20" customWidth="1" style="25" min="10" max="10"/>
    <col width="18" customWidth="1" style="25" min="11" max="11"/>
    <col width="20" customWidth="1" style="25" min="12" max="12"/>
    <col width="18" customWidth="1" style="25" min="13" max="13"/>
    <col width="20" customWidth="1" style="25" min="14" max="14"/>
    <col width="14" customWidth="1" style="25" min="15" max="15"/>
    <col width="22" customWidth="1" style="25" min="16" max="16"/>
    <col width="35" customWidth="1" style="25" min="17" max="17"/>
    <col width="14" customWidth="1" style="25" min="18" max="18"/>
    <col width="20" customWidth="1" style="25" min="19" max="19"/>
    <col width="22" customWidth="1" style="25" min="20" max="20"/>
    <col width="35" customWidth="1" style="25" min="21" max="21"/>
    <col width="10" customWidth="1" style="25" min="22" max="22"/>
  </cols>
  <sheetData>
    <row r="1" ht="36" customHeight="1" s="26">
      <c r="A1" s="30" t="inlineStr">
        <is>
          <t>ROVER DIARY STUDY — SYNTHESIS ANALYSIS TOOL</t>
        </is>
      </c>
    </row>
    <row r="2" ht="27.75" customHeight="1" s="26">
      <c r="A2" s="31" t="inlineStr">
        <is>
          <t>Date</t>
        </is>
      </c>
      <c r="B2" s="31" t="inlineStr">
        <is>
          <t>User Name</t>
        </is>
      </c>
      <c r="C2" s="31" t="inlineStr">
        <is>
          <t>Segment</t>
        </is>
      </c>
      <c r="D2" s="31" t="inlineStr">
        <is>
          <t>Question</t>
        </is>
      </c>
      <c r="E2" s="31" t="inlineStr">
        <is>
          <t>Task Type</t>
        </is>
      </c>
      <c r="F2" s="31" t="inlineStr">
        <is>
          <t>Experience Moment</t>
        </is>
      </c>
      <c r="G2" s="31" t="inlineStr">
        <is>
          <t>Workflow Area</t>
        </is>
      </c>
      <c r="H2" s="31" t="inlineStr">
        <is>
          <t>Tool Used</t>
        </is>
      </c>
      <c r="I2" s="31" t="inlineStr">
        <is>
          <t>Platform Role</t>
        </is>
      </c>
      <c r="J2" s="31" t="inlineStr">
        <is>
          <t>Behavior</t>
        </is>
      </c>
      <c r="K2" s="31" t="inlineStr">
        <is>
          <t>Need</t>
        </is>
      </c>
      <c r="L2" s="31" t="inlineStr">
        <is>
          <t>Friction</t>
        </is>
      </c>
      <c r="M2" s="31" t="inlineStr">
        <is>
          <t>Value</t>
        </is>
      </c>
      <c r="N2" s="31" t="inlineStr">
        <is>
          <t>Signal</t>
        </is>
      </c>
      <c r="O2" s="31" t="inlineStr">
        <is>
          <t>Emotion</t>
        </is>
      </c>
      <c r="P2" s="31" t="inlineStr">
        <is>
          <t>Opportunity</t>
        </is>
      </c>
      <c r="Q2" s="31" t="inlineStr">
        <is>
          <t>Description</t>
        </is>
      </c>
      <c r="R2" s="31" t="inlineStr">
        <is>
          <t>Has Attachment?</t>
        </is>
      </c>
      <c r="S2" s="31" t="inlineStr">
        <is>
          <t>Attachment</t>
        </is>
      </c>
      <c r="T2" s="31" t="inlineStr">
        <is>
          <t>Link</t>
        </is>
      </c>
      <c r="U2" s="31" t="inlineStr">
        <is>
          <t>Observations</t>
        </is>
      </c>
      <c r="V2" s="31" t="inlineStr">
        <is>
          <t>Week #</t>
        </is>
      </c>
    </row>
    <row r="3" ht="15" customHeight="1" s="26">
      <c r="A3" s="32" t="n">
        <v>46217</v>
      </c>
      <c r="B3" s="33" t="inlineStr">
        <is>
          <t>Richard</t>
        </is>
      </c>
      <c r="C3" s="33" t="inlineStr">
        <is>
          <t>M</t>
        </is>
      </c>
      <c r="D3" s="33" t="inlineStr">
        <is>
          <t>Topic 2. That's me</t>
        </is>
      </c>
      <c r="E3" s="33" t="n"/>
      <c r="G3" s="33" t="n"/>
      <c r="H3" s="33" t="n"/>
      <c r="I3" s="33" t="n"/>
      <c r="J3" s="33" t="n"/>
      <c r="K3" s="33" t="n"/>
      <c r="L3" s="33" t="n"/>
      <c r="M3" s="33" t="n"/>
      <c r="N3" s="33" t="n"/>
      <c r="O3" s="33" t="n"/>
      <c r="P3" s="33" t="n"/>
      <c r="Q3" s="33" t="inlineStr">
        <is>
          <t>I’m Richard and I live in Austin, Texas. I’m 65 years old and I am a retired medical doctor. I have been dog sitting for my neighbors since the pandemic started. Then one of my neighbors mentioned Rover and I started doing even more pet sitting in the Northwest Austin area. I enjoy reading and researching, weightlifting and walking, and fresh air and sunshine.</t>
        </is>
      </c>
      <c r="R3" s="33" t="inlineStr">
        <is>
          <t>No</t>
        </is>
      </c>
      <c r="S3" s="33" t="n"/>
      <c r="T3" s="33" t="n"/>
      <c r="U3" s="33" t="n"/>
      <c r="V3" s="34">
        <f>IF($A3="","",IF('⚙️ Settings'!$B$1="","",INT(($A3-'⚙️ Settings'!$B$1)/7)+1))</f>
        <v/>
      </c>
    </row>
    <row r="4" ht="15" customHeight="1" s="26">
      <c r="A4" s="35" t="n">
        <v>46217</v>
      </c>
      <c r="B4" s="36" t="inlineStr">
        <is>
          <t>Shania</t>
        </is>
      </c>
      <c r="C4" s="36" t="inlineStr">
        <is>
          <t>T</t>
        </is>
      </c>
      <c r="D4" s="36" t="inlineStr">
        <is>
          <t>Topic 1. Welcome</t>
        </is>
      </c>
      <c r="E4" s="36" t="n"/>
      <c r="G4" s="36" t="n"/>
      <c r="H4" s="36" t="n"/>
      <c r="I4" s="36" t="n"/>
      <c r="J4" s="36" t="n"/>
      <c r="K4" s="36" t="n"/>
      <c r="L4" s="36" t="n"/>
      <c r="M4" s="36" t="n"/>
      <c r="N4" s="36" t="n"/>
      <c r="O4" s="36" t="n"/>
      <c r="P4" s="36" t="n"/>
      <c r="Q4" s="36" t="inlineStr">
        <is>
          <t>Sounds good!</t>
        </is>
      </c>
      <c r="R4" s="36" t="inlineStr">
        <is>
          <t>No</t>
        </is>
      </c>
      <c r="S4" s="36" t="n"/>
      <c r="T4" s="36" t="n"/>
      <c r="U4" s="36" t="n"/>
      <c r="V4" s="34">
        <f>IF($A4="","",IF('⚙️ Settings'!$B$1="","",INT(($A4-'⚙️ Settings'!$B$1)/7)+1))</f>
        <v/>
      </c>
    </row>
    <row r="5" ht="15" customHeight="1" s="26">
      <c r="A5" s="32" t="n">
        <v>46217</v>
      </c>
      <c r="B5" s="33" t="inlineStr">
        <is>
          <t>Shania</t>
        </is>
      </c>
      <c r="C5" s="33" t="inlineStr">
        <is>
          <t>T</t>
        </is>
      </c>
      <c r="D5" s="33" t="inlineStr">
        <is>
          <t>Topic 2. That's me</t>
        </is>
      </c>
      <c r="E5" s="33" t="n"/>
      <c r="G5" s="33" t="n"/>
      <c r="H5" s="33" t="n"/>
      <c r="I5" s="33" t="n"/>
      <c r="J5" s="33" t="n"/>
      <c r="K5" s="33" t="n"/>
      <c r="L5" s="33" t="n"/>
      <c r="M5" s="33" t="n"/>
      <c r="N5" s="33" t="n"/>
      <c r="O5" s="33" t="n"/>
      <c r="P5" s="33" t="n"/>
      <c r="Q5" s="33" t="inlineStr">
        <is>
          <t>I’m Shania.</t>
        </is>
      </c>
      <c r="R5" s="33" t="inlineStr">
        <is>
          <t>No</t>
        </is>
      </c>
      <c r="S5" s="33" t="n"/>
      <c r="T5" s="33" t="n"/>
      <c r="U5" s="33" t="n"/>
      <c r="V5" s="34">
        <f>IF($A5="","",IF('⚙️ Settings'!$B$1="","",INT(($A5-'⚙️ Settings'!$B$1)/7)+1))</f>
        <v/>
      </c>
    </row>
    <row r="6" ht="15" customHeight="1" s="26">
      <c r="A6" s="35" t="n">
        <v>46212</v>
      </c>
      <c r="B6" s="36" t="inlineStr">
        <is>
          <t>Kristin</t>
        </is>
      </c>
      <c r="C6" s="36" t="inlineStr">
        <is>
          <t>T</t>
        </is>
      </c>
      <c r="D6" s="36" t="inlineStr">
        <is>
          <t>Topic 1. Welcome</t>
        </is>
      </c>
      <c r="E6" s="36" t="n"/>
      <c r="G6" s="36" t="n"/>
      <c r="H6" s="36" t="n"/>
      <c r="I6" s="36" t="n"/>
      <c r="J6" s="36" t="n"/>
      <c r="K6" s="36" t="n"/>
      <c r="L6" s="36" t="n"/>
      <c r="M6" s="36" t="n"/>
      <c r="N6" s="36" t="n"/>
      <c r="O6" s="36" t="n"/>
      <c r="P6" s="36" t="n"/>
      <c r="Q6" s="36" t="inlineStr">
        <is>
          <t>Got it!</t>
        </is>
      </c>
      <c r="R6" s="36" t="inlineStr">
        <is>
          <t>No</t>
        </is>
      </c>
      <c r="S6" s="36" t="n"/>
      <c r="T6" s="36" t="n"/>
      <c r="U6" s="36" t="n"/>
      <c r="V6" s="34">
        <f>IF($A6="","",IF('⚙️ Settings'!$B$1="","",INT(($A6-'⚙️ Settings'!$B$1)/7)+1))</f>
        <v/>
      </c>
    </row>
    <row r="7" ht="15" customHeight="1" s="26">
      <c r="A7" s="32" t="n">
        <v>46212</v>
      </c>
      <c r="B7" s="33" t="inlineStr">
        <is>
          <t>Kristin</t>
        </is>
      </c>
      <c r="C7" s="33" t="inlineStr">
        <is>
          <t>T</t>
        </is>
      </c>
      <c r="D7" s="33" t="inlineStr">
        <is>
          <t>Topic 2. That's me</t>
        </is>
      </c>
      <c r="E7" s="33" t="n"/>
      <c r="G7" s="33" t="n"/>
      <c r="H7" s="33" t="n"/>
      <c r="I7" s="33" t="n"/>
      <c r="J7" s="33" t="n"/>
      <c r="K7" s="33" t="n"/>
      <c r="L7" s="33" t="n"/>
      <c r="M7" s="33" t="n"/>
      <c r="N7" s="33" t="n"/>
      <c r="O7" s="33" t="n"/>
      <c r="P7" s="33" t="n"/>
      <c r="Q7" s="33" t="inlineStr">
        <is>
          <t>My name is Kristen.  I live in New Mexico, USA. 41.
I own my own home.  Program Manager. I enjoy reading, traveling and going to concerts.</t>
        </is>
      </c>
      <c r="R7" s="33" t="inlineStr">
        <is>
          <t>No</t>
        </is>
      </c>
      <c r="S7" s="33" t="n"/>
      <c r="T7" s="33" t="n"/>
      <c r="U7" s="33" t="n"/>
      <c r="V7" s="34">
        <f>IF($A7="","",IF('⚙️ Settings'!$B$1="","",INT(($A7-'⚙️ Settings'!$B$1)/7)+1))</f>
        <v/>
      </c>
    </row>
    <row r="8" ht="15" customHeight="1" s="26">
      <c r="A8" s="35" t="n">
        <v>46212</v>
      </c>
      <c r="B8" s="36" t="inlineStr">
        <is>
          <t>Tifany</t>
        </is>
      </c>
      <c r="C8" s="36" t="inlineStr">
        <is>
          <t>T</t>
        </is>
      </c>
      <c r="D8" s="36" t="inlineStr">
        <is>
          <t>Topic 2. That's me</t>
        </is>
      </c>
      <c r="E8" s="36" t="n"/>
      <c r="G8" s="36" t="n"/>
      <c r="H8" s="36" t="n"/>
      <c r="I8" s="36" t="n"/>
      <c r="J8" s="36" t="n"/>
      <c r="K8" s="36" t="n"/>
      <c r="L8" s="36" t="n"/>
      <c r="M8" s="36" t="n"/>
      <c r="N8" s="36" t="n"/>
      <c r="O8" s="36" t="n"/>
      <c r="P8" s="36" t="n"/>
      <c r="Q8" s="36" t="inlineStr">
        <is>
          <t>Hello! I’m Tifany! I’m from Washington state in the good ole US-of-A. I’m 42 years old, I’m single and live alone, and I’m a Bible Instructor as my main source of income. I also do Rover, and have an independent, small business caring for pets called Havenly Paws.
Things I enjoy doing would include scrolling Facebook reels about stupid mukbangs (why? I have absolutely no idea because I don’t even eat that stuff lol!), spending time with my 5 month old grandbaby, church functions, ministry, learning more about God’s love for us, socializing, new adventures, sewing and quilting, helping others, learning and playing piano, singing, and most forms of creativity. I also enjoy debating, which I know that most people hate, but it’s because I really love deep thinking and the opportunity to see perspectives I haven’t yet considered. I’m more than willing to be wrong and it’s not that I need to “win”, I just want to learn more — I love learning! But being right can be really fun too (haha). Philosophizing is totes exciting!</t>
        </is>
      </c>
      <c r="R8" s="36" t="inlineStr">
        <is>
          <t>Yes</t>
        </is>
      </c>
      <c r="S8" s="36" t="inlineStr">
        <is>
          <t>Photo</t>
        </is>
      </c>
      <c r="T8" s="36" t="n"/>
      <c r="U8" s="36" t="n"/>
      <c r="V8" s="34">
        <f>IF($A8="","",IF('⚙️ Settings'!$B$1="","",INT(($A8-'⚙️ Settings'!$B$1)/7)+1))</f>
        <v/>
      </c>
    </row>
    <row r="9" ht="15" customHeight="1" s="26">
      <c r="A9" s="32" t="n">
        <v>46212</v>
      </c>
      <c r="B9" s="33" t="inlineStr">
        <is>
          <t>Tifany</t>
        </is>
      </c>
      <c r="C9" s="33" t="inlineStr">
        <is>
          <t>T</t>
        </is>
      </c>
      <c r="D9" s="33" t="inlineStr">
        <is>
          <t>Topic 1. Welcome</t>
        </is>
      </c>
      <c r="E9" s="33" t="n"/>
      <c r="G9" s="33" t="n"/>
      <c r="H9" s="33" t="n"/>
      <c r="I9" s="33" t="n"/>
      <c r="J9" s="33" t="n"/>
      <c r="K9" s="33" t="n"/>
      <c r="L9" s="33" t="n"/>
      <c r="M9" s="33" t="n"/>
      <c r="N9" s="33" t="n"/>
      <c r="O9" s="33" t="n"/>
      <c r="P9" s="33" t="n"/>
      <c r="Q9" s="33" t="inlineStr">
        <is>
          <t>Thank you!</t>
        </is>
      </c>
      <c r="R9" s="33" t="inlineStr">
        <is>
          <t>No</t>
        </is>
      </c>
      <c r="S9" s="33" t="n"/>
      <c r="T9" s="33" t="n"/>
      <c r="U9" s="33" t="n"/>
      <c r="V9" s="34">
        <f>IF($A9="","",IF('⚙️ Settings'!$B$1="","",INT(($A9-'⚙️ Settings'!$B$1)/7)+1))</f>
        <v/>
      </c>
    </row>
    <row r="10" ht="15" customHeight="1" s="26">
      <c r="A10" s="35" t="n">
        <v>46212</v>
      </c>
      <c r="B10" s="36" t="inlineStr">
        <is>
          <t>Kristin</t>
        </is>
      </c>
      <c r="C10" s="36" t="inlineStr">
        <is>
          <t>T</t>
        </is>
      </c>
      <c r="D10" s="36" t="inlineStr">
        <is>
          <t>Topic 3. Me on Rover</t>
        </is>
      </c>
      <c r="E10" s="36" t="n"/>
      <c r="G10" s="36" t="n"/>
      <c r="H10" s="36" t="n"/>
      <c r="I10" s="36" t="n"/>
      <c r="J10" s="36" t="n"/>
      <c r="K10" s="36" t="n"/>
      <c r="L10" s="36" t="n"/>
      <c r="M10" s="36" t="n"/>
      <c r="N10" s="36" t="n"/>
      <c r="O10" s="36" t="n"/>
      <c r="P10" s="36" t="n"/>
      <c r="Q10" s="36" t="inlineStr">
        <is>
          <t>I have been using Rover since 2018.
I started using Rover for supplemental income when I was promoted at my full-time job and was no longer receiving overtime.
I provide dog- walking,  dropin visits and housesitting.
Total bookings 1705
Petsitting experience includes pups and kitties to seniors. Medication administering,  I love my regulars and meeting new clients.</t>
        </is>
      </c>
      <c r="R10" s="36" t="inlineStr">
        <is>
          <t>No</t>
        </is>
      </c>
      <c r="S10" s="36" t="n"/>
      <c r="T10" s="36" t="n"/>
      <c r="U10" s="36" t="n"/>
      <c r="V10" s="34">
        <f>IF($A10="","",IF('⚙️ Settings'!$B$1="","",INT(($A10-'⚙️ Settings'!$B$1)/7)+1))</f>
        <v/>
      </c>
    </row>
    <row r="11" ht="15" customHeight="1" s="26">
      <c r="A11" s="32" t="n">
        <v>46212</v>
      </c>
      <c r="B11" s="33" t="inlineStr">
        <is>
          <t>Kristin</t>
        </is>
      </c>
      <c r="C11" s="33" t="inlineStr">
        <is>
          <t>T</t>
        </is>
      </c>
      <c r="D11" s="33" t="inlineStr">
        <is>
          <t>Topic 3. Me on Rover</t>
        </is>
      </c>
      <c r="E11" s="33" t="n"/>
      <c r="G11" s="33" t="n"/>
      <c r="H11" s="33" t="n"/>
      <c r="I11" s="33" t="n"/>
      <c r="J11" s="33" t="n"/>
      <c r="K11" s="33" t="n"/>
      <c r="L11" s="33" t="n"/>
      <c r="M11" s="33" t="n"/>
      <c r="N11" s="33" t="n"/>
      <c r="O11" s="33" t="n"/>
      <c r="P11" s="33" t="n"/>
      <c r="Q11" s="33" t="n"/>
      <c r="R11" s="33" t="inlineStr">
        <is>
          <t>Yes</t>
        </is>
      </c>
      <c r="S11" s="33" t="inlineStr">
        <is>
          <t>Photo</t>
        </is>
      </c>
      <c r="T11" s="33" t="n"/>
      <c r="U11" s="33" t="n"/>
      <c r="V11" s="34">
        <f>IF($A11="","",IF('⚙️ Settings'!$B$1="","",INT(($A11-'⚙️ Settings'!$B$1)/7)+1))</f>
        <v/>
      </c>
    </row>
    <row r="12" ht="15" customHeight="1" s="26">
      <c r="A12" s="35" t="n">
        <v>46212</v>
      </c>
      <c r="B12" s="36" t="inlineStr">
        <is>
          <t>Deborah</t>
        </is>
      </c>
      <c r="C12" s="36" t="inlineStr">
        <is>
          <t>N</t>
        </is>
      </c>
      <c r="D12" s="36" t="inlineStr">
        <is>
          <t>Topic 2. That's me</t>
        </is>
      </c>
      <c r="E12" s="36" t="n"/>
      <c r="G12" s="36" t="n"/>
      <c r="H12" s="36" t="n"/>
      <c r="I12" s="36" t="n"/>
      <c r="J12" s="36" t="n"/>
      <c r="K12" s="36" t="n"/>
      <c r="L12" s="36" t="n"/>
      <c r="M12" s="36" t="n"/>
      <c r="N12" s="36" t="n"/>
      <c r="O12" s="36" t="n"/>
      <c r="P12" s="36" t="n"/>
      <c r="Q12" s="36" t="inlineStr">
        <is>
          <t>Deborah, but I prefer Debbie. I live in the US in Ohio. I am 74. I am retired and live alone. I enjoy nature, art, and music. I hike often and frequent indoor and outdoor concerts. I am an artist, working in acrylics with abstract and hand-painted details.</t>
        </is>
      </c>
      <c r="R12" s="36" t="inlineStr">
        <is>
          <t>No</t>
        </is>
      </c>
      <c r="S12" s="36" t="n"/>
      <c r="T12" s="36" t="n"/>
      <c r="U12" s="36" t="n"/>
      <c r="V12" s="34">
        <f>IF($A12="","",IF('⚙️ Settings'!$B$1="","",INT(($A12-'⚙️ Settings'!$B$1)/7)+1))</f>
        <v/>
      </c>
    </row>
    <row r="13" ht="15" customHeight="1" s="26">
      <c r="A13" s="32" t="n">
        <v>46212</v>
      </c>
      <c r="B13" s="33" t="inlineStr">
        <is>
          <t>Deborah</t>
        </is>
      </c>
      <c r="C13" s="33" t="inlineStr">
        <is>
          <t>N</t>
        </is>
      </c>
      <c r="D13" s="33" t="inlineStr">
        <is>
          <t>Topic 3. Me on Rover</t>
        </is>
      </c>
      <c r="E13" s="33" t="n"/>
      <c r="G13" s="33" t="n"/>
      <c r="H13" s="33" t="n"/>
      <c r="I13" s="33" t="n"/>
      <c r="J13" s="33" t="n"/>
      <c r="K13" s="33" t="n"/>
      <c r="L13" s="33" t="n"/>
      <c r="M13" s="33" t="n"/>
      <c r="N13" s="33" t="n"/>
      <c r="O13" s="33" t="n"/>
      <c r="P13" s="33" t="n"/>
      <c r="Q13" s="33" t="inlineStr">
        <is>
          <t>I recently started using Rover. I started because I sit with my families dogs and love doing it. I do not have a dog of my own any longer. I offer in home sitting for long weekends or extended vacations. I got my first booking within two days of posting my Rover availablity. I’ve found getting started on Rover easy. The tips on use of the site that were emailed to me later have been timely and helpful</t>
        </is>
      </c>
      <c r="R13" s="33" t="inlineStr">
        <is>
          <t>No</t>
        </is>
      </c>
      <c r="S13" s="33" t="n"/>
      <c r="T13" s="33" t="n"/>
      <c r="U13" s="33" t="n"/>
      <c r="V13" s="34">
        <f>IF($A13="","",IF('⚙️ Settings'!$B$1="","",INT(($A13-'⚙️ Settings'!$B$1)/7)+1))</f>
        <v/>
      </c>
    </row>
    <row r="14" ht="15" customHeight="1" s="26">
      <c r="A14" s="35" t="n">
        <v>46212</v>
      </c>
      <c r="B14" s="36" t="inlineStr">
        <is>
          <t>Deborah</t>
        </is>
      </c>
      <c r="C14" s="36" t="inlineStr">
        <is>
          <t>N</t>
        </is>
      </c>
      <c r="D14" s="36" t="inlineStr">
        <is>
          <t>Topic 4. My motivation to become a pet sitter</t>
        </is>
      </c>
      <c r="E14" s="36" t="n"/>
      <c r="G14" s="36" t="n"/>
      <c r="H14" s="36" t="n"/>
      <c r="I14" s="36" t="n"/>
      <c r="J14" s="36" t="n"/>
      <c r="K14" s="36" t="n"/>
      <c r="L14" s="36" t="n"/>
      <c r="M14" s="36" t="n"/>
      <c r="N14" s="36" t="n"/>
      <c r="O14" s="36" t="n"/>
      <c r="P14" s="36" t="n"/>
      <c r="Q14" s="36" t="inlineStr">
        <is>
          <t>I had a companion, some called her a dog, but she was my best friend. I could never replace her, but found I could get and give love from my families (my grand puppies) dogs. My daughter suggested I check out Rover as a way to combine my love of dogs, make best use of my available time, and earn some extra money. I stay in the clients home, follow their instructions and dogs habits to the letter. i.e. no people food. I would like to pick up long weekends or extended stay vacations once a month or so for extra income.</t>
        </is>
      </c>
      <c r="R14" s="36" t="inlineStr">
        <is>
          <t>No</t>
        </is>
      </c>
      <c r="S14" s="36" t="n"/>
      <c r="T14" s="36" t="n"/>
      <c r="U14" s="36" t="n"/>
      <c r="V14" s="34">
        <f>IF($A14="","",IF('⚙️ Settings'!$B$1="","",INT(($A14-'⚙️ Settings'!$B$1)/7)+1))</f>
        <v/>
      </c>
    </row>
    <row r="15" ht="15" customHeight="1" s="26">
      <c r="A15" s="32" t="n">
        <v>46212</v>
      </c>
      <c r="B15" s="33" t="inlineStr">
        <is>
          <t>Deborah</t>
        </is>
      </c>
      <c r="C15" s="33" t="inlineStr">
        <is>
          <t>N</t>
        </is>
      </c>
      <c r="D15" s="33" t="inlineStr">
        <is>
          <t>Topic 2. That's me</t>
        </is>
      </c>
      <c r="E15" s="33" t="n"/>
      <c r="G15" s="33" t="n"/>
      <c r="H15" s="33" t="n"/>
      <c r="I15" s="33" t="n"/>
      <c r="J15" s="33" t="n"/>
      <c r="K15" s="33" t="n"/>
      <c r="L15" s="33" t="n"/>
      <c r="M15" s="33" t="n"/>
      <c r="N15" s="33" t="n"/>
      <c r="O15" s="33" t="n"/>
      <c r="P15" s="33" t="n"/>
      <c r="Q15" s="33" t="n"/>
      <c r="R15" s="33" t="inlineStr">
        <is>
          <t>Yes</t>
        </is>
      </c>
      <c r="S15" s="33" t="inlineStr">
        <is>
          <t>Photo</t>
        </is>
      </c>
      <c r="T15" s="33" t="n"/>
      <c r="U15" s="33" t="n"/>
      <c r="V15" s="34">
        <f>IF($A15="","",IF('⚙️ Settings'!$B$1="","",INT(($A15-'⚙️ Settings'!$B$1)/7)+1))</f>
        <v/>
      </c>
    </row>
    <row r="16" ht="15" customHeight="1" s="26">
      <c r="A16" s="35" t="n">
        <v>46212</v>
      </c>
      <c r="B16" s="36" t="inlineStr">
        <is>
          <t>Deborah</t>
        </is>
      </c>
      <c r="C16" s="36" t="inlineStr">
        <is>
          <t>N</t>
        </is>
      </c>
      <c r="D16" s="36" t="inlineStr">
        <is>
          <t>Topic 1. Welcome</t>
        </is>
      </c>
      <c r="E16" s="36" t="n"/>
      <c r="G16" s="36" t="n"/>
      <c r="H16" s="36" t="n"/>
      <c r="I16" s="36" t="n"/>
      <c r="J16" s="36" t="n"/>
      <c r="K16" s="36" t="n"/>
      <c r="L16" s="36" t="n"/>
      <c r="M16" s="36" t="n"/>
      <c r="N16" s="36" t="n"/>
      <c r="O16" s="36" t="n"/>
      <c r="P16" s="36" t="n"/>
      <c r="Q16" s="36" t="inlineStr">
        <is>
          <t>I found Rover easy to use. I have two meet and greets set for next week</t>
        </is>
      </c>
      <c r="R16" s="36" t="inlineStr">
        <is>
          <t>No</t>
        </is>
      </c>
      <c r="S16" s="36" t="n"/>
      <c r="T16" s="36" t="n"/>
      <c r="U16" s="36" t="n"/>
      <c r="V16" s="34">
        <f>IF($A16="","",IF('⚙️ Settings'!$B$1="","",INT(($A16-'⚙️ Settings'!$B$1)/7)+1))</f>
        <v/>
      </c>
    </row>
    <row r="17" ht="15" customHeight="1" s="26">
      <c r="A17" s="32" t="n">
        <v>46212</v>
      </c>
      <c r="B17" s="33" t="inlineStr">
        <is>
          <t>Deborah</t>
        </is>
      </c>
      <c r="C17" s="33" t="inlineStr">
        <is>
          <t>N</t>
        </is>
      </c>
      <c r="D17" s="33" t="inlineStr">
        <is>
          <t>Topic 1. Welcome</t>
        </is>
      </c>
      <c r="E17" s="33" t="n"/>
      <c r="G17" s="33" t="n"/>
      <c r="H17" s="33" t="n"/>
      <c r="I17" s="33" t="n"/>
      <c r="J17" s="33" t="n"/>
      <c r="K17" s="33" t="n"/>
      <c r="L17" s="33" t="n"/>
      <c r="M17" s="33" t="n"/>
      <c r="N17" s="33" t="n"/>
      <c r="O17" s="33" t="n"/>
      <c r="P17" s="33" t="n"/>
      <c r="Q17" s="33" t="inlineStr">
        <is>
          <t>I love dogs and animals in general. This is me bottle feeding a 9 month old baby bear. The coat is course and rough. This is Bean. He insisted on being pet as he drank. If I stopped petting he whined.</t>
        </is>
      </c>
      <c r="R17" s="33" t="inlineStr">
        <is>
          <t>Yes</t>
        </is>
      </c>
      <c r="S17" s="33" t="inlineStr">
        <is>
          <t>Photo</t>
        </is>
      </c>
      <c r="T17" s="33" t="n"/>
      <c r="U17" s="33" t="n"/>
      <c r="V17" s="34">
        <f>IF($A17="","",IF('⚙️ Settings'!$B$1="","",INT(($A17-'⚙️ Settings'!$B$1)/7)+1))</f>
        <v/>
      </c>
    </row>
    <row r="18" ht="15" customHeight="1" s="26">
      <c r="A18" s="35" t="n">
        <v>46213</v>
      </c>
      <c r="B18" s="36" t="inlineStr">
        <is>
          <t>Joey</t>
        </is>
      </c>
      <c r="C18" s="36" t="inlineStr">
        <is>
          <t>M</t>
        </is>
      </c>
      <c r="D18" s="36" t="inlineStr">
        <is>
          <t>Topic 1. Welcome</t>
        </is>
      </c>
      <c r="E18" s="36" t="n"/>
      <c r="G18" s="36" t="n"/>
      <c r="H18" s="36" t="n"/>
      <c r="I18" s="36" t="n"/>
      <c r="J18" s="36" t="n"/>
      <c r="K18" s="36" t="n"/>
      <c r="L18" s="36" t="n"/>
      <c r="M18" s="36" t="n"/>
      <c r="N18" s="36" t="n"/>
      <c r="O18" s="36" t="n"/>
      <c r="P18" s="36" t="n"/>
      <c r="Q18" s="36" t="inlineStr">
        <is>
          <t>Thank you Myriel and Lisa for the introduction. Looking forward to meeting you soon!</t>
        </is>
      </c>
      <c r="R18" s="36" t="inlineStr">
        <is>
          <t>No</t>
        </is>
      </c>
      <c r="S18" s="36" t="n"/>
      <c r="T18" s="36" t="n"/>
      <c r="U18" s="36" t="n"/>
      <c r="V18" s="34">
        <f>IF($A18="","",IF('⚙️ Settings'!$B$1="","",INT(($A18-'⚙️ Settings'!$B$1)/7)+1))</f>
        <v/>
      </c>
    </row>
    <row r="19" ht="15" customHeight="1" s="26">
      <c r="A19" s="32" t="n">
        <v>46213</v>
      </c>
      <c r="B19" s="33" t="inlineStr">
        <is>
          <t>Becky</t>
        </is>
      </c>
      <c r="C19" s="33" t="inlineStr">
        <is>
          <t>T</t>
        </is>
      </c>
      <c r="D19" s="33" t="inlineStr">
        <is>
          <t>Topic 1. Welcome</t>
        </is>
      </c>
      <c r="E19" s="33" t="n"/>
      <c r="G19" s="33" t="n"/>
      <c r="H19" s="33" t="n"/>
      <c r="I19" s="33" t="n"/>
      <c r="J19" s="33" t="n"/>
      <c r="K19" s="33" t="n"/>
      <c r="L19" s="33" t="n"/>
      <c r="M19" s="33" t="n"/>
      <c r="N19" s="33" t="n"/>
      <c r="O19" s="33" t="n"/>
      <c r="P19" s="33" t="n"/>
      <c r="Q19" s="33" t="inlineStr">
        <is>
          <t>Acknowledged</t>
        </is>
      </c>
      <c r="R19" s="33" t="inlineStr">
        <is>
          <t>No</t>
        </is>
      </c>
      <c r="S19" s="33" t="n"/>
      <c r="T19" s="33" t="n"/>
      <c r="U19" s="33" t="n"/>
      <c r="V19" s="34">
        <f>IF($A19="","",IF('⚙️ Settings'!$B$1="","",INT(($A19-'⚙️ Settings'!$B$1)/7)+1))</f>
        <v/>
      </c>
    </row>
    <row r="20" ht="15" customHeight="1" s="26">
      <c r="A20" s="37" t="n">
        <v>46217</v>
      </c>
      <c r="B20" s="36" t="inlineStr">
        <is>
          <t>Shania</t>
        </is>
      </c>
      <c r="C20" s="36" t="inlineStr">
        <is>
          <t>T</t>
        </is>
      </c>
      <c r="D20" s="36" t="inlineStr">
        <is>
          <t>Topic 1. Welcome</t>
        </is>
      </c>
      <c r="E20" s="36" t="n"/>
      <c r="G20" s="36" t="n"/>
      <c r="H20" s="36" t="n"/>
      <c r="I20" s="36" t="n"/>
      <c r="J20" s="36" t="n"/>
      <c r="K20" s="36" t="n"/>
      <c r="L20" s="36" t="n"/>
      <c r="M20" s="36" t="n"/>
      <c r="N20" s="36" t="n"/>
      <c r="O20" s="36" t="n"/>
      <c r="P20" s="36" t="n"/>
      <c r="Q20" s="36" t="inlineStr">
        <is>
          <t>Sounds good!</t>
        </is>
      </c>
      <c r="R20" s="36" t="inlineStr">
        <is>
          <t>No</t>
        </is>
      </c>
      <c r="S20" s="36" t="inlineStr">
        <is>
          <t>None</t>
        </is>
      </c>
      <c r="T20" s="36" t="n"/>
      <c r="U20" s="36" t="n"/>
      <c r="V20" s="34">
        <f>IF($A20="","",IF('⚙️ Settings'!$B$1="","",INT(($A20-'⚙️ Settings'!$B$1)/7)+1))</f>
        <v/>
      </c>
    </row>
    <row r="21" ht="15" customHeight="1" s="26">
      <c r="A21" s="38" t="n">
        <v>46219</v>
      </c>
      <c r="B21" s="33" t="inlineStr">
        <is>
          <t>Alexandra</t>
        </is>
      </c>
      <c r="C21" s="33" t="inlineStr">
        <is>
          <t>N</t>
        </is>
      </c>
      <c r="D21" s="33" t="inlineStr">
        <is>
          <t>Topic 1. Welcome</t>
        </is>
      </c>
      <c r="E21" s="33" t="n"/>
      <c r="G21" s="33" t="n"/>
      <c r="H21" s="33" t="n"/>
      <c r="I21" s="33" t="n"/>
      <c r="J21" s="33" t="n"/>
      <c r="K21" s="33" t="n"/>
      <c r="L21" s="33" t="n"/>
      <c r="M21" s="33" t="n"/>
      <c r="N21" s="33" t="n"/>
      <c r="O21" s="33" t="n"/>
      <c r="P21" s="33" t="n"/>
      <c r="Q21" s="33" t="inlineStr">
        <is>
          <t>Thank you! Happy to belong to this project investigation!</t>
        </is>
      </c>
      <c r="R21" s="33" t="inlineStr">
        <is>
          <t>No</t>
        </is>
      </c>
      <c r="S21" s="33" t="inlineStr">
        <is>
          <t>None</t>
        </is>
      </c>
      <c r="T21" s="33" t="n"/>
      <c r="U21" s="33" t="n"/>
      <c r="V21" s="34">
        <f>IF($A21="","",IF('⚙️ Settings'!$B$1="","",INT(($A21-'⚙️ Settings'!$B$1)/7)+1))</f>
        <v/>
      </c>
    </row>
    <row r="22" ht="15" customHeight="1" s="26">
      <c r="A22" s="37" t="n">
        <v>46214</v>
      </c>
      <c r="B22" s="36" t="inlineStr">
        <is>
          <t>Annabelle</t>
        </is>
      </c>
      <c r="C22" s="36" t="inlineStr">
        <is>
          <t>N</t>
        </is>
      </c>
      <c r="D22" s="36" t="inlineStr">
        <is>
          <t>Topic 2. That's me</t>
        </is>
      </c>
      <c r="E22" s="36" t="n"/>
      <c r="G22" s="36" t="n"/>
      <c r="H22" s="36" t="n"/>
      <c r="I22" s="36" t="n"/>
      <c r="J22" s="36" t="n"/>
      <c r="K22" s="36" t="n"/>
      <c r="L22" s="36" t="n"/>
      <c r="M22" s="36" t="n"/>
      <c r="N22" s="36" t="n"/>
      <c r="O22" s="36" t="n"/>
      <c r="P22" s="36" t="n"/>
      <c r="Q22" s="36" t="inlineStr">
        <is>
          <t>My name is Bella and I live in Denver, CO in the United States. I am 23 years old and am living with a roommate in an apartment. I am in grad school getting my masters in social work and also working as a therapist for adolescents. I enjoy skiing, hiking, listening to music, being outside, and meeting new people!</t>
        </is>
      </c>
      <c r="R22" s="36" t="inlineStr">
        <is>
          <t>No</t>
        </is>
      </c>
      <c r="S22" s="36" t="inlineStr">
        <is>
          <t>None</t>
        </is>
      </c>
      <c r="T22" s="36" t="n"/>
      <c r="U22" s="36" t="n"/>
      <c r="V22" s="34">
        <f>IF($A22="","",IF('⚙️ Settings'!$B$1="","",INT(($A22-'⚙️ Settings'!$B$1)/7)+1))</f>
        <v/>
      </c>
    </row>
    <row r="23" ht="15" customHeight="1" s="26">
      <c r="A23" s="38" t="n">
        <v>46216</v>
      </c>
      <c r="B23" s="33" t="inlineStr">
        <is>
          <t>Naomi</t>
        </is>
      </c>
      <c r="C23" s="33" t="inlineStr">
        <is>
          <t>M</t>
        </is>
      </c>
      <c r="D23" s="33" t="inlineStr">
        <is>
          <t>Topic 2. That's me</t>
        </is>
      </c>
      <c r="E23" s="33" t="n"/>
      <c r="G23" s="33" t="n"/>
      <c r="H23" s="33" t="n"/>
      <c r="I23" s="33" t="n"/>
      <c r="J23" s="33" t="n"/>
      <c r="K23" s="33" t="n"/>
      <c r="L23" s="33" t="n"/>
      <c r="M23" s="33" t="n"/>
      <c r="N23" s="33" t="n"/>
      <c r="O23" s="33" t="n"/>
      <c r="P23" s="33" t="n"/>
      <c r="Q23" s="33" t="inlineStr">
        <is>
          <t>Naomi USA 37 I own a large single family home in the bronx with a big back yard. I rent out airbnb and 2 long term bedrooms. I used to work in Tech, now I earn rental income and work as a personal trainer, group class instructor and dog sitter. I enjoy outside activities, yoga and MMA.</t>
        </is>
      </c>
      <c r="R23" s="33" t="inlineStr">
        <is>
          <t>No</t>
        </is>
      </c>
      <c r="S23" s="33" t="inlineStr">
        <is>
          <t>None</t>
        </is>
      </c>
      <c r="T23" s="33" t="n"/>
      <c r="U23" s="33" t="n"/>
      <c r="V23" s="34">
        <f>IF($A23="","",IF('⚙️ Settings'!$B$1="","",INT(($A23-'⚙️ Settings'!$B$1)/7)+1))</f>
        <v/>
      </c>
    </row>
    <row r="24" ht="15" customHeight="1" s="26">
      <c r="A24" s="37" t="n">
        <v>46216</v>
      </c>
      <c r="B24" s="36" t="inlineStr">
        <is>
          <t>Amy</t>
        </is>
      </c>
      <c r="C24" s="36" t="inlineStr">
        <is>
          <t>T</t>
        </is>
      </c>
      <c r="D24" s="36" t="inlineStr">
        <is>
          <t>Topic 2. That's me</t>
        </is>
      </c>
      <c r="E24" s="36" t="n"/>
      <c r="G24" s="36" t="n"/>
      <c r="H24" s="36" t="n"/>
      <c r="I24" s="36" t="n"/>
      <c r="J24" s="36" t="n"/>
      <c r="K24" s="36" t="n"/>
      <c r="L24" s="36" t="n"/>
      <c r="M24" s="36" t="n"/>
      <c r="N24" s="36" t="n"/>
      <c r="O24" s="36" t="n"/>
      <c r="P24" s="36" t="n"/>
      <c r="Q24" s="36" t="inlineStr">
        <is>
          <t>My name is Amy. I live near Pittsburgh,  Pennsylvania in the USA. I am 60 years old and live in a suburban home with my husband, 2 dogs and cat. We have 3 adult children, 2 of which live nearby. I enjoy walking, swimming, reading, true crime, crocheting, baking and spending time with my kids. I retired from teaching elementary music in June of 24 after 32 years in the profession. I miss the kids, but love the freedom of retirement.</t>
        </is>
      </c>
      <c r="R24" s="36" t="inlineStr">
        <is>
          <t>No</t>
        </is>
      </c>
      <c r="S24" s="36" t="inlineStr">
        <is>
          <t>None</t>
        </is>
      </c>
      <c r="T24" s="36" t="n"/>
      <c r="U24" s="36" t="n"/>
      <c r="V24" s="34">
        <f>IF($A24="","",IF('⚙️ Settings'!$B$1="","",INT(($A24-'⚙️ Settings'!$B$1)/7)+1))</f>
        <v/>
      </c>
    </row>
    <row r="25" ht="15" customHeight="1" s="26">
      <c r="A25" s="38" t="n">
        <v>46217</v>
      </c>
      <c r="B25" s="33" t="inlineStr">
        <is>
          <t>Colin</t>
        </is>
      </c>
      <c r="C25" s="33" t="inlineStr">
        <is>
          <t>T</t>
        </is>
      </c>
      <c r="D25" s="33" t="inlineStr">
        <is>
          <t>Topic 2. That's me</t>
        </is>
      </c>
      <c r="E25" s="33" t="n"/>
      <c r="G25" s="33" t="n"/>
      <c r="H25" s="33" t="n"/>
      <c r="I25" s="33" t="n"/>
      <c r="J25" s="33" t="n"/>
      <c r="K25" s="33" t="n"/>
      <c r="L25" s="33" t="n"/>
      <c r="M25" s="33" t="n"/>
      <c r="N25" s="33" t="n"/>
      <c r="O25" s="33" t="n"/>
      <c r="P25" s="33" t="n"/>
      <c r="Q25" s="33" t="inlineStr">
        <is>
          <t>My name is Colin, I'm originally from Colorado in the USA but now live in Toronto, Canada with my wife and our dog, Pepsi. I have been a teacher for 15 years but I am sick of it and ready for a change. I was fortunate enough to be able to teach abroad in Asia for several years and spend a lot of time solo traveling to new places. I used to love rock and roll, going to the movies, and camping in the mountains. I still like all those but now that I'm older, I just want to spend quiet times with my wife and dog!</t>
        </is>
      </c>
      <c r="R25" s="33" t="inlineStr">
        <is>
          <t>No</t>
        </is>
      </c>
      <c r="S25" s="33" t="inlineStr">
        <is>
          <t>None</t>
        </is>
      </c>
      <c r="T25" s="33" t="n"/>
      <c r="U25" s="33" t="n"/>
      <c r="V25" s="34">
        <f>IF($A25="","",IF('⚙️ Settings'!$B$1="","",INT(($A25-'⚙️ Settings'!$B$1)/7)+1))</f>
        <v/>
      </c>
    </row>
    <row r="26" ht="15" customHeight="1" s="26">
      <c r="A26" s="37" t="n">
        <v>46217</v>
      </c>
      <c r="B26" s="36" t="inlineStr">
        <is>
          <t>Caroline</t>
        </is>
      </c>
      <c r="C26" s="36" t="inlineStr">
        <is>
          <t>M</t>
        </is>
      </c>
      <c r="D26" s="36" t="inlineStr">
        <is>
          <t>Topic 2. That's me</t>
        </is>
      </c>
      <c r="E26" s="36" t="n"/>
      <c r="G26" s="36" t="n"/>
      <c r="H26" s="36" t="n"/>
      <c r="I26" s="36" t="n"/>
      <c r="J26" s="36" t="n"/>
      <c r="K26" s="36" t="n"/>
      <c r="L26" s="36" t="n"/>
      <c r="M26" s="36" t="n"/>
      <c r="N26" s="36" t="n"/>
      <c r="O26" s="36" t="n"/>
      <c r="P26" s="36" t="n"/>
      <c r="Q26" s="36" t="inlineStr">
        <is>
          <t>My name is Caroline and I am from the US born in Ohio and now living in the rural mountains of North Carolina. I am 43 and bought a home where I have a crystal store I sell online as well as taking over the family business of a travel agency! Before this I did Human Resources for 14 years and was a consultant too so hopefully that will help me find great discoveries to help you all in this research! I love to read, see live music and be in nature kayaking!</t>
        </is>
      </c>
      <c r="R26" s="36" t="inlineStr">
        <is>
          <t>No</t>
        </is>
      </c>
      <c r="S26" s="36" t="inlineStr">
        <is>
          <t>None</t>
        </is>
      </c>
      <c r="T26" s="36" t="n"/>
      <c r="U26" s="36" t="n"/>
      <c r="V26" s="34">
        <f>IF($A26="","",IF('⚙️ Settings'!$B$1="","",INT(($A26-'⚙️ Settings'!$B$1)/7)+1))</f>
        <v/>
      </c>
    </row>
    <row r="27" ht="15" customHeight="1" s="26">
      <c r="A27" s="38" t="n">
        <v>46218</v>
      </c>
      <c r="B27" s="33" t="inlineStr">
        <is>
          <t>Rachel</t>
        </is>
      </c>
      <c r="C27" s="33" t="inlineStr">
        <is>
          <t>N</t>
        </is>
      </c>
      <c r="D27" s="33" t="inlineStr">
        <is>
          <t>Topic 2. That's me</t>
        </is>
      </c>
      <c r="E27" s="33" t="n"/>
      <c r="G27" s="33" t="n"/>
      <c r="H27" s="33" t="n"/>
      <c r="I27" s="33" t="n"/>
      <c r="J27" s="33" t="n"/>
      <c r="K27" s="33" t="n"/>
      <c r="L27" s="33" t="n"/>
      <c r="M27" s="33" t="n"/>
      <c r="N27" s="33" t="n"/>
      <c r="O27" s="33" t="n"/>
      <c r="P27" s="33" t="n"/>
      <c r="Q27" s="33" t="inlineStr">
        <is>
          <t>Hi! My name is Rachel, and I like in California. I'm 27 years old and live alone! I'm a city planner working for a government agency. I love hanging out with friends, going to the park, reading, dancing, playing tennis, and thrifting! I also LOVE dogs!</t>
        </is>
      </c>
      <c r="R27" s="33" t="inlineStr">
        <is>
          <t>No</t>
        </is>
      </c>
      <c r="S27" s="33" t="inlineStr">
        <is>
          <t>None</t>
        </is>
      </c>
      <c r="T27" s="33" t="n"/>
      <c r="U27" s="33" t="n"/>
      <c r="V27" s="34">
        <f>IF($A27="","",IF('⚙️ Settings'!$B$1="","",INT(($A27-'⚙️ Settings'!$B$1)/7)+1))</f>
        <v/>
      </c>
    </row>
    <row r="28" ht="15" customHeight="1" s="26">
      <c r="A28" s="37" t="n">
        <v>46218</v>
      </c>
      <c r="B28" s="36" t="inlineStr">
        <is>
          <t>Bruna</t>
        </is>
      </c>
      <c r="C28" s="36" t="inlineStr">
        <is>
          <t>T</t>
        </is>
      </c>
      <c r="D28" s="36" t="inlineStr">
        <is>
          <t>Topic 2. That's me</t>
        </is>
      </c>
      <c r="E28" s="36" t="n"/>
      <c r="G28" s="36" t="n"/>
      <c r="H28" s="36" t="n"/>
      <c r="I28" s="36" t="n"/>
      <c r="J28" s="36" t="n"/>
      <c r="K28" s="36" t="n"/>
      <c r="L28" s="36" t="n"/>
      <c r="M28" s="36" t="n"/>
      <c r="N28" s="36" t="n"/>
      <c r="O28" s="36" t="n"/>
      <c r="P28" s="36" t="n"/>
      <c r="Q28" s="36" t="inlineStr">
        <is>
          <t>Hi!
My name is Bruna, I'm 28 years old and I live in New Westminster, British Columbia, Canada, with my boyfriend.
I'm from Brazil and have been living in Canada for about six years.
I'm a professional dog trainer and pet care provider, and I run my own dog training business. I have a background in neuroscience and biomedicine, and I currently offer dog boarding through Rover. Dogs are a very big part of my daily life, both professionally and personally.
Outside of work, I enjoy studying dog behaviour and continuing my education, singing, playing guitar, skiing, spending time with friends and travelling. I also really enjoy learning in general and I'm usually taking a course or becoming interested in a new subject.</t>
        </is>
      </c>
      <c r="R28" s="36" t="inlineStr">
        <is>
          <t>No</t>
        </is>
      </c>
      <c r="S28" s="36" t="inlineStr">
        <is>
          <t>None</t>
        </is>
      </c>
      <c r="T28" s="36" t="n"/>
      <c r="U28" s="36" t="n"/>
      <c r="V28" s="34">
        <f>IF($A28="","",IF('⚙️ Settings'!$B$1="","",INT(($A28-'⚙️ Settings'!$B$1)/7)+1))</f>
        <v/>
      </c>
    </row>
    <row r="29" ht="15" customHeight="1" s="26">
      <c r="A29" s="38" t="n">
        <v>46218</v>
      </c>
      <c r="B29" s="33" t="inlineStr">
        <is>
          <t>Ashley</t>
        </is>
      </c>
      <c r="C29" s="33" t="inlineStr">
        <is>
          <t>N</t>
        </is>
      </c>
      <c r="D29" s="33" t="inlineStr">
        <is>
          <t>Topic 2. That's me</t>
        </is>
      </c>
      <c r="E29" s="33" t="n"/>
      <c r="G29" s="33" t="n"/>
      <c r="H29" s="33" t="n"/>
      <c r="I29" s="33" t="n"/>
      <c r="J29" s="33" t="n"/>
      <c r="K29" s="33" t="n"/>
      <c r="L29" s="33" t="n"/>
      <c r="M29" s="33" t="n"/>
      <c r="N29" s="33" t="n"/>
      <c r="O29" s="33" t="n"/>
      <c r="P29" s="33" t="n"/>
      <c r="Q29" s="33" t="inlineStr">
        <is>
          <t>My name is Ashley. I live in the United States. Jacksonville, Florida in the Springfield Area. I'm 24. I live in a two bedroom apartment with my fiancé and our son. I enjoy working at my job as a server assistant, spending quality time with family and friends, being a tarot reader and creating my botanical products, and spending time outside and with my friends who has pets themselves.</t>
        </is>
      </c>
      <c r="R29" s="33" t="inlineStr">
        <is>
          <t>No</t>
        </is>
      </c>
      <c r="S29" s="33" t="inlineStr">
        <is>
          <t>None</t>
        </is>
      </c>
      <c r="T29" s="33" t="n"/>
      <c r="U29" s="33" t="n"/>
      <c r="V29" s="34">
        <f>IF($A29="","",IF('⚙️ Settings'!$B$1="","",INT(($A29-'⚙️ Settings'!$B$1)/7)+1))</f>
        <v/>
      </c>
    </row>
    <row r="30" ht="15" customHeight="1" s="26">
      <c r="A30" s="37" t="n">
        <v>46218</v>
      </c>
      <c r="B30" s="36" t="inlineStr">
        <is>
          <t>Emma</t>
        </is>
      </c>
      <c r="C30" s="36" t="inlineStr">
        <is>
          <t>M</t>
        </is>
      </c>
      <c r="D30" s="36" t="inlineStr">
        <is>
          <t>Topic 2. That's me</t>
        </is>
      </c>
      <c r="E30" s="36" t="n"/>
      <c r="G30" s="36" t="n"/>
      <c r="H30" s="36" t="n"/>
      <c r="I30" s="36" t="n"/>
      <c r="J30" s="36" t="n"/>
      <c r="K30" s="36" t="n"/>
      <c r="L30" s="36" t="n"/>
      <c r="M30" s="36" t="n"/>
      <c r="N30" s="36" t="n"/>
      <c r="O30" s="36" t="n"/>
      <c r="P30" s="36" t="n"/>
      <c r="Q30" s="36" t="inlineStr">
        <is>
          <t>-Emma
-USA, Ohio
-27
-Rent an apartment, living alone with my 2 cats!
-I work as a course scheduler for the business school at a university
-I enjoy running, reading, listening to music (mostly kpop), watching soccer/football, and yoga
-I'm left-handed
-I've traveled to France, Spain, and Canada. My travel bucket list includes Japan, Iceland, Australia, Italy, Korea, Germany, Ireland, Norway, Turkey, Thailand, Morocco, and Switzerland
-I studied international relations and Spanish in university</t>
        </is>
      </c>
      <c r="R30" s="36" t="inlineStr">
        <is>
          <t>No</t>
        </is>
      </c>
      <c r="S30" s="36" t="inlineStr">
        <is>
          <t>None</t>
        </is>
      </c>
      <c r="T30" s="36" t="n"/>
      <c r="U30" s="36" t="n"/>
      <c r="V30" s="34">
        <f>IF($A30="","",IF('⚙️ Settings'!$B$1="","",INT(($A30-'⚙️ Settings'!$B$1)/7)+1))</f>
        <v/>
      </c>
    </row>
    <row r="31" ht="15" customHeight="1" s="26">
      <c r="A31" s="38" t="n">
        <v>46219</v>
      </c>
      <c r="B31" s="33" t="inlineStr">
        <is>
          <t>Alexandra</t>
        </is>
      </c>
      <c r="C31" s="33" t="inlineStr">
        <is>
          <t>N</t>
        </is>
      </c>
      <c r="D31" s="33" t="inlineStr">
        <is>
          <t>Topic 2. That's me</t>
        </is>
      </c>
      <c r="E31" s="33" t="n"/>
      <c r="G31" s="33" t="n"/>
      <c r="H31" s="33" t="n"/>
      <c r="I31" s="33" t="n"/>
      <c r="J31" s="33" t="n"/>
      <c r="K31" s="33" t="n"/>
      <c r="L31" s="33" t="n"/>
      <c r="M31" s="33" t="n"/>
      <c r="N31" s="33" t="n"/>
      <c r="O31" s="33" t="n"/>
      <c r="P31" s="33" t="n"/>
      <c r="Q31" s="33" t="inlineStr">
        <is>
          <t>Hey! My name is Alexandra, currently living in Alberta,Canada! I have 25 years old and I live with my sister. My current profession is Administrative Assistant and pet sitter. I enjoy share my time with pets, dancing, listen to music and eat desserts 😊❤️</t>
        </is>
      </c>
      <c r="R31" s="33" t="inlineStr">
        <is>
          <t>No</t>
        </is>
      </c>
      <c r="S31" s="33" t="inlineStr">
        <is>
          <t>None</t>
        </is>
      </c>
      <c r="T31" s="33" t="n"/>
      <c r="U31" s="33" t="n"/>
      <c r="V31" s="34">
        <f>IF($A31="","",IF('⚙️ Settings'!$B$1="","",INT(($A31-'⚙️ Settings'!$B$1)/7)+1))</f>
        <v/>
      </c>
    </row>
    <row r="32" ht="15" customHeight="1" s="26">
      <c r="A32" s="37" t="n">
        <v>46214</v>
      </c>
      <c r="B32" s="36" t="inlineStr">
        <is>
          <t>Naomi</t>
        </is>
      </c>
      <c r="C32" s="36" t="inlineStr">
        <is>
          <t>M</t>
        </is>
      </c>
      <c r="D32" s="36" t="inlineStr">
        <is>
          <t>Topic 3. Me on Rover</t>
        </is>
      </c>
      <c r="E32" s="36" t="n"/>
      <c r="G32" s="36" t="n"/>
      <c r="H32" s="36" t="n"/>
      <c r="I32" s="36" t="n"/>
      <c r="J32" s="36" t="n"/>
      <c r="K32" s="36" t="n"/>
      <c r="L32" s="36" t="n"/>
      <c r="M32" s="36" t="n"/>
      <c r="N32" s="36" t="n"/>
      <c r="O32" s="36" t="n"/>
      <c r="P32" s="36" t="n"/>
      <c r="Q32" s="36" t="inlineStr">
        <is>
          <t>About a year. I used to dogsit for a friend who had 4 dogs and traveled heavily for work. I used to offer day care but now I only offer boarding and sometimes walks. I have been a heavy Booker. Last year I made ~$18k off rover. I had regulars for daycare but I found that they were too much work compared to typical boarding dogs. I am open to new dogs.</t>
        </is>
      </c>
      <c r="R32" s="36" t="inlineStr">
        <is>
          <t>No</t>
        </is>
      </c>
      <c r="S32" s="36" t="inlineStr">
        <is>
          <t>None</t>
        </is>
      </c>
      <c r="T32" s="36" t="n"/>
      <c r="U32" s="36" t="n"/>
      <c r="V32" s="34">
        <f>IF($A32="","",IF('⚙️ Settings'!$B$1="","",INT(($A32-'⚙️ Settings'!$B$1)/7)+1))</f>
        <v/>
      </c>
    </row>
    <row r="33" ht="15" customHeight="1" s="26">
      <c r="A33" s="38" t="n">
        <v>46216</v>
      </c>
      <c r="B33" s="33" t="inlineStr">
        <is>
          <t>Amy</t>
        </is>
      </c>
      <c r="C33" s="33" t="inlineStr">
        <is>
          <t>T</t>
        </is>
      </c>
      <c r="D33" s="33" t="inlineStr">
        <is>
          <t>Topic 3. Me on Rover</t>
        </is>
      </c>
      <c r="E33" s="33" t="n"/>
      <c r="G33" s="33" t="n"/>
      <c r="H33" s="33" t="n"/>
      <c r="I33" s="33" t="n"/>
      <c r="J33" s="33" t="n"/>
      <c r="K33" s="33" t="n"/>
      <c r="L33" s="33" t="n"/>
      <c r="M33" s="33" t="n"/>
      <c r="N33" s="33" t="n"/>
      <c r="O33" s="33" t="n"/>
      <c r="P33" s="33" t="n"/>
      <c r="Q33" s="33" t="inlineStr">
        <is>
          <t>I created my Rover profile in August of 2025. I love animals and wanted to use what I have learned as a life long dog owner and trained animal shelter volunteer. Being retired gave me more time to interact with animals and having extra income to supplement my pension was attractive. As a kid I always wanted to have lots of dogs- this is my way of having that!
I offer drop in visits/dog walking and house sitting. I did get day care/boarding requests early on which I didn't want to commit to since one of my dogs is sometimes "opinionated" with other dogs.
I have about 100 bookings since 8/25.
I have built up a lot of "regulars". One of them moved, but kindly thanked me before leaving. I have about 14 regular customers. I am currently not accepting new customers. That will change in mid August.
I've become very fond of the dogs and cats- sadly 2 of the dogs have passed away since I started 😢</t>
        </is>
      </c>
      <c r="R33" s="33" t="inlineStr">
        <is>
          <t>No</t>
        </is>
      </c>
      <c r="S33" s="33" t="inlineStr">
        <is>
          <t>None</t>
        </is>
      </c>
      <c r="T33" s="33" t="n"/>
      <c r="U33" s="33" t="n"/>
      <c r="V33" s="34">
        <f>IF($A33="","",IF('⚙️ Settings'!$B$1="","",INT(($A33-'⚙️ Settings'!$B$1)/7)+1))</f>
        <v/>
      </c>
    </row>
    <row r="34" ht="15" customHeight="1" s="26">
      <c r="A34" s="37" t="n">
        <v>46216</v>
      </c>
      <c r="B34" s="36" t="inlineStr">
        <is>
          <t>TR</t>
        </is>
      </c>
      <c r="C34" s="36" t="inlineStr">
        <is>
          <t>T</t>
        </is>
      </c>
      <c r="D34" s="36" t="inlineStr">
        <is>
          <t>Topic 3. Me on Rover</t>
        </is>
      </c>
      <c r="E34" s="36" t="n"/>
      <c r="G34" s="36" t="n"/>
      <c r="H34" s="36" t="n"/>
      <c r="I34" s="36" t="n"/>
      <c r="J34" s="36" t="n"/>
      <c r="K34" s="36" t="n"/>
      <c r="L34" s="36" t="n"/>
      <c r="M34" s="36" t="n"/>
      <c r="N34" s="36" t="n"/>
      <c r="O34" s="36" t="n"/>
      <c r="P34" s="36" t="n"/>
      <c r="Q34" s="36" t="inlineStr">
        <is>
          <t>I've been using Rover since 2023. I started because I always enjoyed taking care of animals, so I figured it was a great idea to make some money from it. I offer drop-ins, boarding and doggy day care. I had 58 total bookings so far.
I have my drop-in and boarding regulars, while I still take new clients at the same time. I take cats mostly but I also take dogs too.</t>
        </is>
      </c>
      <c r="R34" s="36" t="inlineStr">
        <is>
          <t>No</t>
        </is>
      </c>
      <c r="S34" s="36" t="inlineStr">
        <is>
          <t>None</t>
        </is>
      </c>
      <c r="T34" s="36" t="n"/>
      <c r="U34" s="36" t="n"/>
      <c r="V34" s="34">
        <f>IF($A34="","",IF('⚙️ Settings'!$B$1="","",INT(($A34-'⚙️ Settings'!$B$1)/7)+1))</f>
        <v/>
      </c>
    </row>
    <row r="35" ht="15" customHeight="1" s="26">
      <c r="A35" s="38" t="n">
        <v>46216</v>
      </c>
      <c r="B35" s="33" t="inlineStr">
        <is>
          <t>Naomi</t>
        </is>
      </c>
      <c r="C35" s="33" t="inlineStr">
        <is>
          <t>M</t>
        </is>
      </c>
      <c r="D35" s="33" t="inlineStr">
        <is>
          <t>Topic 3. Me on Rover</t>
        </is>
      </c>
      <c r="E35" s="33" t="n"/>
      <c r="G35" s="33" t="n"/>
      <c r="H35" s="33" t="n"/>
      <c r="I35" s="33" t="n"/>
      <c r="J35" s="33" t="n"/>
      <c r="K35" s="33" t="n"/>
      <c r="L35" s="33" t="n"/>
      <c r="M35" s="33" t="n"/>
      <c r="N35" s="33" t="n"/>
      <c r="O35" s="33" t="n"/>
      <c r="P35" s="33" t="n"/>
      <c r="Q35" s="33" t="inlineStr">
        <is>
          <t>Me with a dog I daycare'd through Rover</t>
        </is>
      </c>
      <c r="R35" s="33" t="inlineStr">
        <is>
          <t>Yes</t>
        </is>
      </c>
      <c r="S35" s="33" t="inlineStr">
        <is>
          <t>Photo</t>
        </is>
      </c>
      <c r="T35" s="33" t="n"/>
      <c r="U35" s="33" t="n"/>
      <c r="V35" s="34">
        <f>IF($A35="","",IF('⚙️ Settings'!$B$1="","",INT(($A35-'⚙️ Settings'!$B$1)/7)+1))</f>
        <v/>
      </c>
    </row>
    <row r="36" ht="15" customHeight="1" s="26">
      <c r="A36" s="37" t="n">
        <v>46217</v>
      </c>
      <c r="B36" s="36" t="inlineStr">
        <is>
          <t>Colin</t>
        </is>
      </c>
      <c r="C36" s="36" t="inlineStr">
        <is>
          <t>T</t>
        </is>
      </c>
      <c r="D36" s="36" t="inlineStr">
        <is>
          <t>Topic 3. Me on Rover</t>
        </is>
      </c>
      <c r="E36" s="36" t="n"/>
      <c r="G36" s="36" t="n"/>
      <c r="H36" s="36" t="n"/>
      <c r="I36" s="36" t="n"/>
      <c r="J36" s="36" t="n"/>
      <c r="K36" s="36" t="n"/>
      <c r="L36" s="36" t="n"/>
      <c r="M36" s="36" t="n"/>
      <c r="N36" s="36" t="n"/>
      <c r="O36" s="36" t="n"/>
      <c r="P36" s="36" t="n"/>
      <c r="Q36" s="36" t="inlineStr">
        <is>
          <t>I started using Rover in February 2025. Our dog at the time, Poncho, was diagnosed with meningitis in the fall of 2024 and sadly passed away a few months later after fighting so hard. We were very obviously devastated to lose Poncho, so we used Rover as a form of therapy for ourselves, a supplemental income, and as a way to spend more time with cute dogs.
Our Rover business started slowly with mostly local walks and the occasional boarding. But soon after school ended and families were traveling during summer so we got a lot of boarding and house sitting requests. Altogether we've had ~20 different dogs board with us in our home, most for 3-10 day stays. we have had a few dogs stay with us for up to three weeks at a time though. I have also done house sitting about 10 times total but all for repeat clients.
because we have our own dog now and live in a smaller apartment, we are only taking boarding requests from previous clients. currently we walk several dogs in the neighborhood and board a dog once every couple months. We also have one family who travel a lot and ask me to house/dog sit while they are away, usually for ~7 days at a time</t>
        </is>
      </c>
      <c r="R36" s="36" t="inlineStr">
        <is>
          <t>No</t>
        </is>
      </c>
      <c r="S36" s="36" t="inlineStr">
        <is>
          <t>None</t>
        </is>
      </c>
      <c r="T36" s="36" t="n"/>
      <c r="U36" s="36" t="n"/>
      <c r="V36" s="34">
        <f>IF($A36="","",IF('⚙️ Settings'!$B$1="","",INT(($A36-'⚙️ Settings'!$B$1)/7)+1))</f>
        <v/>
      </c>
    </row>
    <row r="37" ht="15" customHeight="1" s="26">
      <c r="A37" s="38" t="n">
        <v>46212</v>
      </c>
      <c r="B37" s="33" t="inlineStr">
        <is>
          <t>Deborah</t>
        </is>
      </c>
      <c r="C37" s="33" t="inlineStr">
        <is>
          <t>N</t>
        </is>
      </c>
      <c r="D37" s="33" t="inlineStr">
        <is>
          <t>Topic 1. Welcome</t>
        </is>
      </c>
      <c r="E37" s="33" t="n"/>
      <c r="G37" s="33" t="n"/>
      <c r="H37" s="33" t="n"/>
      <c r="I37" s="33" t="n"/>
      <c r="J37" s="33" t="n"/>
      <c r="K37" s="33" t="n"/>
      <c r="L37" s="33" t="n"/>
      <c r="M37" s="33" t="n"/>
      <c r="N37" s="33" t="n"/>
      <c r="O37" s="33" t="n"/>
      <c r="P37" s="33" t="n"/>
      <c r="Q37" s="33" t="inlineStr">
        <is>
          <t>I found Rover easy to use. I have two meet and greets set for
next week</t>
        </is>
      </c>
      <c r="R37" s="33" t="inlineStr">
        <is>
          <t>No</t>
        </is>
      </c>
      <c r="S37" s="33" t="n"/>
      <c r="T37" s="33" t="n"/>
      <c r="U37" s="33" t="n"/>
      <c r="V37" s="34">
        <f>IF($A37="","",IF('⚙️ Settings'!$B$1="","",INT(($A37-'⚙️ Settings'!$B$1)/7)+1))</f>
        <v/>
      </c>
    </row>
    <row r="38" ht="15" customHeight="1" s="26">
      <c r="A38" s="37" t="n">
        <v>46220</v>
      </c>
      <c r="B38" s="36" t="inlineStr">
        <is>
          <t>Anita</t>
        </is>
      </c>
      <c r="C38" s="36" t="inlineStr">
        <is>
          <t>T</t>
        </is>
      </c>
      <c r="D38" s="36" t="inlineStr">
        <is>
          <t>Topic 1. Welcome</t>
        </is>
      </c>
      <c r="E38" s="36" t="n"/>
      <c r="G38" s="36" t="n"/>
      <c r="H38" s="36" t="n"/>
      <c r="I38" s="36" t="n"/>
      <c r="J38" s="36" t="n"/>
      <c r="K38" s="36" t="n"/>
      <c r="L38" s="36" t="n"/>
      <c r="M38" s="36" t="n"/>
      <c r="N38" s="36" t="n"/>
      <c r="O38" s="36" t="n"/>
      <c r="P38" s="36" t="n"/>
      <c r="Q38" s="36" t="inlineStr">
        <is>
          <t>I am Anita</t>
        </is>
      </c>
      <c r="R38" s="36" t="inlineStr">
        <is>
          <t>No</t>
        </is>
      </c>
      <c r="S38" s="36" t="n"/>
      <c r="T38" s="36" t="n"/>
      <c r="U38" s="36" t="n"/>
      <c r="V38" s="34">
        <f>IF($A38="","",IF('⚙️ Settings'!$B$1="","",INT(($A38-'⚙️ Settings'!$B$1)/7)+1))</f>
        <v/>
      </c>
    </row>
    <row r="39" ht="15" customHeight="1" s="26">
      <c r="A39" s="38" t="n">
        <v>46222</v>
      </c>
      <c r="B39" s="33" t="inlineStr">
        <is>
          <t>Emma</t>
        </is>
      </c>
      <c r="C39" s="33" t="inlineStr">
        <is>
          <t>M</t>
        </is>
      </c>
      <c r="D39" s="33" t="inlineStr">
        <is>
          <t>Topic 1. Welcome</t>
        </is>
      </c>
      <c r="E39" s="33" t="n"/>
      <c r="G39" s="33" t="n"/>
      <c r="H39" s="33" t="n"/>
      <c r="I39" s="33" t="n"/>
      <c r="J39" s="33" t="n"/>
      <c r="K39" s="33" t="n"/>
      <c r="L39" s="33" t="n"/>
      <c r="M39" s="33" t="n"/>
      <c r="N39" s="33" t="n"/>
      <c r="O39" s="33" t="n"/>
      <c r="P39" s="33" t="n"/>
      <c r="Q39" s="33" t="inlineStr">
        <is>
          <t>Thank you!!</t>
        </is>
      </c>
      <c r="R39" s="33" t="inlineStr">
        <is>
          <t>No</t>
        </is>
      </c>
      <c r="S39" s="33" t="n"/>
      <c r="T39" s="33" t="n"/>
      <c r="U39" s="33" t="n"/>
      <c r="V39" s="34">
        <f>IF($A39="","",IF('⚙️ Settings'!$B$1="","",INT(($A39-'⚙️ Settings'!$B$1)/7)+1))</f>
        <v/>
      </c>
    </row>
    <row r="40" ht="15" customHeight="1" s="26">
      <c r="A40" s="37" t="n">
        <v>46224</v>
      </c>
      <c r="B40" s="36" t="inlineStr">
        <is>
          <t>Alexia</t>
        </is>
      </c>
      <c r="C40" s="36" t="inlineStr">
        <is>
          <t>M</t>
        </is>
      </c>
      <c r="D40" s="36" t="inlineStr">
        <is>
          <t>Topic 1. Welcome</t>
        </is>
      </c>
      <c r="E40" s="36" t="n"/>
      <c r="G40" s="36" t="n"/>
      <c r="H40" s="36" t="n"/>
      <c r="I40" s="36" t="n"/>
      <c r="J40" s="36" t="n"/>
      <c r="K40" s="36" t="n"/>
      <c r="L40" s="36" t="n"/>
      <c r="M40" s="36" t="n"/>
      <c r="N40" s="36" t="n"/>
      <c r="O40" s="36" t="n"/>
      <c r="P40" s="36" t="n"/>
      <c r="Q40" s="36" t="inlineStr">
        <is>
          <t>Sounds great thank you!</t>
        </is>
      </c>
      <c r="R40" s="36" t="inlineStr">
        <is>
          <t>No</t>
        </is>
      </c>
      <c r="S40" s="36" t="n"/>
      <c r="T40" s="36" t="n"/>
      <c r="U40" s="36" t="n"/>
      <c r="V40" s="34">
        <f>IF($A40="","",IF('⚙️ Settings'!$B$1="","",INT(($A40-'⚙️ Settings'!$B$1)/7)+1))</f>
        <v/>
      </c>
    </row>
    <row r="41" ht="15" customHeight="1" s="26">
      <c r="A41" s="38" t="n">
        <v>46225</v>
      </c>
      <c r="B41" s="33" t="inlineStr">
        <is>
          <t>Dawn</t>
        </is>
      </c>
      <c r="C41" s="33" t="inlineStr">
        <is>
          <t>T</t>
        </is>
      </c>
      <c r="D41" s="33" t="inlineStr">
        <is>
          <t>Topic 1. Welcome</t>
        </is>
      </c>
      <c r="E41" s="33" t="n"/>
      <c r="G41" s="33" t="n"/>
      <c r="H41" s="33" t="n"/>
      <c r="I41" s="33" t="n"/>
      <c r="J41" s="33" t="n"/>
      <c r="K41" s="33" t="n"/>
      <c r="L41" s="33" t="n"/>
      <c r="M41" s="33" t="n"/>
      <c r="N41" s="33" t="n"/>
      <c r="O41" s="33" t="n"/>
      <c r="P41" s="33" t="n"/>
      <c r="Q41" s="33" t="inlineStr">
        <is>
          <t>Took care of sweet golden doodle named Emi at my house.  This was a booking through Rover.</t>
        </is>
      </c>
      <c r="R41" s="33" t="inlineStr">
        <is>
          <t>Yes</t>
        </is>
      </c>
      <c r="S41" s="33" t="inlineStr">
        <is>
          <t>Photo</t>
        </is>
      </c>
      <c r="T41" s="33" t="n"/>
      <c r="U41" s="33" t="n"/>
      <c r="V41" s="34">
        <f>IF($A41="","",IF('⚙️ Settings'!$B$1="","",INT(($A41-'⚙️ Settings'!$B$1)/7)+1))</f>
        <v/>
      </c>
    </row>
    <row r="42" ht="15" customHeight="1" s="26">
      <c r="A42" s="37" t="n">
        <v>46226</v>
      </c>
      <c r="B42" s="36" t="inlineStr">
        <is>
          <t>Emily</t>
        </is>
      </c>
      <c r="C42" s="36" t="inlineStr">
        <is>
          <t>N</t>
        </is>
      </c>
      <c r="D42" s="36" t="inlineStr">
        <is>
          <t>Topic 1. Welcome</t>
        </is>
      </c>
      <c r="E42" s="36" t="n"/>
      <c r="G42" s="36" t="n"/>
      <c r="H42" s="36" t="n"/>
      <c r="I42" s="36" t="n"/>
      <c r="J42" s="36" t="n"/>
      <c r="K42" s="36" t="n"/>
      <c r="L42" s="36" t="n"/>
      <c r="M42" s="36" t="n"/>
      <c r="N42" s="36" t="n"/>
      <c r="O42" s="36" t="n"/>
      <c r="P42" s="36" t="n"/>
      <c r="Q42" s="36" t="inlineStr">
        <is>
          <t>Excited to join the study!</t>
        </is>
      </c>
      <c r="R42" s="36" t="inlineStr">
        <is>
          <t>No</t>
        </is>
      </c>
      <c r="S42" s="36" t="n"/>
      <c r="T42" s="36" t="n"/>
      <c r="U42" s="36" t="n"/>
      <c r="V42" s="34">
        <f>IF($A42="","",IF('⚙️ Settings'!$B$1="","",INT(($A42-'⚙️ Settings'!$B$1)/7)+1))</f>
        <v/>
      </c>
    </row>
    <row r="43" ht="15" customHeight="1" s="26">
      <c r="A43" s="38" t="n">
        <v>46212</v>
      </c>
      <c r="B43" s="33" t="inlineStr">
        <is>
          <t>Kristin</t>
        </is>
      </c>
      <c r="C43" s="33" t="inlineStr">
        <is>
          <t>T</t>
        </is>
      </c>
      <c r="D43" s="33" t="inlineStr">
        <is>
          <t>Topic 2. That's me</t>
        </is>
      </c>
      <c r="E43" s="33" t="n"/>
      <c r="G43" s="33" t="n"/>
      <c r="H43" s="33" t="n"/>
      <c r="I43" s="33" t="n"/>
      <c r="J43" s="33" t="n"/>
      <c r="K43" s="33" t="n"/>
      <c r="L43" s="33" t="n"/>
      <c r="M43" s="33" t="n"/>
      <c r="N43" s="33" t="n"/>
      <c r="O43" s="33" t="n"/>
      <c r="P43" s="33" t="n"/>
      <c r="Q43" s="33" t="inlineStr">
        <is>
          <t>My name is Kristen.  I live in New Mexico, USA. 41. 
I own my own home.  Program Manager. I enjoy reading, traveling and going to concerts.</t>
        </is>
      </c>
      <c r="R43" s="33" t="inlineStr">
        <is>
          <t>No</t>
        </is>
      </c>
      <c r="S43" s="33" t="n"/>
      <c r="T43" s="33" t="n"/>
      <c r="U43" s="33" t="n"/>
      <c r="V43" s="34">
        <f>IF($A43="","",IF('⚙️ Settings'!$B$1="","",INT(($A43-'⚙️ Settings'!$B$1)/7)+1))</f>
        <v/>
      </c>
    </row>
    <row r="44" ht="15" customHeight="1" s="26">
      <c r="A44" s="37" t="n">
        <v>46212</v>
      </c>
      <c r="B44" s="36" t="inlineStr">
        <is>
          <t>Tifany</t>
        </is>
      </c>
      <c r="C44" s="36" t="inlineStr">
        <is>
          <t>T</t>
        </is>
      </c>
      <c r="D44" s="36" t="inlineStr">
        <is>
          <t>Topic 2. That's me</t>
        </is>
      </c>
      <c r="E44" s="36" t="n"/>
      <c r="G44" s="36" t="n"/>
      <c r="H44" s="36" t="n"/>
      <c r="I44" s="36" t="n"/>
      <c r="J44" s="36" t="n"/>
      <c r="K44" s="36" t="n"/>
      <c r="L44" s="36" t="n"/>
      <c r="M44" s="36" t="n"/>
      <c r="N44" s="36" t="n"/>
      <c r="O44" s="36" t="n"/>
      <c r="P44" s="36" t="n"/>
      <c r="Q44" s="36" t="inlineStr">
        <is>
          <t>Hello! I’m Tifany! I’m from Washington state in the good ole US-of-A. I’m 42 years old, I’m single and live alone, and I’m a Bible Instructor as my main source of income. I also do Rover, and have an independent, small business caring for pets called Havenly Paws. 
Things I enjoy doing would include scrolling Facebook reels about stupid mukbangs (why? I have absolutely no idea because I don’t even eat that stuff lol!), spending time with my 5 month old grandbaby, church functions, ministry, learning more about God’s love for us, socializing, new adventures, sewing and quilting, helping others, learning and playing piano, singing, and most forms of creativity. I also enjoy debating, which I know that most people hate, but it’s because I really love deep thinking and the opportunity to see perspectives I haven’t yet considered. I’m more than willing to be wrong and it’s not that I need to “win”, I just want to learn more — I love learning! But being right can be really fun too (haha). Philosophizing is totes exciting!</t>
        </is>
      </c>
      <c r="R44" s="36" t="inlineStr">
        <is>
          <t>Yes</t>
        </is>
      </c>
      <c r="S44" s="36" t="inlineStr">
        <is>
          <t>Photo</t>
        </is>
      </c>
      <c r="T44" s="36" t="n"/>
      <c r="U44" s="36" t="n"/>
      <c r="V44" s="34">
        <f>IF($A44="","",IF('⚙️ Settings'!$B$1="","",INT(($A44-'⚙️ Settings'!$B$1)/7)+1))</f>
        <v/>
      </c>
    </row>
    <row r="45" ht="15" customHeight="1" s="26">
      <c r="A45" s="38" t="n">
        <v>46213</v>
      </c>
      <c r="B45" s="33" t="inlineStr">
        <is>
          <t>Andrew</t>
        </is>
      </c>
      <c r="C45" s="33" t="inlineStr">
        <is>
          <t>T</t>
        </is>
      </c>
      <c r="D45" s="33" t="inlineStr">
        <is>
          <t>Topic 2. That's me</t>
        </is>
      </c>
      <c r="E45" s="33" t="n"/>
      <c r="G45" s="33" t="n"/>
      <c r="H45" s="33" t="n"/>
      <c r="I45" s="33" t="n"/>
      <c r="J45" s="33" t="n"/>
      <c r="K45" s="33" t="n"/>
      <c r="L45" s="33" t="n"/>
      <c r="M45" s="33" t="n"/>
      <c r="N45" s="33" t="n"/>
      <c r="O45" s="33" t="n"/>
      <c r="P45" s="33" t="n"/>
      <c r="Q45" s="33" t="inlineStr">
        <is>
          <t>My name is Drew. I live in the US— Tennessee, specifically. I’m 41 years old and I live alone. I’ve been a video editor by trade and I spend my free time watching movies and building prop replicas.</t>
        </is>
      </c>
      <c r="R45" s="33" t="inlineStr">
        <is>
          <t>No</t>
        </is>
      </c>
      <c r="S45" s="33" t="n"/>
      <c r="T45" s="33" t="n"/>
      <c r="U45" s="33" t="n"/>
      <c r="V45" s="34">
        <f>IF($A45="","",IF('⚙️ Settings'!$B$1="","",INT(($A45-'⚙️ Settings'!$B$1)/7)+1))</f>
        <v/>
      </c>
    </row>
    <row r="46" ht="15" customHeight="1" s="26">
      <c r="A46" s="37" t="n">
        <v>46213</v>
      </c>
      <c r="B46" s="36" t="inlineStr">
        <is>
          <t>Joey</t>
        </is>
      </c>
      <c r="C46" s="36" t="inlineStr">
        <is>
          <t>M</t>
        </is>
      </c>
      <c r="D46" s="36" t="inlineStr">
        <is>
          <t>Topic 2. That's me</t>
        </is>
      </c>
      <c r="E46" s="36" t="n"/>
      <c r="G46" s="36" t="n"/>
      <c r="H46" s="36" t="n"/>
      <c r="I46" s="36" t="n"/>
      <c r="J46" s="36" t="n"/>
      <c r="K46" s="36" t="n"/>
      <c r="L46" s="36" t="n"/>
      <c r="M46" s="36" t="n"/>
      <c r="N46" s="36" t="n"/>
      <c r="O46" s="36" t="n"/>
      <c r="P46" s="36" t="n"/>
      <c r="Q46" s="36" t="inlineStr">
        <is>
          <t>Hi! My name is Joey and I’m currently living in Ontario, Canada. I’m 28 years old and I currently rent a place and living with my partner.
I am a registered social worker and my job is about volunteer management and youth group development.
Outside of work, other than spending time with cats, I enjoy playing board games and camping.</t>
        </is>
      </c>
      <c r="R46" s="36" t="inlineStr">
        <is>
          <t>No</t>
        </is>
      </c>
      <c r="S46" s="36" t="n"/>
      <c r="T46" s="36" t="n"/>
      <c r="U46" s="36" t="n"/>
      <c r="V46" s="34">
        <f>IF($A46="","",IF('⚙️ Settings'!$B$1="","",INT(($A46-'⚙️ Settings'!$B$1)/7)+1))</f>
        <v/>
      </c>
    </row>
    <row r="47" ht="15" customHeight="1" s="26">
      <c r="A47" s="38" t="n">
        <v>46213</v>
      </c>
      <c r="B47" s="33" t="inlineStr">
        <is>
          <t>Becky</t>
        </is>
      </c>
      <c r="C47" s="33" t="inlineStr">
        <is>
          <t>T</t>
        </is>
      </c>
      <c r="D47" s="33" t="inlineStr">
        <is>
          <t>Topic 2. That's me</t>
        </is>
      </c>
      <c r="E47" s="33" t="n"/>
      <c r="G47" s="33" t="n"/>
      <c r="H47" s="33" t="n"/>
      <c r="I47" s="33" t="n"/>
      <c r="J47" s="33" t="n"/>
      <c r="K47" s="33" t="n"/>
      <c r="L47" s="33" t="n"/>
      <c r="M47" s="33" t="n"/>
      <c r="N47" s="33" t="n"/>
      <c r="O47" s="33" t="n"/>
      <c r="P47" s="33" t="n"/>
      <c r="Q47" s="33" t="inlineStr">
        <is>
          <t>My name is Becky. I live in San Jose, CA, USA. I am 36 and live alone in a 2 bedroom condo that I bought about 10 years ago. 
I recently started a new job as. Sr Manager of Project Managers on the Professional Services team at a cybersecurity company. My previous job was at a competitor doing similar work, and I was there for 8 years. 
When I am not working or dog sitting, I also volunteer at the Humane Society where I socialize with dogs. Otherwise I don’t have any particularly unique hobbies - I enjoy spending time with my friends and family, watching TV, going on adventures, I also exercise regularly.</t>
        </is>
      </c>
      <c r="R47" s="33" t="inlineStr">
        <is>
          <t>No</t>
        </is>
      </c>
      <c r="S47" s="33" t="n"/>
      <c r="T47" s="33" t="n"/>
      <c r="U47" s="33" t="n"/>
      <c r="V47" s="34">
        <f>IF($A47="","",IF('⚙️ Settings'!$B$1="","",INT(($A47-'⚙️ Settings'!$B$1)/7)+1))</f>
        <v/>
      </c>
    </row>
    <row r="48" ht="15" customHeight="1" s="26">
      <c r="A48" s="37" t="n">
        <v>46213</v>
      </c>
      <c r="B48" s="36" t="inlineStr">
        <is>
          <t>Julia</t>
        </is>
      </c>
      <c r="C48" s="36" t="inlineStr">
        <is>
          <t>N</t>
        </is>
      </c>
      <c r="D48" s="36" t="inlineStr">
        <is>
          <t>Topic 2. That's me</t>
        </is>
      </c>
      <c r="E48" s="36" t="n"/>
      <c r="G48" s="36" t="n"/>
      <c r="H48" s="36" t="n"/>
      <c r="I48" s="36" t="n"/>
      <c r="J48" s="36" t="n"/>
      <c r="K48" s="36" t="n"/>
      <c r="L48" s="36" t="n"/>
      <c r="M48" s="36" t="n"/>
      <c r="N48" s="36" t="n"/>
      <c r="O48" s="36" t="n"/>
      <c r="P48" s="36" t="n"/>
      <c r="Q48" s="36" t="inlineStr">
        <is>
          <t>Hi, my name is Julia. I’ve lived in Minnesota my whole life. I am 34 years old, married, with two children and one energetic Siberian husky. I live in a house and worked in a corporate job for the last 11 years, until recently getting laid off. Now I am taking some time off to care for my kids before they start school. My hobbies include: reading (mainly fantasy, thrillers or romance), walking/hiking with our family, and traveling to / camping at national parks throughout the country. My favorite parks I’ve been to so far include: Zion and Glacier national parks.</t>
        </is>
      </c>
      <c r="R48" s="36" t="inlineStr">
        <is>
          <t>No</t>
        </is>
      </c>
      <c r="S48" s="36" t="n"/>
      <c r="T48" s="36" t="n"/>
      <c r="U48" s="36" t="n"/>
      <c r="V48" s="34">
        <f>IF($A48="","",IF('⚙️ Settings'!$B$1="","",INT(($A48-'⚙️ Settings'!$B$1)/7)+1))</f>
        <v/>
      </c>
    </row>
    <row r="49" ht="15" customHeight="1" s="26">
      <c r="A49" s="38" t="n">
        <v>46216</v>
      </c>
      <c r="B49" s="33" t="inlineStr">
        <is>
          <t>TR</t>
        </is>
      </c>
      <c r="C49" s="33" t="inlineStr">
        <is>
          <t>T</t>
        </is>
      </c>
      <c r="D49" s="33" t="inlineStr">
        <is>
          <t>Topic 2. That's me</t>
        </is>
      </c>
      <c r="E49" s="33" t="n"/>
      <c r="G49" s="33" t="n"/>
      <c r="H49" s="33" t="n"/>
      <c r="I49" s="33" t="n"/>
      <c r="J49" s="33" t="n"/>
      <c r="K49" s="33" t="n"/>
      <c r="L49" s="33" t="n"/>
      <c r="M49" s="33" t="n"/>
      <c r="N49" s="33" t="n"/>
      <c r="O49" s="33" t="n"/>
      <c r="P49" s="33" t="n"/>
      <c r="Q49" s="33" t="inlineStr">
        <is>
          <t>My name is Tianrui and people would call me “TR” occasionally. I’m based in US, California. I’m 25, currently preparing for graduate school so I can apply this fall. I enjoy traveling, shopping and watching my cats :)</t>
        </is>
      </c>
      <c r="R49" s="33" t="inlineStr">
        <is>
          <t>No</t>
        </is>
      </c>
      <c r="S49" s="33" t="n"/>
      <c r="T49" s="33" t="n"/>
      <c r="U49" s="33" t="n"/>
      <c r="V49" s="34">
        <f>IF($A49="","",IF('⚙️ Settings'!$B$1="","",INT(($A49-'⚙️ Settings'!$B$1)/7)+1))</f>
        <v/>
      </c>
    </row>
    <row r="50" ht="15" customHeight="1" s="26">
      <c r="A50" s="37" t="n">
        <v>46217</v>
      </c>
      <c r="B50" s="36" t="inlineStr">
        <is>
          <t>Shania</t>
        </is>
      </c>
      <c r="C50" s="36" t="inlineStr">
        <is>
          <t>T</t>
        </is>
      </c>
      <c r="D50" s="36" t="inlineStr">
        <is>
          <t>Topic 2. That's me</t>
        </is>
      </c>
      <c r="E50" s="36" t="n"/>
      <c r="G50" s="36" t="n"/>
      <c r="H50" s="36" t="n"/>
      <c r="I50" s="36" t="n"/>
      <c r="J50" s="36" t="n"/>
      <c r="K50" s="36" t="n"/>
      <c r="L50" s="36" t="n"/>
      <c r="M50" s="36" t="n"/>
      <c r="N50" s="36" t="n"/>
      <c r="O50" s="36" t="n"/>
      <c r="P50" s="36" t="n"/>
      <c r="Q50" s="36" t="inlineStr">
        <is>
          <t>I'm Shania.</t>
        </is>
      </c>
      <c r="R50" s="36" t="inlineStr">
        <is>
          <t>No</t>
        </is>
      </c>
      <c r="S50" s="36" t="n"/>
      <c r="T50" s="36" t="n"/>
      <c r="U50" s="36" t="n"/>
      <c r="V50" s="34">
        <f>IF($A50="","",IF('⚙️ Settings'!$B$1="","",INT(($A50-'⚙️ Settings'!$B$1)/7)+1))</f>
        <v/>
      </c>
    </row>
    <row r="51" ht="15" customHeight="1" s="26">
      <c r="A51" s="38" t="n">
        <v>46217</v>
      </c>
      <c r="B51" s="33" t="inlineStr">
        <is>
          <t>Colin</t>
        </is>
      </c>
      <c r="C51" s="33" t="inlineStr">
        <is>
          <t>T</t>
        </is>
      </c>
      <c r="D51" s="33" t="inlineStr">
        <is>
          <t>Topic 2. That's me</t>
        </is>
      </c>
      <c r="E51" s="33" t="n"/>
      <c r="G51" s="33" t="n"/>
      <c r="H51" s="33" t="n"/>
      <c r="I51" s="33" t="n"/>
      <c r="J51" s="33" t="n"/>
      <c r="K51" s="33" t="n"/>
      <c r="L51" s="33" t="n"/>
      <c r="M51" s="33" t="n"/>
      <c r="N51" s="33" t="n"/>
      <c r="O51" s="33" t="n"/>
      <c r="P51" s="33" t="n"/>
      <c r="Q51" s="33" t="inlineStr">
        <is>
          <t>My name is Colin, I’m originally from Colorado in the USA but now live in Toronto, Canada with my wife and our dog, Pepsi. I have been a teacher for 15 years but I am sick of it and ready for a change. I was fortunate enough to be able to teach abroad in Asia for several years and spend a lot of time solo traveling to new places. I used to love rock and roll, going to the movies, and camping in the mountains. I still like all those but now that I’m older, I just want to spend quiet times with my wife and dog!</t>
        </is>
      </c>
      <c r="R51" s="33" t="inlineStr">
        <is>
          <t>No</t>
        </is>
      </c>
      <c r="S51" s="33" t="n"/>
      <c r="T51" s="33" t="n"/>
      <c r="U51" s="33" t="n"/>
      <c r="V51" s="34">
        <f>IF($A51="","",IF('⚙️ Settings'!$B$1="","",INT(($A51-'⚙️ Settings'!$B$1)/7)+1))</f>
        <v/>
      </c>
    </row>
    <row r="52" ht="15" customHeight="1" s="26">
      <c r="A52" s="37" t="n">
        <v>46217</v>
      </c>
      <c r="B52" s="36" t="inlineStr">
        <is>
          <t>Colin</t>
        </is>
      </c>
      <c r="C52" s="36" t="inlineStr">
        <is>
          <t>T</t>
        </is>
      </c>
      <c r="D52" s="36" t="inlineStr">
        <is>
          <t>Topic 2. That's me</t>
        </is>
      </c>
      <c r="E52" s="36" t="n"/>
      <c r="G52" s="36" t="n"/>
      <c r="H52" s="36" t="n"/>
      <c r="I52" s="36" t="n"/>
      <c r="J52" s="36" t="n"/>
      <c r="K52" s="36" t="n"/>
      <c r="L52" s="36" t="n"/>
      <c r="M52" s="36" t="n"/>
      <c r="N52" s="36" t="n"/>
      <c r="O52" s="36" t="n"/>
      <c r="P52" s="36" t="n"/>
      <c r="Q52" s="36" t="inlineStr">
        <is>
          <t>Pepsi!</t>
        </is>
      </c>
      <c r="R52" s="36" t="inlineStr">
        <is>
          <t>Yes</t>
        </is>
      </c>
      <c r="S52" s="36" t="inlineStr">
        <is>
          <t>Photo</t>
        </is>
      </c>
      <c r="T52" s="36" t="n"/>
      <c r="U52" s="36" t="n"/>
      <c r="V52" s="34">
        <f>IF($A52="","",IF('⚙️ Settings'!$B$1="","",INT(($A52-'⚙️ Settings'!$B$1)/7)+1))</f>
        <v/>
      </c>
    </row>
    <row r="53" ht="15" customHeight="1" s="26">
      <c r="A53" s="38" t="n">
        <v>46218</v>
      </c>
      <c r="B53" s="33" t="inlineStr">
        <is>
          <t>Rachel</t>
        </is>
      </c>
      <c r="C53" s="33" t="inlineStr">
        <is>
          <t>N</t>
        </is>
      </c>
      <c r="D53" s="33" t="inlineStr">
        <is>
          <t>Topic 2. That's me</t>
        </is>
      </c>
      <c r="E53" s="33" t="n"/>
      <c r="G53" s="33" t="n"/>
      <c r="H53" s="33" t="n"/>
      <c r="I53" s="33" t="n"/>
      <c r="J53" s="33" t="n"/>
      <c r="K53" s="33" t="n"/>
      <c r="L53" s="33" t="n"/>
      <c r="M53" s="33" t="n"/>
      <c r="N53" s="33" t="n"/>
      <c r="O53" s="33" t="n"/>
      <c r="P53" s="33" t="n"/>
      <c r="Q53" s="33" t="inlineStr">
        <is>
          <t>Hi! My name is Rachel, and I like in California. I’m 27 years old and live alone! I’m a city planner working for a government agency. I love hanging out with friends, going to the park, reading, dancing, playing tennis, and thrifting! I also LOVE dogs!</t>
        </is>
      </c>
      <c r="R53" s="33" t="inlineStr">
        <is>
          <t>No</t>
        </is>
      </c>
      <c r="S53" s="33" t="n"/>
      <c r="T53" s="33" t="n"/>
      <c r="U53" s="33" t="n"/>
      <c r="V53" s="34">
        <f>IF($A53="","",IF('⚙️ Settings'!$B$1="","",INT(($A53-'⚙️ Settings'!$B$1)/7)+1))</f>
        <v/>
      </c>
    </row>
    <row r="54" ht="15" customHeight="1" s="26">
      <c r="A54" s="37" t="n">
        <v>46218</v>
      </c>
      <c r="B54" s="36" t="inlineStr">
        <is>
          <t>Bruna</t>
        </is>
      </c>
      <c r="C54" s="36" t="inlineStr">
        <is>
          <t>T</t>
        </is>
      </c>
      <c r="D54" s="36" t="inlineStr">
        <is>
          <t>Topic 2. That's me</t>
        </is>
      </c>
      <c r="E54" s="36" t="n"/>
      <c r="G54" s="36" t="n"/>
      <c r="H54" s="36" t="n"/>
      <c r="I54" s="36" t="n"/>
      <c r="J54" s="36" t="n"/>
      <c r="K54" s="36" t="n"/>
      <c r="L54" s="36" t="n"/>
      <c r="M54" s="36" t="n"/>
      <c r="N54" s="36" t="n"/>
      <c r="O54" s="36" t="n"/>
      <c r="P54" s="36" t="n"/>
      <c r="Q54" s="36" t="inlineStr">
        <is>
          <t>Hi! 
My name is Bruna, I’m 28 years old and I live in New Westminster, British Columbia, Canada, with my boyfriend.
I’m from Brazil and have been living in Canada for about six years.
I’m a professional dog trainer and pet care provider, and I run my own dog training business. I have a background in neuroscience and biomedicine, and I currently offer dog boarding through Rover. Dogs are a very big part of my daily life, both professionally and personally.
Outside of work, I enjoy studying dog behaviour and continuing my education, singing, playing guitar, skiing, spending time with friends and travelling. I also really enjoy learning in general and I’m usually taking a course or becoming interested in a new subject.</t>
        </is>
      </c>
      <c r="R54" s="36" t="inlineStr">
        <is>
          <t>No</t>
        </is>
      </c>
      <c r="S54" s="36" t="n"/>
      <c r="T54" s="36" t="n"/>
      <c r="U54" s="36" t="n"/>
      <c r="V54" s="34">
        <f>IF($A54="","",IF('⚙️ Settings'!$B$1="","",INT(($A54-'⚙️ Settings'!$B$1)/7)+1))</f>
        <v/>
      </c>
    </row>
    <row r="55" ht="15" customHeight="1" s="26">
      <c r="A55" s="38" t="n">
        <v>46218</v>
      </c>
      <c r="B55" s="33" t="inlineStr">
        <is>
          <t>Ashley</t>
        </is>
      </c>
      <c r="C55" s="33" t="inlineStr">
        <is>
          <t>N</t>
        </is>
      </c>
      <c r="D55" s="33" t="inlineStr">
        <is>
          <t>Topic 2. That's me</t>
        </is>
      </c>
      <c r="E55" s="33" t="n"/>
      <c r="G55" s="33" t="n"/>
      <c r="H55" s="33" t="n"/>
      <c r="I55" s="33" t="n"/>
      <c r="J55" s="33" t="n"/>
      <c r="K55" s="33" t="n"/>
      <c r="L55" s="33" t="n"/>
      <c r="M55" s="33" t="n"/>
      <c r="N55" s="33" t="n"/>
      <c r="O55" s="33" t="n"/>
      <c r="P55" s="33" t="n"/>
      <c r="Q55" s="33" t="inlineStr">
        <is>
          <t>My name is Ashley. I live in the United States. Jacksonville, Florida in the Springfield Area. I’m 24. I live in a two bedroom apartment with my fiancé and our son. I enjoy working at my job as a server assistant, spending quality time with family and friends, being a tarot reader and creating my botanical products, and spending time outside and with my friends who has pets themselves.</t>
        </is>
      </c>
      <c r="R55" s="33" t="inlineStr">
        <is>
          <t>No</t>
        </is>
      </c>
      <c r="S55" s="33" t="n"/>
      <c r="T55" s="33" t="n"/>
      <c r="U55" s="33" t="n"/>
      <c r="V55" s="34">
        <f>IF($A55="","",IF('⚙️ Settings'!$B$1="","",INT(($A55-'⚙️ Settings'!$B$1)/7)+1))</f>
        <v/>
      </c>
    </row>
    <row r="56" ht="15" customHeight="1" s="26">
      <c r="A56" s="37" t="n">
        <v>46218</v>
      </c>
      <c r="B56" s="36" t="inlineStr">
        <is>
          <t>Emma</t>
        </is>
      </c>
      <c r="C56" s="36" t="inlineStr">
        <is>
          <t>M</t>
        </is>
      </c>
      <c r="D56" s="36" t="inlineStr">
        <is>
          <t>Topic 2. That's me</t>
        </is>
      </c>
      <c r="E56" s="36" t="n"/>
      <c r="G56" s="36" t="n"/>
      <c r="H56" s="36" t="n"/>
      <c r="I56" s="36" t="n"/>
      <c r="J56" s="36" t="n"/>
      <c r="K56" s="36" t="n"/>
      <c r="L56" s="36" t="n"/>
      <c r="M56" s="36" t="n"/>
      <c r="N56" s="36" t="n"/>
      <c r="O56" s="36" t="n"/>
      <c r="P56" s="36" t="n"/>
      <c r="Q56" s="36" t="inlineStr">
        <is>
          <t>-Emma
-USA, Ohio
-27
-Rent an apartment, living alone with my 2 cats!
-I work as a course scheduler for the business school at a university
-I enjoy running, reading, listening to music (mostly kpop), watching soccer/football, and yoga
-I’m left-handed
-I’ve traveled to France, Spain, and Canada. My travel bucket list includes Japan, Iceland, Australia, Italy, Korea, Germany, Ireland, Norway, Turkey, Thailand, Morocco, and Switzerland
-I studied international relations and Spanish in university</t>
        </is>
      </c>
      <c r="R56" s="36" t="inlineStr">
        <is>
          <t>No</t>
        </is>
      </c>
      <c r="S56" s="36" t="n"/>
      <c r="T56" s="36" t="n"/>
      <c r="U56" s="36" t="n"/>
      <c r="V56" s="34">
        <f>IF($A56="","",IF('⚙️ Settings'!$B$1="","",INT(($A56-'⚙️ Settings'!$B$1)/7)+1))</f>
        <v/>
      </c>
    </row>
    <row r="57" ht="15" customHeight="1" s="26">
      <c r="A57" s="38" t="n">
        <v>46218</v>
      </c>
      <c r="B57" s="33" t="inlineStr">
        <is>
          <t>Colin</t>
        </is>
      </c>
      <c r="C57" s="33" t="inlineStr">
        <is>
          <t>T</t>
        </is>
      </c>
      <c r="D57" s="33" t="inlineStr">
        <is>
          <t>Topic 2. That's me</t>
        </is>
      </c>
      <c r="E57" s="33" t="n"/>
      <c r="G57" s="33" t="n"/>
      <c r="H57" s="33" t="n"/>
      <c r="I57" s="33" t="n"/>
      <c r="J57" s="33" t="n"/>
      <c r="K57" s="33" t="n"/>
      <c r="L57" s="33" t="n"/>
      <c r="M57" s="33" t="n"/>
      <c r="N57" s="33" t="n"/>
      <c r="O57" s="33" t="n"/>
      <c r="P57" s="33" t="n"/>
      <c r="Q57" s="33" t="inlineStr"/>
      <c r="R57" s="33" t="inlineStr">
        <is>
          <t>Yes</t>
        </is>
      </c>
      <c r="S57" s="33" t="inlineStr">
        <is>
          <t>Photo</t>
        </is>
      </c>
      <c r="T57" s="33" t="n"/>
      <c r="U57" s="33" t="n"/>
      <c r="V57" s="34">
        <f>IF($A57="","",IF('⚙️ Settings'!$B$1="","",INT(($A57-'⚙️ Settings'!$B$1)/7)+1))</f>
        <v/>
      </c>
    </row>
    <row r="58" ht="15" customHeight="1" s="26">
      <c r="A58" s="37" t="n">
        <v>46218</v>
      </c>
      <c r="B58" s="36" t="inlineStr">
        <is>
          <t>Cate</t>
        </is>
      </c>
      <c r="C58" s="36" t="inlineStr">
        <is>
          <t>M</t>
        </is>
      </c>
      <c r="D58" s="36" t="inlineStr">
        <is>
          <t>Topic 2. That's me</t>
        </is>
      </c>
      <c r="E58" s="36" t="n"/>
      <c r="G58" s="36" t="n"/>
      <c r="H58" s="36" t="n"/>
      <c r="I58" s="36" t="n"/>
      <c r="J58" s="36" t="n"/>
      <c r="K58" s="36" t="n"/>
      <c r="L58" s="36" t="n"/>
      <c r="M58" s="36" t="n"/>
      <c r="N58" s="36" t="n"/>
      <c r="O58" s="36" t="n"/>
      <c r="P58" s="36" t="n"/>
      <c r="Q58" s="36" t="inlineStr">
        <is>
          <t>Cate
MN, USA
39
In a single family home with my husband and 4 children 
Leadership Development Manager
Staying active, cooking, photography, crafting, reading, family time</t>
        </is>
      </c>
      <c r="R58" s="36" t="inlineStr">
        <is>
          <t>No</t>
        </is>
      </c>
      <c r="S58" s="36" t="n"/>
      <c r="T58" s="36" t="n"/>
      <c r="U58" s="36" t="n"/>
      <c r="V58" s="34">
        <f>IF($A58="","",IF('⚙️ Settings'!$B$1="","",INT(($A58-'⚙️ Settings'!$B$1)/7)+1))</f>
        <v/>
      </c>
    </row>
    <row r="59" ht="15" customHeight="1" s="26">
      <c r="A59" s="38" t="n">
        <v>46218</v>
      </c>
      <c r="B59" s="33" t="inlineStr">
        <is>
          <t>Megan</t>
        </is>
      </c>
      <c r="C59" s="33" t="inlineStr">
        <is>
          <t>M</t>
        </is>
      </c>
      <c r="D59" s="33" t="inlineStr">
        <is>
          <t>Topic 2. That's me</t>
        </is>
      </c>
      <c r="E59" s="33" t="n"/>
      <c r="G59" s="33" t="n"/>
      <c r="H59" s="33" t="n"/>
      <c r="I59" s="33" t="n"/>
      <c r="J59" s="33" t="n"/>
      <c r="K59" s="33" t="n"/>
      <c r="L59" s="33" t="n"/>
      <c r="M59" s="33" t="n"/>
      <c r="N59" s="33" t="n"/>
      <c r="O59" s="33" t="n"/>
      <c r="P59" s="33" t="n"/>
      <c r="Q59" s="33" t="inlineStr">
        <is>
          <t>My name is Megan I’m 42 years old and I live in the Waterloo Region of Ontario with my 3 cats and 1 dog. I currently share my home with my ex-partner, who helps take care of my pets when I’m away doing house sits. It works well because he still gets to spend time with them and I know they’re happy and cared for while I’m gone.
My main job is pet sitting and house sitting. I absolutely love animals and have always had a strong connection with them. I enjoy getting to know their little personalities, making them feel comfortable, and giving them lots of love and attention while their people are away.
Outside of pet sitting I also do energy healing, mediumship, and intuitive channeling readings. I’m really interested in personal growth, spirituality, and learning more about ourselves and our own journeys.
When I’m not working, I love being outside in nature, spending time near the water, and enjoying a slower pace of life. I’m a creative person and love things like colouring, making junk journals, and doing different crafts. I also enjoy journaling, meditation, and anything that helps me learn, grow, and connect with myself.
Animals bring me so much joy, and I feel lucky that I get to spend so much of my time caring for them and building connections with both pets and their owners.</t>
        </is>
      </c>
      <c r="R59" s="33" t="inlineStr">
        <is>
          <t>No</t>
        </is>
      </c>
      <c r="S59" s="33" t="n"/>
      <c r="T59" s="33" t="n"/>
      <c r="U59" s="33" t="n"/>
      <c r="V59" s="34">
        <f>IF($A59="","",IF('⚙️ Settings'!$B$1="","",INT(($A59-'⚙️ Settings'!$B$1)/7)+1))</f>
        <v/>
      </c>
    </row>
    <row r="60" ht="15" customHeight="1" s="26">
      <c r="A60" s="37" t="n">
        <v>46219</v>
      </c>
      <c r="B60" s="36" t="inlineStr">
        <is>
          <t>Alexandra</t>
        </is>
      </c>
      <c r="C60" s="36" t="inlineStr">
        <is>
          <t>N</t>
        </is>
      </c>
      <c r="D60" s="36" t="inlineStr">
        <is>
          <t>Topic 2. That's me</t>
        </is>
      </c>
      <c r="E60" s="36" t="n"/>
      <c r="G60" s="36" t="n"/>
      <c r="H60" s="36" t="n"/>
      <c r="I60" s="36" t="n"/>
      <c r="J60" s="36" t="n"/>
      <c r="K60" s="36" t="n"/>
      <c r="L60" s="36" t="n"/>
      <c r="M60" s="36" t="n"/>
      <c r="N60" s="36" t="n"/>
      <c r="O60" s="36" t="n"/>
      <c r="P60" s="36" t="n"/>
      <c r="Q60" s="36" t="inlineStr">
        <is>
          <t>Hey! My name is Alexandra, currently living in Alberta,Canada! I have 25 years old and I live with my sister. My current profession is Administrative Assistant and pet sitter. I enjoy share my time with pets, dancing, listen to music and eat desserts ☺️❤️</t>
        </is>
      </c>
      <c r="R60" s="36" t="inlineStr">
        <is>
          <t>No</t>
        </is>
      </c>
      <c r="S60" s="36" t="n"/>
      <c r="T60" s="36" t="n"/>
      <c r="U60" s="36" t="n"/>
      <c r="V60" s="34">
        <f>IF($A60="","",IF('⚙️ Settings'!$B$1="","",INT(($A60-'⚙️ Settings'!$B$1)/7)+1))</f>
        <v/>
      </c>
    </row>
    <row r="61" ht="15" customHeight="1" s="26">
      <c r="A61" s="38" t="n">
        <v>46219</v>
      </c>
      <c r="B61" s="33" t="inlineStr">
        <is>
          <t>Jilian</t>
        </is>
      </c>
      <c r="C61" s="33" t="inlineStr">
        <is>
          <t>N</t>
        </is>
      </c>
      <c r="D61" s="33" t="inlineStr">
        <is>
          <t>Topic 2. That's me</t>
        </is>
      </c>
      <c r="E61" s="33" t="n"/>
      <c r="G61" s="33" t="n"/>
      <c r="H61" s="33" t="n"/>
      <c r="I61" s="33" t="n"/>
      <c r="J61" s="33" t="n"/>
      <c r="K61" s="33" t="n"/>
      <c r="L61" s="33" t="n"/>
      <c r="M61" s="33" t="n"/>
      <c r="N61" s="33" t="n"/>
      <c r="O61" s="33" t="n"/>
      <c r="P61" s="33" t="n"/>
      <c r="Q61" s="33" t="inlineStr">
        <is>
          <t>My names Jillian, I’m in the US, I’m 31 years old. I live in my house with my dog and work a full time job and enjoy yoga and hiking.</t>
        </is>
      </c>
      <c r="R61" s="33" t="inlineStr">
        <is>
          <t>No</t>
        </is>
      </c>
      <c r="S61" s="33" t="n"/>
      <c r="T61" s="33" t="n"/>
      <c r="U61" s="33" t="n"/>
      <c r="V61" s="34">
        <f>IF($A61="","",IF('⚙️ Settings'!$B$1="","",INT(($A61-'⚙️ Settings'!$B$1)/7)+1))</f>
        <v/>
      </c>
    </row>
    <row r="62" ht="15" customHeight="1" s="26">
      <c r="A62" s="37" t="n">
        <v>46220</v>
      </c>
      <c r="B62" s="36" t="inlineStr">
        <is>
          <t>Erika</t>
        </is>
      </c>
      <c r="C62" s="36" t="inlineStr">
        <is>
          <t>T</t>
        </is>
      </c>
      <c r="D62" s="36" t="inlineStr">
        <is>
          <t>Topic 2. That's me</t>
        </is>
      </c>
      <c r="E62" s="36" t="n"/>
      <c r="G62" s="36" t="n"/>
      <c r="H62" s="36" t="n"/>
      <c r="I62" s="36" t="n"/>
      <c r="J62" s="36" t="n"/>
      <c r="K62" s="36" t="n"/>
      <c r="L62" s="36" t="n"/>
      <c r="M62" s="36" t="n"/>
      <c r="N62" s="36" t="n"/>
      <c r="O62" s="36" t="n"/>
      <c r="P62" s="36" t="n"/>
      <c r="Q62" s="36" t="inlineStr">
        <is>
          <t>I’m Erika and I live in British Columbia in Canada, I’m 30 years old and live with my husband and daughter. I’m an industrial engineer with MBA. I love spend time with my family visiting new places where we can know about Canadian culture and try  new kinds of food. I like taking walks with my daughter specially in sunny days and sometimes we decide stay home and enjoy a movie or trivia games, which results very fun as well.</t>
        </is>
      </c>
      <c r="R62" s="36" t="inlineStr">
        <is>
          <t>No</t>
        </is>
      </c>
      <c r="S62" s="36" t="n"/>
      <c r="T62" s="36" t="n"/>
      <c r="U62" s="36" t="n"/>
      <c r="V62" s="34">
        <f>IF($A62="","",IF('⚙️ Settings'!$B$1="","",INT(($A62-'⚙️ Settings'!$B$1)/7)+1))</f>
        <v/>
      </c>
    </row>
    <row r="63" ht="15" customHeight="1" s="26">
      <c r="A63" s="38" t="n">
        <v>46220</v>
      </c>
      <c r="B63" s="33" t="inlineStr">
        <is>
          <t>Shania</t>
        </is>
      </c>
      <c r="C63" s="33" t="inlineStr">
        <is>
          <t>T</t>
        </is>
      </c>
      <c r="D63" s="33" t="inlineStr">
        <is>
          <t>Topic 2. That's me</t>
        </is>
      </c>
      <c r="E63" s="33" t="n"/>
      <c r="G63" s="33" t="n"/>
      <c r="H63" s="33" t="n"/>
      <c r="I63" s="33" t="n"/>
      <c r="J63" s="33" t="n"/>
      <c r="K63" s="33" t="n"/>
      <c r="L63" s="33" t="n"/>
      <c r="M63" s="33" t="n"/>
      <c r="N63" s="33" t="n"/>
      <c r="O63" s="33" t="n"/>
      <c r="P63" s="33" t="n"/>
      <c r="Q63" s="33" t="inlineStr">
        <is>
          <t>I'm Shania. I live in Quebec, Canada. I'm 23 years old. I live in the suburbs with my mother. I'm currently a part time worker. Current interests I have are building Lego and the Eurovision Song Contest.</t>
        </is>
      </c>
      <c r="R63" s="33" t="inlineStr">
        <is>
          <t>No</t>
        </is>
      </c>
      <c r="S63" s="33" t="n"/>
      <c r="T63" s="33" t="n"/>
      <c r="U63" s="33" t="n"/>
      <c r="V63" s="34">
        <f>IF($A63="","",IF('⚙️ Settings'!$B$1="","",INT(($A63-'⚙️ Settings'!$B$1)/7)+1))</f>
        <v/>
      </c>
    </row>
    <row r="64" ht="15" customHeight="1" s="26">
      <c r="A64" s="37" t="n">
        <v>46220</v>
      </c>
      <c r="B64" s="36" t="inlineStr">
        <is>
          <t>Anita</t>
        </is>
      </c>
      <c r="C64" s="36" t="inlineStr">
        <is>
          <t>T</t>
        </is>
      </c>
      <c r="D64" s="36" t="inlineStr">
        <is>
          <t>Topic 2. That's me</t>
        </is>
      </c>
      <c r="E64" s="36" t="n"/>
      <c r="G64" s="36" t="n"/>
      <c r="H64" s="36" t="n"/>
      <c r="I64" s="36" t="n"/>
      <c r="J64" s="36" t="n"/>
      <c r="K64" s="36" t="n"/>
      <c r="L64" s="36" t="n"/>
      <c r="M64" s="36" t="n"/>
      <c r="N64" s="36" t="n"/>
      <c r="O64" s="36" t="n"/>
      <c r="P64" s="36" t="n"/>
      <c r="Q64" s="36" t="inlineStr">
        <is>
          <t>I am Anita. I live in Sacramento California.</t>
        </is>
      </c>
      <c r="R64" s="36" t="inlineStr">
        <is>
          <t>No</t>
        </is>
      </c>
      <c r="S64" s="36" t="n"/>
      <c r="T64" s="36" t="n"/>
      <c r="U64" s="36" t="n"/>
      <c r="V64" s="34">
        <f>IF($A64="","",IF('⚙️ Settings'!$B$1="","",INT(($A64-'⚙️ Settings'!$B$1)/7)+1))</f>
        <v/>
      </c>
    </row>
    <row r="65" ht="15" customHeight="1" s="26">
      <c r="A65" s="38" t="n">
        <v>46220</v>
      </c>
      <c r="B65" s="33" t="inlineStr">
        <is>
          <t>Anita</t>
        </is>
      </c>
      <c r="C65" s="33" t="inlineStr">
        <is>
          <t>T</t>
        </is>
      </c>
      <c r="D65" s="33" t="inlineStr">
        <is>
          <t>Topic 2. That's me</t>
        </is>
      </c>
      <c r="E65" s="33" t="n"/>
      <c r="G65" s="33" t="n"/>
      <c r="H65" s="33" t="n"/>
      <c r="I65" s="33" t="n"/>
      <c r="J65" s="33" t="n"/>
      <c r="K65" s="33" t="n"/>
      <c r="L65" s="33" t="n"/>
      <c r="M65" s="33" t="n"/>
      <c r="N65" s="33" t="n"/>
      <c r="O65" s="33" t="n"/>
      <c r="P65" s="33" t="n"/>
      <c r="Q65" s="33" t="inlineStr">
        <is>
          <t>I am am experienced dog sitter.</t>
        </is>
      </c>
      <c r="R65" s="33" t="inlineStr">
        <is>
          <t>No</t>
        </is>
      </c>
      <c r="S65" s="33" t="n"/>
      <c r="T65" s="33" t="n"/>
      <c r="U65" s="33" t="n"/>
      <c r="V65" s="34">
        <f>IF($A65="","",IF('⚙️ Settings'!$B$1="","",INT(($A65-'⚙️ Settings'!$B$1)/7)+1))</f>
        <v/>
      </c>
    </row>
    <row r="66" ht="15" customHeight="1" s="26">
      <c r="A66" s="37" t="n">
        <v>46220</v>
      </c>
      <c r="B66" s="36" t="inlineStr">
        <is>
          <t>Anita</t>
        </is>
      </c>
      <c r="C66" s="36" t="inlineStr">
        <is>
          <t>T</t>
        </is>
      </c>
      <c r="D66" s="36" t="inlineStr">
        <is>
          <t>Topic 2. That's me</t>
        </is>
      </c>
      <c r="E66" s="36" t="n"/>
      <c r="G66" s="36" t="n"/>
      <c r="H66" s="36" t="n"/>
      <c r="I66" s="36" t="n"/>
      <c r="J66" s="36" t="n"/>
      <c r="K66" s="36" t="n"/>
      <c r="L66" s="36" t="n"/>
      <c r="M66" s="36" t="n"/>
      <c r="N66" s="36" t="n"/>
      <c r="O66" s="36" t="n"/>
      <c r="P66" s="36" t="n"/>
      <c r="Q66" s="36" t="inlineStr">
        <is>
          <t>I am retired and living alone</t>
        </is>
      </c>
      <c r="R66" s="36" t="inlineStr">
        <is>
          <t>No</t>
        </is>
      </c>
      <c r="S66" s="36" t="n"/>
      <c r="T66" s="36" t="n"/>
      <c r="U66" s="36" t="n"/>
      <c r="V66" s="34">
        <f>IF($A66="","",IF('⚙️ Settings'!$B$1="","",INT(($A66-'⚙️ Settings'!$B$1)/7)+1))</f>
        <v/>
      </c>
    </row>
    <row r="67" ht="15" customHeight="1" s="26">
      <c r="A67" s="38" t="n">
        <v>46220</v>
      </c>
      <c r="B67" s="33" t="inlineStr">
        <is>
          <t>Anita</t>
        </is>
      </c>
      <c r="C67" s="33" t="inlineStr">
        <is>
          <t>T</t>
        </is>
      </c>
      <c r="D67" s="33" t="inlineStr">
        <is>
          <t>Topic 2. That's me</t>
        </is>
      </c>
      <c r="E67" s="33" t="n"/>
      <c r="G67" s="33" t="n"/>
      <c r="H67" s="33" t="n"/>
      <c r="I67" s="33" t="n"/>
      <c r="J67" s="33" t="n"/>
      <c r="K67" s="33" t="n"/>
      <c r="L67" s="33" t="n"/>
      <c r="M67" s="33" t="n"/>
      <c r="N67" s="33" t="n"/>
      <c r="O67" s="33" t="n"/>
      <c r="P67" s="33" t="n"/>
      <c r="Q67" s="33" t="inlineStr">
        <is>
          <t>I love walking all of my wonderful puppies.</t>
        </is>
      </c>
      <c r="R67" s="33" t="inlineStr">
        <is>
          <t>No</t>
        </is>
      </c>
      <c r="S67" s="33" t="n"/>
      <c r="T67" s="33" t="n"/>
      <c r="U67" s="33" t="n"/>
      <c r="V67" s="34">
        <f>IF($A67="","",IF('⚙️ Settings'!$B$1="","",INT(($A67-'⚙️ Settings'!$B$1)/7)+1))</f>
        <v/>
      </c>
    </row>
    <row r="68" ht="15" customHeight="1" s="26">
      <c r="A68" s="37" t="n">
        <v>46221</v>
      </c>
      <c r="B68" s="36" t="inlineStr">
        <is>
          <t>Emily</t>
        </is>
      </c>
      <c r="C68" s="36" t="inlineStr">
        <is>
          <t>N</t>
        </is>
      </c>
      <c r="D68" s="36" t="inlineStr">
        <is>
          <t>Topic 2. That's me</t>
        </is>
      </c>
      <c r="E68" s="36" t="n"/>
      <c r="G68" s="36" t="n"/>
      <c r="H68" s="36" t="n"/>
      <c r="I68" s="36" t="n"/>
      <c r="J68" s="36" t="n"/>
      <c r="K68" s="36" t="n"/>
      <c r="L68" s="36" t="n"/>
      <c r="M68" s="36" t="n"/>
      <c r="N68" s="36" t="n"/>
      <c r="O68" s="36" t="n"/>
      <c r="P68" s="36" t="n"/>
      <c r="Q68" s="36" t="inlineStr">
        <is>
          <t>Hi! I’m Emily, 34, and recently moved back to Seattle, WA. It’s just me and my Cavalier King Charles Spaniel, Matilda, living in an apartment downtown. I work in marketing, and when I’m not working you’ll usually find us exploring the city, going on walks and hikes, grabbing coffee, or checking out new dog-friendly spots around the Pacific Northwest.</t>
        </is>
      </c>
      <c r="R68" s="36" t="inlineStr">
        <is>
          <t>No</t>
        </is>
      </c>
      <c r="S68" s="36" t="n"/>
      <c r="T68" s="36" t="n"/>
      <c r="U68" s="36" t="n"/>
      <c r="V68" s="34">
        <f>IF($A68="","",IF('⚙️ Settings'!$B$1="","",INT(($A68-'⚙️ Settings'!$B$1)/7)+1))</f>
        <v/>
      </c>
    </row>
    <row r="69" ht="15" customHeight="1" s="26">
      <c r="A69" s="38" t="n">
        <v>46221</v>
      </c>
      <c r="B69" s="33" t="inlineStr">
        <is>
          <t>Desiree</t>
        </is>
      </c>
      <c r="C69" s="33" t="inlineStr">
        <is>
          <t>N</t>
        </is>
      </c>
      <c r="D69" s="33" t="inlineStr">
        <is>
          <t>Topic 2. That's me</t>
        </is>
      </c>
      <c r="E69" s="33" t="n"/>
      <c r="G69" s="33" t="n"/>
      <c r="H69" s="33" t="n"/>
      <c r="I69" s="33" t="n"/>
      <c r="J69" s="33" t="n"/>
      <c r="K69" s="33" t="n"/>
      <c r="L69" s="33" t="n"/>
      <c r="M69" s="33" t="n"/>
      <c r="N69" s="33" t="n"/>
      <c r="O69" s="33" t="n"/>
      <c r="P69" s="33" t="n"/>
      <c r="Q69" s="33" t="inlineStr">
        <is>
          <t>Desiree 
Asheville, NC, USA 
42
Currently living nomadically after returning this June from 2 years of international travel/living abroad. Primarily house/dog-sitting, and also staying with friends and family, and camping in nature. 
Entrepreneur - building women's group getaways. Also Independent Contractor - project management. 
I enjoy being active outdoors in nature (trail running, hiking, biking), all things movement (yoga, strength training, roller skating, etc.), healthy cooking at home, travel internationally &amp; domestic - particularly to nature focused locations, hosting friends &amp; family for visits and adventures, seeing live music, spending time with my partner &amp; all dogs!</t>
        </is>
      </c>
      <c r="R69" s="33" t="inlineStr">
        <is>
          <t>No</t>
        </is>
      </c>
      <c r="S69" s="33" t="n"/>
      <c r="T69" s="33" t="n"/>
      <c r="U69" s="33" t="n"/>
      <c r="V69" s="34">
        <f>IF($A69="","",IF('⚙️ Settings'!$B$1="","",INT(($A69-'⚙️ Settings'!$B$1)/7)+1))</f>
        <v/>
      </c>
    </row>
    <row r="70" ht="15" customHeight="1" s="26">
      <c r="A70" s="37" t="n">
        <v>46221</v>
      </c>
      <c r="B70" s="36" t="inlineStr">
        <is>
          <t>David</t>
        </is>
      </c>
      <c r="C70" s="36" t="inlineStr">
        <is>
          <t>N</t>
        </is>
      </c>
      <c r="D70" s="36" t="inlineStr">
        <is>
          <t>Topic 2. That's me</t>
        </is>
      </c>
      <c r="E70" s="36" t="n"/>
      <c r="G70" s="36" t="n"/>
      <c r="H70" s="36" t="n"/>
      <c r="I70" s="36" t="n"/>
      <c r="J70" s="36" t="n"/>
      <c r="K70" s="36" t="n"/>
      <c r="L70" s="36" t="n"/>
      <c r="M70" s="36" t="n"/>
      <c r="N70" s="36" t="n"/>
      <c r="O70" s="36" t="n"/>
      <c r="P70" s="36" t="n"/>
      <c r="Q70" s="36" t="inlineStr">
        <is>
          <t>- David
-United States of America
-21
-live with family
-AV integrator 
-theatre, gaming, playing with dogs</t>
        </is>
      </c>
      <c r="R70" s="36" t="inlineStr">
        <is>
          <t>No</t>
        </is>
      </c>
      <c r="S70" s="36" t="n"/>
      <c r="T70" s="36" t="n"/>
      <c r="U70" s="36" t="n"/>
      <c r="V70" s="34">
        <f>IF($A70="","",IF('⚙️ Settings'!$B$1="","",INT(($A70-'⚙️ Settings'!$B$1)/7)+1))</f>
        <v/>
      </c>
    </row>
    <row r="71" ht="15" customHeight="1" s="26">
      <c r="A71" s="38" t="n">
        <v>46221</v>
      </c>
      <c r="B71" s="33" t="inlineStr">
        <is>
          <t>Melissa</t>
        </is>
      </c>
      <c r="C71" s="33" t="inlineStr">
        <is>
          <t>M</t>
        </is>
      </c>
      <c r="D71" s="33" t="inlineStr">
        <is>
          <t>Topic 2. That's me</t>
        </is>
      </c>
      <c r="E71" s="33" t="n"/>
      <c r="G71" s="33" t="n"/>
      <c r="H71" s="33" t="n"/>
      <c r="I71" s="33" t="n"/>
      <c r="J71" s="33" t="n"/>
      <c r="K71" s="33" t="n"/>
      <c r="L71" s="33" t="n"/>
      <c r="M71" s="33" t="n"/>
      <c r="N71" s="33" t="n"/>
      <c r="O71" s="33" t="n"/>
      <c r="P71" s="33" t="n"/>
      <c r="Q71" s="33" t="inlineStr">
        <is>
          <t>Hi! I'm Melissa, I'm 45, live in Columbus, Ohio and I am a single mom to two boys 12 and 9. My oldest son has high needs and so flexibility in my work is very important. I'm currently unemployed but looking for full time work in communications.</t>
        </is>
      </c>
      <c r="R71" s="33" t="inlineStr">
        <is>
          <t>Yes</t>
        </is>
      </c>
      <c r="S71" s="33" t="inlineStr">
        <is>
          <t>Photo</t>
        </is>
      </c>
      <c r="T71" s="33" t="n"/>
      <c r="U71" s="33" t="n"/>
      <c r="V71" s="34">
        <f>IF($A71="","",IF('⚙️ Settings'!$B$1="","",INT(($A71-'⚙️ Settings'!$B$1)/7)+1))</f>
        <v/>
      </c>
    </row>
    <row r="72" ht="15" customHeight="1" s="26">
      <c r="A72" s="37" t="n">
        <v>46224</v>
      </c>
      <c r="B72" s="36" t="inlineStr">
        <is>
          <t>Alyssa</t>
        </is>
      </c>
      <c r="C72" s="36" t="inlineStr">
        <is>
          <t>N</t>
        </is>
      </c>
      <c r="D72" s="36" t="inlineStr">
        <is>
          <t>Topic 2. That's me</t>
        </is>
      </c>
      <c r="E72" s="36" t="n"/>
      <c r="G72" s="36" t="n"/>
      <c r="H72" s="36" t="n"/>
      <c r="I72" s="36" t="n"/>
      <c r="J72" s="36" t="n"/>
      <c r="K72" s="36" t="n"/>
      <c r="L72" s="36" t="n"/>
      <c r="M72" s="36" t="n"/>
      <c r="N72" s="36" t="n"/>
      <c r="O72" s="36" t="n"/>
      <c r="P72" s="36" t="n"/>
      <c r="Q72" s="36" t="inlineStr">
        <is>
          <t>Hi I’m Alyssa! I am 19 years old from North Carolina, USA. Im living with my parents currently while being a college student studying Animal Care Management and Technology and I hope to be a Registered Veterinary Technician in the future. I’ve also worked as a pet sitter (mostly dog sitter) since I was younger for family friends. I have loved all animals my whole life.  In my free time I love reading, spending time with friends and family, and taking care of my families sheep.</t>
        </is>
      </c>
      <c r="R72" s="36" t="inlineStr">
        <is>
          <t>No</t>
        </is>
      </c>
      <c r="S72" s="36" t="n"/>
      <c r="T72" s="36" t="n"/>
      <c r="U72" s="36" t="n"/>
      <c r="V72" s="34">
        <f>IF($A72="","",IF('⚙️ Settings'!$B$1="","",INT(($A72-'⚙️ Settings'!$B$1)/7)+1))</f>
        <v/>
      </c>
    </row>
    <row r="73" ht="15" customHeight="1" s="26">
      <c r="A73" s="38" t="n">
        <v>46224</v>
      </c>
      <c r="B73" s="33" t="inlineStr">
        <is>
          <t>Alexia</t>
        </is>
      </c>
      <c r="C73" s="33" t="inlineStr">
        <is>
          <t>M</t>
        </is>
      </c>
      <c r="D73" s="33" t="inlineStr">
        <is>
          <t>Topic 2. That's me</t>
        </is>
      </c>
      <c r="E73" s="33" t="n"/>
      <c r="G73" s="33" t="n"/>
      <c r="H73" s="33" t="n"/>
      <c r="I73" s="33" t="n"/>
      <c r="J73" s="33" t="n"/>
      <c r="K73" s="33" t="n"/>
      <c r="L73" s="33" t="n"/>
      <c r="M73" s="33" t="n"/>
      <c r="N73" s="33" t="n"/>
      <c r="O73" s="33" t="n"/>
      <c r="P73" s="33" t="n"/>
      <c r="Q73" s="33" t="inlineStr">
        <is>
          <t>Hello my name is Alexia Back, I live in Glennville GA USA. I'm 27 years old, I will be 28 in October. I'm currently living with my folks as I work and save up money to move out. My main a source is Rover. I love creating art, i am a graphic novelist and I hope some day soon that will become my main job. I also love to travel and enjoy movies.</t>
        </is>
      </c>
      <c r="R73" s="33" t="inlineStr">
        <is>
          <t>No</t>
        </is>
      </c>
      <c r="S73" s="33" t="n"/>
      <c r="T73" s="33" t="n"/>
      <c r="U73" s="33" t="n"/>
      <c r="V73" s="34">
        <f>IF($A73="","",IF('⚙️ Settings'!$B$1="","",INT(($A73-'⚙️ Settings'!$B$1)/7)+1))</f>
        <v/>
      </c>
    </row>
    <row r="74" ht="15" customHeight="1" s="26">
      <c r="A74" s="37" t="n">
        <v>46224</v>
      </c>
      <c r="B74" s="36" t="inlineStr">
        <is>
          <t>Erica</t>
        </is>
      </c>
      <c r="C74" s="36" t="inlineStr">
        <is>
          <t>M</t>
        </is>
      </c>
      <c r="D74" s="36" t="inlineStr">
        <is>
          <t>Topic 2. That's me</t>
        </is>
      </c>
      <c r="E74" s="36" t="n"/>
      <c r="G74" s="36" t="n"/>
      <c r="H74" s="36" t="n"/>
      <c r="I74" s="36" t="n"/>
      <c r="J74" s="36" t="n"/>
      <c r="K74" s="36" t="n"/>
      <c r="L74" s="36" t="n"/>
      <c r="M74" s="36" t="n"/>
      <c r="N74" s="36" t="n"/>
      <c r="O74" s="36" t="n"/>
      <c r="P74" s="36" t="n"/>
      <c r="Q74" s="36" t="inlineStr">
        <is>
          <t>Hi.  I'm Erica from Cincinnati, Ohio, United States.  I'm in my upper 40s, single in a condo. I currently work as a receptionist at a pet hospital but am looking for a different office position, more 9 to 5.  I like reading, working out, pole dancing, karaoke, and reptiles.</t>
        </is>
      </c>
      <c r="R74" s="36" t="inlineStr">
        <is>
          <t>No</t>
        </is>
      </c>
      <c r="S74" s="36" t="n"/>
      <c r="T74" s="36" t="n"/>
      <c r="U74" s="36" t="n"/>
      <c r="V74" s="34">
        <f>IF($A74="","",IF('⚙️ Settings'!$B$1="","",INT(($A74-'⚙️ Settings'!$B$1)/7)+1))</f>
        <v/>
      </c>
    </row>
    <row r="75" ht="15" customHeight="1" s="26">
      <c r="A75" s="38" t="n">
        <v>46225</v>
      </c>
      <c r="B75" s="33" t="inlineStr">
        <is>
          <t>Dawn</t>
        </is>
      </c>
      <c r="C75" s="33" t="inlineStr">
        <is>
          <t>T</t>
        </is>
      </c>
      <c r="D75" s="33" t="inlineStr">
        <is>
          <t>Topic 2. That's me</t>
        </is>
      </c>
      <c r="E75" s="33" t="n"/>
      <c r="G75" s="33" t="n"/>
      <c r="H75" s="33" t="n"/>
      <c r="I75" s="33" t="n"/>
      <c r="J75" s="33" t="n"/>
      <c r="K75" s="33" t="n"/>
      <c r="L75" s="33" t="n"/>
      <c r="M75" s="33" t="n"/>
      <c r="N75" s="33" t="n"/>
      <c r="O75" s="33" t="n"/>
      <c r="P75" s="33" t="n"/>
      <c r="Q75" s="33" t="inlineStr">
        <is>
          <t>My name is Dawn. I am 62 and single and I live in a house in Huntersville NC. I am semi retired except for part time pet sitting. I love all dogs but especially corgis.  I lost my soul dog Lucy in October to lymphoma.</t>
        </is>
      </c>
      <c r="R75" s="33" t="inlineStr">
        <is>
          <t>Yes</t>
        </is>
      </c>
      <c r="S75" s="33" t="inlineStr">
        <is>
          <t>Photo</t>
        </is>
      </c>
      <c r="T75" s="33" t="n"/>
      <c r="U75" s="33" t="n"/>
      <c r="V75" s="34">
        <f>IF($A75="","",IF('⚙️ Settings'!$B$1="","",INT(($A75-'⚙️ Settings'!$B$1)/7)+1))</f>
        <v/>
      </c>
    </row>
    <row r="76" ht="15" customHeight="1" s="26">
      <c r="A76" s="37" t="n">
        <v>46212</v>
      </c>
      <c r="B76" s="36" t="inlineStr">
        <is>
          <t>Kristin</t>
        </is>
      </c>
      <c r="C76" s="36" t="inlineStr">
        <is>
          <t>T</t>
        </is>
      </c>
      <c r="D76" s="36" t="inlineStr">
        <is>
          <t>Topic 3. Me on Rover</t>
        </is>
      </c>
      <c r="E76" s="36" t="n"/>
      <c r="G76" s="36" t="n"/>
      <c r="H76" s="36" t="n"/>
      <c r="I76" s="36" t="n"/>
      <c r="J76" s="36" t="n"/>
      <c r="K76" s="36" t="n"/>
      <c r="L76" s="36" t="n"/>
      <c r="M76" s="36" t="n"/>
      <c r="N76" s="36" t="n"/>
      <c r="O76" s="36" t="n"/>
      <c r="P76" s="36" t="n"/>
      <c r="Q76" s="36" t="inlineStr">
        <is>
          <t>I have been using Rover since 2018. 
I started using Rover for supplemental income when I was promoted at my full-time job and was no longer receiving overtime. 
I provide dog- walking,  dropin visits and housesitting. 
Total bookings 1705
Petsitting experience includes pups and kitties to seniors. Medication administering,  I love my regulars and meeting new clients.</t>
        </is>
      </c>
      <c r="R76" s="36" t="inlineStr">
        <is>
          <t>No</t>
        </is>
      </c>
      <c r="S76" s="36" t="n"/>
      <c r="T76" s="36" t="n"/>
      <c r="U76" s="36" t="n"/>
      <c r="V76" s="34">
        <f>IF($A76="","",IF('⚙️ Settings'!$B$1="","",INT(($A76-'⚙️ Settings'!$B$1)/7)+1))</f>
        <v/>
      </c>
    </row>
    <row r="77" ht="15" customHeight="1" s="26">
      <c r="A77" s="38" t="n">
        <v>46212</v>
      </c>
      <c r="B77" s="33" t="inlineStr">
        <is>
          <t>Deborah</t>
        </is>
      </c>
      <c r="C77" s="33" t="inlineStr">
        <is>
          <t>N</t>
        </is>
      </c>
      <c r="D77" s="33" t="inlineStr">
        <is>
          <t>Topic 3. Me on Rover</t>
        </is>
      </c>
      <c r="E77" s="33" t="n"/>
      <c r="G77" s="33" t="n"/>
      <c r="H77" s="33" t="n"/>
      <c r="I77" s="33" t="n"/>
      <c r="J77" s="33" t="n"/>
      <c r="K77" s="33" t="n"/>
      <c r="L77" s="33" t="n"/>
      <c r="M77" s="33" t="n"/>
      <c r="N77" s="33" t="n"/>
      <c r="O77" s="33" t="n"/>
      <c r="P77" s="33" t="n"/>
      <c r="Q77" s="33" t="inlineStr">
        <is>
          <t>I recently started using Rover. I started because I sit with my families dogs and love doing it. I do not have a dog of my own any longer. I offer in home sitting for long weekends or extended vacations. I got my first booking within two days of posting my Rover availablity. I've found getting started on Rover easy. The tips on use of the site that were emailed to me later have been timely and helpful</t>
        </is>
      </c>
      <c r="R77" s="33" t="inlineStr">
        <is>
          <t>No</t>
        </is>
      </c>
      <c r="S77" s="33" t="n"/>
      <c r="T77" s="33" t="n"/>
      <c r="U77" s="33" t="n"/>
      <c r="V77" s="34">
        <f>IF($A77="","",IF('⚙️ Settings'!$B$1="","",INT(($A77-'⚙️ Settings'!$B$1)/7)+1))</f>
        <v/>
      </c>
    </row>
    <row r="78" ht="15" customHeight="1" s="26">
      <c r="A78" s="37" t="n">
        <v>46212</v>
      </c>
      <c r="B78" s="36" t="inlineStr">
        <is>
          <t>Deborah</t>
        </is>
      </c>
      <c r="C78" s="36" t="inlineStr">
        <is>
          <t>N</t>
        </is>
      </c>
      <c r="D78" s="36" t="inlineStr">
        <is>
          <t>Topic 3. Me on Rover</t>
        </is>
      </c>
      <c r="E78" s="36" t="n"/>
      <c r="G78" s="36" t="n"/>
      <c r="H78" s="36" t="n"/>
      <c r="I78" s="36" t="n"/>
      <c r="J78" s="36" t="n"/>
      <c r="K78" s="36" t="n"/>
      <c r="L78" s="36" t="n"/>
      <c r="M78" s="36" t="n"/>
      <c r="N78" s="36" t="n"/>
      <c r="O78" s="36" t="n"/>
      <c r="P78" s="36" t="n"/>
      <c r="Q78" s="36" t="inlineStr">
        <is>
          <t>This is Hopper. She is my first Rover client</t>
        </is>
      </c>
      <c r="R78" s="36" t="inlineStr">
        <is>
          <t>Yes</t>
        </is>
      </c>
      <c r="S78" s="36" t="inlineStr">
        <is>
          <t>Photo</t>
        </is>
      </c>
      <c r="T78" s="36" t="n"/>
      <c r="U78" s="36" t="n"/>
      <c r="V78" s="34">
        <f>IF($A78="","",IF('⚙️ Settings'!$B$1="","",INT(($A78-'⚙️ Settings'!$B$1)/7)+1))</f>
        <v/>
      </c>
    </row>
    <row r="79" ht="15" customHeight="1" s="26">
      <c r="A79" s="38" t="n">
        <v>46213</v>
      </c>
      <c r="B79" s="33" t="inlineStr">
        <is>
          <t>Tifany</t>
        </is>
      </c>
      <c r="C79" s="33" t="inlineStr">
        <is>
          <t>T</t>
        </is>
      </c>
      <c r="D79" s="33" t="inlineStr">
        <is>
          <t>Topic 3. Me on Rover</t>
        </is>
      </c>
      <c r="E79" s="33" t="n"/>
      <c r="G79" s="33" t="n"/>
      <c r="H79" s="33" t="n"/>
      <c r="I79" s="33" t="n"/>
      <c r="J79" s="33" t="n"/>
      <c r="K79" s="33" t="n"/>
      <c r="L79" s="33" t="n"/>
      <c r="M79" s="33" t="n"/>
      <c r="N79" s="33" t="n"/>
      <c r="O79" s="33" t="n"/>
      <c r="P79" s="33" t="n"/>
      <c r="Q79" s="33" t="inlineStr">
        <is>
          <t>I started using Rover around July or August of 2023, and I began kind of because of happenstance. My mom had been using Rover for maybe around a year, just as a little side thing (her and her husband are retired, so they don’t really need the money, but something to do), but she had told me about it and that she enjoyed it. 
Well, coincidentally, a pastor friend of mine was going out of town for 23 days to Jerusalem and had asked me to housesit for them during that time — they told me they could pay me, and I figured it would be nice to have some extra money on top of my job in ministry. I loved it! So, when that job ended, that’s when my mom really encouraged me to apply for the Rover app. And here I am, still working for Rover and even my own business outside of Rover now too. 
And Rover is what began my side business, Havenly Paws. I kept getting so much word-of-mouth business outside of Rover (neighbors of clients from Rover, church friends, and more) that I started using the Rover app and was busy enough with caring for pets that I also began my own business. Now it’s a wonderful side job for me! 
Services I offer are: housesitting in their home, boarding pets in my home, drop-ins for all kinds of pets (I’ve even done drop-ins for turtles and iguanas), dog walking, and doggie daycare. 
My total bookings so far: looks like my booking total is 71 as of today (7/9/26). I have 37 clients on Rover alone, and 12 repeat clients. But I don’t finish the housesitting job I have going for another 2 days, and then I guess I’ll have one more client after that processes:) 
My petsitting experience has been great so far, over all! I definitely have had some dogs that I would never sit for again, but for the most part, it’s been a really pleasant experience! And I do get a lot of new clients from time to time, but I also have my regulars who I love and they love me. One of my absolute favorite dogs is Boo — I call her “little Boo thang”, and she’s a repeat client’s dog. I always feel bad when I have to say no because I have another booking already. 
I will say for fun — I love getting new kinds of animals. Farm animals to care for, the turtles and iguanas I mentioned before. And one time I had a client who had a tarantula in a fish tank that I technically didn’t have to care for because there was nothing that needed to be done, but I really enjoy adding it to my list of animals I’ve looked after!</t>
        </is>
      </c>
      <c r="R79" s="33" t="inlineStr">
        <is>
          <t>Yes</t>
        </is>
      </c>
      <c r="S79" s="33" t="inlineStr">
        <is>
          <t>Photo</t>
        </is>
      </c>
      <c r="T79" s="33" t="n"/>
      <c r="U79" s="33" t="n"/>
      <c r="V79" s="34">
        <f>IF($A79="","",IF('⚙️ Settings'!$B$1="","",INT(($A79-'⚙️ Settings'!$B$1)/7)+1))</f>
        <v/>
      </c>
    </row>
    <row r="80" ht="15" customHeight="1" s="26">
      <c r="A80" s="37" t="n">
        <v>46213</v>
      </c>
      <c r="B80" s="36" t="inlineStr">
        <is>
          <t>Becky</t>
        </is>
      </c>
      <c r="C80" s="36" t="inlineStr">
        <is>
          <t>T</t>
        </is>
      </c>
      <c r="D80" s="36" t="inlineStr">
        <is>
          <t>Topic 3. Me on Rover</t>
        </is>
      </c>
      <c r="E80" s="36" t="n"/>
      <c r="G80" s="36" t="n"/>
      <c r="H80" s="36" t="n"/>
      <c r="I80" s="36" t="n"/>
      <c r="J80" s="36" t="n"/>
      <c r="K80" s="36" t="n"/>
      <c r="L80" s="36" t="n"/>
      <c r="M80" s="36" t="n"/>
      <c r="N80" s="36" t="n"/>
      <c r="O80" s="36" t="n"/>
      <c r="P80" s="36" t="n"/>
      <c r="Q80" s="36" t="inlineStr">
        <is>
          <t>I joined Rover in May 2023. After the pandemic, I was stil working from home and was trying to find an easy way to make a little extra money when I was bored. I think I saw an ad for Rover or it was featured in a show or something. So I decided to try it. 
I offered every available service, and assumed that most people needed help walking their dogs during the day. But it turned out that a lot of folks actually want someone to watch their animials while they are out of town. I rarely get dog walking requests. 
I average between $10-11k a year. At this point, most of my bookings are repeat doggos but I still get requests from new people fairly regularly. It can just be hard for them to find an opening because I tend to be booked out months in advance.</t>
        </is>
      </c>
      <c r="R80" s="36" t="inlineStr">
        <is>
          <t>No</t>
        </is>
      </c>
      <c r="S80" s="36" t="n"/>
      <c r="T80" s="36" t="n"/>
      <c r="U80" s="36" t="n"/>
      <c r="V80" s="34">
        <f>IF($A80="","",IF('⚙️ Settings'!$B$1="","",INT(($A80-'⚙️ Settings'!$B$1)/7)+1))</f>
        <v/>
      </c>
    </row>
    <row r="81" ht="15" customHeight="1" s="26">
      <c r="A81" s="38" t="n">
        <v>46213</v>
      </c>
      <c r="B81" s="33" t="inlineStr">
        <is>
          <t>Becky</t>
        </is>
      </c>
      <c r="C81" s="33" t="inlineStr">
        <is>
          <t>T</t>
        </is>
      </c>
      <c r="D81" s="33" t="inlineStr">
        <is>
          <t>Topic 3. Me on Rover</t>
        </is>
      </c>
      <c r="E81" s="33" t="n"/>
      <c r="G81" s="33" t="n"/>
      <c r="H81" s="33" t="n"/>
      <c r="I81" s="33" t="n"/>
      <c r="J81" s="33" t="n"/>
      <c r="K81" s="33" t="n"/>
      <c r="L81" s="33" t="n"/>
      <c r="M81" s="33" t="n"/>
      <c r="N81" s="33" t="n"/>
      <c r="O81" s="33" t="n"/>
      <c r="P81" s="33" t="n"/>
      <c r="Q81" s="33" t="inlineStr">
        <is>
          <t>This is me cuddling with one of my regulars on the 4th of July</t>
        </is>
      </c>
      <c r="R81" s="33" t="inlineStr">
        <is>
          <t>Yes</t>
        </is>
      </c>
      <c r="S81" s="33" t="inlineStr">
        <is>
          <t>Photo</t>
        </is>
      </c>
      <c r="T81" s="33" t="n"/>
      <c r="U81" s="33" t="n"/>
      <c r="V81" s="34">
        <f>IF($A81="","",IF('⚙️ Settings'!$B$1="","",INT(($A81-'⚙️ Settings'!$B$1)/7)+1))</f>
        <v/>
      </c>
    </row>
    <row r="82" ht="15" customHeight="1" s="26">
      <c r="A82" s="37" t="n">
        <v>46214</v>
      </c>
      <c r="B82" s="36" t="inlineStr">
        <is>
          <t>Joey</t>
        </is>
      </c>
      <c r="C82" s="36" t="inlineStr">
        <is>
          <t>M</t>
        </is>
      </c>
      <c r="D82" s="36" t="inlineStr">
        <is>
          <t>Topic 3. Me on Rover</t>
        </is>
      </c>
      <c r="E82" s="36" t="n"/>
      <c r="G82" s="36" t="n"/>
      <c r="H82" s="36" t="n"/>
      <c r="I82" s="36" t="n"/>
      <c r="J82" s="36" t="n"/>
      <c r="K82" s="36" t="n"/>
      <c r="L82" s="36" t="n"/>
      <c r="M82" s="36" t="n"/>
      <c r="N82" s="36" t="n"/>
      <c r="O82" s="36" t="n"/>
      <c r="P82" s="36" t="n"/>
      <c r="Q82" s="36" t="inlineStr">
        <is>
          <t>I started using Rover since July 2025 and got my first booking in December 2025. 
I had guinea pigs for 8 years and they passed away in June 2025. After they passed away, I have more free time that I would love to dedicate to animals. I am huge cat lover as well so I figured out I wanted do some cat sitting. I am also considering owning a cat in the future and I think it is a good way to have a taste of how it’s like to take care of a cat’s routine. On the side I also started to volunteer at a local cat rescue in August 2025 which helps me gaining cat care experience and finally got my first booking in December 2025.
I offer drop-in visits for cats and dogs, and also dog walking. I have a total of 19 bookings wi the 8 clients in total so far, and 3 of them are repeat clients. One of the bookings is for dog drop-in visits and the remaining are all drop-in visits for cats. I have received one last-minute request dog walking and have not accepted any dog walking requests.
I have two regulars cat clients for drop-ins: one usually booking me for the weekend 1-2 times a month, and another booked me once a month for 3-4 days on average.
For dog, I only take smaller dogs, and the only one I did drop-in visits is a senior chihuahua which does not require walking.
So far my pet sitting experience is positive, no complaints and everything went well!</t>
        </is>
      </c>
      <c r="R82" s="36" t="inlineStr">
        <is>
          <t>No</t>
        </is>
      </c>
      <c r="S82" s="36" t="n"/>
      <c r="T82" s="36" t="n"/>
      <c r="U82" s="36" t="n"/>
      <c r="V82" s="34">
        <f>IF($A82="","",IF('⚙️ Settings'!$B$1="","",INT(($A82-'⚙️ Settings'!$B$1)/7)+1))</f>
        <v/>
      </c>
    </row>
    <row r="83" ht="15" customHeight="1" s="26">
      <c r="A83" s="38" t="n">
        <v>46214</v>
      </c>
      <c r="B83" s="33" t="inlineStr">
        <is>
          <t>Joey</t>
        </is>
      </c>
      <c r="C83" s="33" t="inlineStr">
        <is>
          <t>M</t>
        </is>
      </c>
      <c r="D83" s="33" t="inlineStr">
        <is>
          <t>Topic 3. Me on Rover</t>
        </is>
      </c>
      <c r="E83" s="33" t="n"/>
      <c r="G83" s="33" t="n"/>
      <c r="H83" s="33" t="n"/>
      <c r="I83" s="33" t="n"/>
      <c r="J83" s="33" t="n"/>
      <c r="K83" s="33" t="n"/>
      <c r="L83" s="33" t="n"/>
      <c r="M83" s="33" t="n"/>
      <c r="N83" s="33" t="n"/>
      <c r="O83" s="33" t="n"/>
      <c r="P83" s="33" t="n"/>
      <c r="Q83" s="33" t="inlineStr">
        <is>
          <t>This is not a picture taken when I’m doing Rover but I guess this represents me well as I adore cats!!</t>
        </is>
      </c>
      <c r="R83" s="33" t="inlineStr">
        <is>
          <t>Yes</t>
        </is>
      </c>
      <c r="S83" s="33" t="inlineStr">
        <is>
          <t>Photo</t>
        </is>
      </c>
      <c r="T83" s="33" t="n"/>
      <c r="U83" s="33" t="n"/>
      <c r="V83" s="34">
        <f>IF($A83="","",IF('⚙️ Settings'!$B$1="","",INT(($A83-'⚙️ Settings'!$B$1)/7)+1))</f>
        <v/>
      </c>
    </row>
    <row r="84" ht="15" customHeight="1" s="26">
      <c r="A84" s="37" t="n">
        <v>46216</v>
      </c>
      <c r="B84" s="36" t="inlineStr">
        <is>
          <t>Naomi</t>
        </is>
      </c>
      <c r="C84" s="36" t="inlineStr">
        <is>
          <t>M</t>
        </is>
      </c>
      <c r="D84" s="36" t="inlineStr">
        <is>
          <t>Topic 3. Me on Rover</t>
        </is>
      </c>
      <c r="E84" s="36" t="n"/>
      <c r="G84" s="36" t="n"/>
      <c r="H84" s="36" t="n"/>
      <c r="I84" s="36" t="n"/>
      <c r="J84" s="36" t="n"/>
      <c r="K84" s="36" t="n"/>
      <c r="L84" s="36" t="n"/>
      <c r="M84" s="36" t="n"/>
      <c r="N84" s="36" t="n"/>
      <c r="O84" s="36" t="n"/>
      <c r="P84" s="36" t="n"/>
      <c r="Q84" s="36" t="inlineStr">
        <is>
          <t>About a year. I used to dogsit for a friend who had 4 dogs and traveled heavily for work. I used to offer day care but now I only offer boarding and sometimes walks. I have been a heavy Booker. Last year I made ~$18k off rover. I had regulars for daycare but I found that they were too much work compared to typical boarding dogs. I am open to new dogs.</t>
        </is>
      </c>
      <c r="R84" s="36" t="inlineStr">
        <is>
          <t>No</t>
        </is>
      </c>
      <c r="S84" s="36" t="n"/>
      <c r="T84" s="36" t="n"/>
      <c r="U84" s="36" t="n"/>
      <c r="V84" s="34">
        <f>IF($A84="","",IF('⚙️ Settings'!$B$1="","",INT(($A84-'⚙️ Settings'!$B$1)/7)+1))</f>
        <v/>
      </c>
    </row>
    <row r="85" ht="15" customHeight="1" s="26">
      <c r="A85" s="38" t="n">
        <v>46216</v>
      </c>
      <c r="B85" s="33" t="inlineStr">
        <is>
          <t>Amy</t>
        </is>
      </c>
      <c r="C85" s="33" t="inlineStr">
        <is>
          <t>T</t>
        </is>
      </c>
      <c r="D85" s="33" t="inlineStr">
        <is>
          <t>Topic 3. Me on Rover</t>
        </is>
      </c>
      <c r="E85" s="33" t="n"/>
      <c r="G85" s="33" t="n"/>
      <c r="H85" s="33" t="n"/>
      <c r="I85" s="33" t="n"/>
      <c r="J85" s="33" t="n"/>
      <c r="K85" s="33" t="n"/>
      <c r="L85" s="33" t="n"/>
      <c r="M85" s="33" t="n"/>
      <c r="N85" s="33" t="n"/>
      <c r="O85" s="33" t="n"/>
      <c r="P85" s="33" t="n"/>
      <c r="Q85" s="33" t="inlineStr">
        <is>
          <t>I created my Rover profile in August of 2025. I love animals and wanted to use what I have learned as a life long dog owner and trained animal shelter volunteer. Being retired gave me more time to interact with animals and having extra income to supplement my pension was attractive. As a kid I always wanted to have lots of dogs- this is my way of having 
that!
I offer drop in visits/dog walking and house sitting. I did get day care/boarding requests early on which I didn't want to commit to since one of my dogs is sometimes "opinionated" with other dogs.
I have about 100 bookings since 8/25.
I have built up a lot of "regulars". One of them moved, but kindly thanked me before leaving. I have about 14 regular customers. I am currently not accepting new customers. That will change in mid August.
I've become very fond of the dogs and cats- sadly 2 of the dogs have passed away since I started 😥</t>
        </is>
      </c>
      <c r="R85" s="33" t="inlineStr">
        <is>
          <t>No</t>
        </is>
      </c>
      <c r="S85" s="33" t="n"/>
      <c r="T85" s="33" t="n"/>
      <c r="U85" s="33" t="n"/>
      <c r="V85" s="34">
        <f>IF($A85="","",IF('⚙️ Settings'!$B$1="","",INT(($A85-'⚙️ Settings'!$B$1)/7)+1))</f>
        <v/>
      </c>
    </row>
    <row r="86" ht="15" customHeight="1" s="26">
      <c r="A86" s="37" t="n">
        <v>46216</v>
      </c>
      <c r="B86" s="36" t="inlineStr">
        <is>
          <t>Amy</t>
        </is>
      </c>
      <c r="C86" s="36" t="inlineStr">
        <is>
          <t>T</t>
        </is>
      </c>
      <c r="D86" s="36" t="inlineStr">
        <is>
          <t>Topic 3. Me on Rover</t>
        </is>
      </c>
      <c r="E86" s="36" t="n"/>
      <c r="G86" s="36" t="n"/>
      <c r="H86" s="36" t="n"/>
      <c r="I86" s="36" t="n"/>
      <c r="J86" s="36" t="n"/>
      <c r="K86" s="36" t="n"/>
      <c r="L86" s="36" t="n"/>
      <c r="M86" s="36" t="n"/>
      <c r="N86" s="36" t="n"/>
      <c r="O86" s="36" t="n"/>
      <c r="P86" s="36" t="n"/>
      <c r="Q86" s="36" t="inlineStr">
        <is>
          <t>My dogs Sake and Titp</t>
        </is>
      </c>
      <c r="R86" s="36" t="inlineStr">
        <is>
          <t>Yes</t>
        </is>
      </c>
      <c r="S86" s="36" t="inlineStr">
        <is>
          <t>Photo</t>
        </is>
      </c>
      <c r="T86" s="36" t="n"/>
      <c r="U86" s="36" t="n"/>
      <c r="V86" s="34">
        <f>IF($A86="","",IF('⚙️ Settings'!$B$1="","",INT(($A86-'⚙️ Settings'!$B$1)/7)+1))</f>
        <v/>
      </c>
    </row>
    <row r="87" ht="15" customHeight="1" s="26">
      <c r="A87" s="38" t="n">
        <v>46216</v>
      </c>
      <c r="B87" s="33" t="inlineStr">
        <is>
          <t>Amy</t>
        </is>
      </c>
      <c r="C87" s="33" t="inlineStr">
        <is>
          <t>T</t>
        </is>
      </c>
      <c r="D87" s="33" t="inlineStr">
        <is>
          <t>Topic 3. Me on Rover</t>
        </is>
      </c>
      <c r="E87" s="33" t="n"/>
      <c r="G87" s="33" t="n"/>
      <c r="H87" s="33" t="n"/>
      <c r="I87" s="33" t="n"/>
      <c r="J87" s="33" t="n"/>
      <c r="K87" s="33" t="n"/>
      <c r="L87" s="33" t="n"/>
      <c r="M87" s="33" t="n"/>
      <c r="N87" s="33" t="n"/>
      <c r="O87" s="33" t="n"/>
      <c r="P87" s="33" t="n"/>
      <c r="Q87" s="33" t="inlineStr">
        <is>
          <t>Tito</t>
        </is>
      </c>
      <c r="R87" s="33" t="inlineStr">
        <is>
          <t>No</t>
        </is>
      </c>
      <c r="S87" s="33" t="n"/>
      <c r="T87" s="33" t="n"/>
      <c r="U87" s="33" t="n"/>
      <c r="V87" s="34">
        <f>IF($A87="","",IF('⚙️ Settings'!$B$1="","",INT(($A87-'⚙️ Settings'!$B$1)/7)+1))</f>
        <v/>
      </c>
    </row>
    <row r="88" ht="15" customHeight="1" s="26">
      <c r="A88" s="37" t="n">
        <v>46216</v>
      </c>
      <c r="B88" s="36" t="inlineStr">
        <is>
          <t>Amy</t>
        </is>
      </c>
      <c r="C88" s="36" t="inlineStr">
        <is>
          <t>T</t>
        </is>
      </c>
      <c r="D88" s="36" t="inlineStr">
        <is>
          <t>Topic 3. Me on Rover</t>
        </is>
      </c>
      <c r="E88" s="36" t="n"/>
      <c r="G88" s="36" t="n"/>
      <c r="H88" s="36" t="n"/>
      <c r="I88" s="36" t="n"/>
      <c r="J88" s="36" t="n"/>
      <c r="K88" s="36" t="n"/>
      <c r="L88" s="36" t="n"/>
      <c r="M88" s="36" t="n"/>
      <c r="N88" s="36" t="n"/>
      <c r="O88" s="36" t="n"/>
      <c r="P88" s="36" t="n"/>
      <c r="Q88" s="36" t="inlineStr">
        <is>
          <t>My cat Shay</t>
        </is>
      </c>
      <c r="R88" s="36" t="inlineStr">
        <is>
          <t>Yes</t>
        </is>
      </c>
      <c r="S88" s="36" t="inlineStr">
        <is>
          <t>Photo</t>
        </is>
      </c>
      <c r="T88" s="36" t="n"/>
      <c r="U88" s="36" t="n"/>
      <c r="V88" s="34">
        <f>IF($A88="","",IF('⚙️ Settings'!$B$1="","",INT(($A88-'⚙️ Settings'!$B$1)/7)+1))</f>
        <v/>
      </c>
    </row>
    <row r="89" ht="15" customHeight="1" s="26">
      <c r="A89" s="38" t="n">
        <v>46216</v>
      </c>
      <c r="B89" s="33" t="inlineStr">
        <is>
          <t>Amy</t>
        </is>
      </c>
      <c r="C89" s="33" t="inlineStr">
        <is>
          <t>T</t>
        </is>
      </c>
      <c r="D89" s="33" t="inlineStr">
        <is>
          <t>Topic 3. Me on Rover</t>
        </is>
      </c>
      <c r="E89" s="33" t="n"/>
      <c r="G89" s="33" t="n"/>
      <c r="H89" s="33" t="n"/>
      <c r="I89" s="33" t="n"/>
      <c r="J89" s="33" t="n"/>
      <c r="K89" s="33" t="n"/>
      <c r="L89" s="33" t="n"/>
      <c r="M89" s="33" t="n"/>
      <c r="N89" s="33" t="n"/>
      <c r="O89" s="33" t="n"/>
      <c r="P89" s="33" t="n"/>
      <c r="Q89" s="33" t="inlineStr"/>
      <c r="R89" s="33" t="inlineStr">
        <is>
          <t>Yes</t>
        </is>
      </c>
      <c r="S89" s="33" t="inlineStr">
        <is>
          <t>Photo</t>
        </is>
      </c>
      <c r="T89" s="33" t="n"/>
      <c r="U89" s="33" t="n"/>
      <c r="V89" s="34">
        <f>IF($A89="","",IF('⚙️ Settings'!$B$1="","",INT(($A89-'⚙️ Settings'!$B$1)/7)+1))</f>
        <v/>
      </c>
    </row>
    <row r="90" ht="15" customHeight="1" s="26">
      <c r="A90" s="37" t="n">
        <v>46216</v>
      </c>
      <c r="B90" s="36" t="inlineStr">
        <is>
          <t>TR</t>
        </is>
      </c>
      <c r="C90" s="36" t="inlineStr">
        <is>
          <t>T</t>
        </is>
      </c>
      <c r="D90" s="36" t="inlineStr">
        <is>
          <t>Topic 3. Me on Rover</t>
        </is>
      </c>
      <c r="E90" s="36" t="n"/>
      <c r="G90" s="36" t="n"/>
      <c r="H90" s="36" t="n"/>
      <c r="I90" s="36" t="n"/>
      <c r="J90" s="36" t="n"/>
      <c r="K90" s="36" t="n"/>
      <c r="L90" s="36" t="n"/>
      <c r="M90" s="36" t="n"/>
      <c r="N90" s="36" t="n"/>
      <c r="O90" s="36" t="n"/>
      <c r="P90" s="36" t="n"/>
      <c r="Q90" s="36" t="inlineStr">
        <is>
          <t>I’ve been using Rover since 2023. I started because I always enjoyed taking care of animals, so I figured it was a great idea to make some money from it. I offer drop-ins, boarding and doggy day care. I had 58 total bookings so far. 
I have my drop-in and boarding regulars, while I still take new clients at the same time. I take cats mostly but I also take dogs too.</t>
        </is>
      </c>
      <c r="R90" s="36" t="inlineStr">
        <is>
          <t>No</t>
        </is>
      </c>
      <c r="S90" s="36" t="n"/>
      <c r="T90" s="36" t="n"/>
      <c r="U90" s="36" t="n"/>
      <c r="V90" s="34">
        <f>IF($A90="","",IF('⚙️ Settings'!$B$1="","",INT(($A90-'⚙️ Settings'!$B$1)/7)+1))</f>
        <v/>
      </c>
    </row>
    <row r="91" ht="15" customHeight="1" s="26">
      <c r="A91" s="38" t="n">
        <v>46216</v>
      </c>
      <c r="B91" s="33" t="inlineStr">
        <is>
          <t>TR</t>
        </is>
      </c>
      <c r="C91" s="33" t="inlineStr">
        <is>
          <t>T</t>
        </is>
      </c>
      <c r="D91" s="33" t="inlineStr">
        <is>
          <t>Topic 3. Me on Rover</t>
        </is>
      </c>
      <c r="E91" s="33" t="n"/>
      <c r="G91" s="33" t="n"/>
      <c r="H91" s="33" t="n"/>
      <c r="I91" s="33" t="n"/>
      <c r="J91" s="33" t="n"/>
      <c r="K91" s="33" t="n"/>
      <c r="L91" s="33" t="n"/>
      <c r="M91" s="33" t="n"/>
      <c r="N91" s="33" t="n"/>
      <c r="O91" s="33" t="n"/>
      <c r="P91" s="33" t="n"/>
      <c r="Q91" s="33" t="inlineStr"/>
      <c r="R91" s="33" t="inlineStr">
        <is>
          <t>Yes</t>
        </is>
      </c>
      <c r="S91" s="33" t="inlineStr">
        <is>
          <t>Photo</t>
        </is>
      </c>
      <c r="T91" s="33" t="n"/>
      <c r="U91" s="33" t="n"/>
      <c r="V91" s="34">
        <f>IF($A91="","",IF('⚙️ Settings'!$B$1="","",INT(($A91-'⚙️ Settings'!$B$1)/7)+1))</f>
        <v/>
      </c>
    </row>
    <row r="92" ht="15" customHeight="1" s="26">
      <c r="A92" s="37" t="n">
        <v>46216</v>
      </c>
      <c r="B92" s="36" t="inlineStr">
        <is>
          <t>Annabelle</t>
        </is>
      </c>
      <c r="C92" s="36" t="inlineStr">
        <is>
          <t>N</t>
        </is>
      </c>
      <c r="D92" s="36" t="inlineStr">
        <is>
          <t>Topic 3. Me on Rover</t>
        </is>
      </c>
      <c r="E92" s="36" t="n"/>
      <c r="G92" s="36" t="n"/>
      <c r="H92" s="36" t="n"/>
      <c r="I92" s="36" t="n"/>
      <c r="J92" s="36" t="n"/>
      <c r="K92" s="36" t="n"/>
      <c r="L92" s="36" t="n"/>
      <c r="M92" s="36" t="n"/>
      <c r="N92" s="36" t="n"/>
      <c r="O92" s="36" t="n"/>
      <c r="P92" s="36" t="n"/>
      <c r="Q92" s="36" t="inlineStr">
        <is>
          <t>I began using rover in late May, early June. I started because I am a student and needed to supplement my income over the summer while I am not enrolled in classes. I offer dog walking and daily check-ins. I have zero bookings so far. I have previously done overnight dog sitting for a few local people, but not through rover.</t>
        </is>
      </c>
      <c r="R92" s="36" t="inlineStr">
        <is>
          <t>No</t>
        </is>
      </c>
      <c r="S92" s="36" t="n"/>
      <c r="T92" s="36" t="n"/>
      <c r="U92" s="36" t="n"/>
      <c r="V92" s="34">
        <f>IF($A92="","",IF('⚙️ Settings'!$B$1="","",INT(($A92-'⚙️ Settings'!$B$1)/7)+1))</f>
        <v/>
      </c>
    </row>
    <row r="93" ht="15" customHeight="1" s="26">
      <c r="A93" s="38" t="n">
        <v>46216</v>
      </c>
      <c r="B93" s="33" t="inlineStr">
        <is>
          <t>Annabelle</t>
        </is>
      </c>
      <c r="C93" s="33" t="inlineStr">
        <is>
          <t>N</t>
        </is>
      </c>
      <c r="D93" s="33" t="inlineStr">
        <is>
          <t>Topic 3. Me on Rover</t>
        </is>
      </c>
      <c r="E93" s="33" t="n"/>
      <c r="G93" s="33" t="n"/>
      <c r="H93" s="33" t="n"/>
      <c r="I93" s="33" t="n"/>
      <c r="J93" s="33" t="n"/>
      <c r="K93" s="33" t="n"/>
      <c r="L93" s="33" t="n"/>
      <c r="M93" s="33" t="n"/>
      <c r="N93" s="33" t="n"/>
      <c r="O93" s="33" t="n"/>
      <c r="P93" s="33" t="n"/>
      <c r="Q93" s="33" t="inlineStr"/>
      <c r="R93" s="33" t="inlineStr">
        <is>
          <t>Yes</t>
        </is>
      </c>
      <c r="S93" s="33" t="inlineStr">
        <is>
          <t>Photo</t>
        </is>
      </c>
      <c r="T93" s="33" t="n"/>
      <c r="U93" s="33" t="n"/>
      <c r="V93" s="34">
        <f>IF($A93="","",IF('⚙️ Settings'!$B$1="","",INT(($A93-'⚙️ Settings'!$B$1)/7)+1))</f>
        <v/>
      </c>
    </row>
    <row r="94" ht="15" customHeight="1" s="26">
      <c r="A94" s="37" t="n">
        <v>46216</v>
      </c>
      <c r="B94" s="36" t="inlineStr">
        <is>
          <t>Julia</t>
        </is>
      </c>
      <c r="C94" s="36" t="inlineStr">
        <is>
          <t>N</t>
        </is>
      </c>
      <c r="D94" s="36" t="inlineStr">
        <is>
          <t>Topic 3. Me on Rover</t>
        </is>
      </c>
      <c r="E94" s="36" t="n"/>
      <c r="G94" s="36" t="n"/>
      <c r="H94" s="36" t="n"/>
      <c r="I94" s="36" t="n"/>
      <c r="J94" s="36" t="n"/>
      <c r="K94" s="36" t="n"/>
      <c r="L94" s="36" t="n"/>
      <c r="M94" s="36" t="n"/>
      <c r="N94" s="36" t="n"/>
      <c r="O94" s="36" t="n"/>
      <c r="P94" s="36" t="n"/>
      <c r="Q94" s="36" t="inlineStr">
        <is>
          <t>While I am not new to pet sitting, I am new to using Rover. I have been a sitter on Rover for only about 3 weeks now. I signed up for Rover because our family needed some extra cash and since I have prior experience and a love for animals, I thought this would be a great fit! I offer boarding, doggy day care and drop in visits currently. I have completed one booking so far, with one that is upcoming. 
My prior pet sitting experience is from watching neighbors/friends/family members pets growing up and in college. All dogs and cats. I had some regular animals I watched over the years when their owners went out of town. Sometimes I stayed at their house, other times their pets stayed at my home.</t>
        </is>
      </c>
      <c r="R94" s="36" t="inlineStr">
        <is>
          <t>No</t>
        </is>
      </c>
      <c r="S94" s="36" t="n"/>
      <c r="T94" s="36" t="n"/>
      <c r="U94" s="36" t="n"/>
      <c r="V94" s="34">
        <f>IF($A94="","",IF('⚙️ Settings'!$B$1="","",INT(($A94-'⚙️ Settings'!$B$1)/7)+1))</f>
        <v/>
      </c>
    </row>
    <row r="95" ht="15" customHeight="1" s="26">
      <c r="A95" s="38" t="n">
        <v>46216</v>
      </c>
      <c r="B95" s="33" t="inlineStr">
        <is>
          <t>Julia</t>
        </is>
      </c>
      <c r="C95" s="33" t="inlineStr">
        <is>
          <t>N</t>
        </is>
      </c>
      <c r="D95" s="33" t="inlineStr">
        <is>
          <t>Topic 3. Me on Rover</t>
        </is>
      </c>
      <c r="E95" s="33" t="n"/>
      <c r="G95" s="33" t="n"/>
      <c r="H95" s="33" t="n"/>
      <c r="I95" s="33" t="n"/>
      <c r="J95" s="33" t="n"/>
      <c r="K95" s="33" t="n"/>
      <c r="L95" s="33" t="n"/>
      <c r="M95" s="33" t="n"/>
      <c r="N95" s="33" t="n"/>
      <c r="O95" s="33" t="n"/>
      <c r="P95" s="33" t="n"/>
      <c r="Q95" s="33" t="inlineStr"/>
      <c r="R95" s="33" t="inlineStr">
        <is>
          <t>Yes</t>
        </is>
      </c>
      <c r="S95" s="33" t="inlineStr">
        <is>
          <t>Photo</t>
        </is>
      </c>
      <c r="T95" s="33" t="n"/>
      <c r="U95" s="33" t="n"/>
      <c r="V95" s="34">
        <f>IF($A95="","",IF('⚙️ Settings'!$B$1="","",INT(($A95-'⚙️ Settings'!$B$1)/7)+1))</f>
        <v/>
      </c>
    </row>
    <row r="96" ht="15" customHeight="1" s="26">
      <c r="A96" s="37" t="n">
        <v>46217</v>
      </c>
      <c r="B96" s="36" t="inlineStr">
        <is>
          <t>Colin</t>
        </is>
      </c>
      <c r="C96" s="36" t="inlineStr">
        <is>
          <t>T</t>
        </is>
      </c>
      <c r="D96" s="36" t="inlineStr">
        <is>
          <t>Topic 3. Me on Rover</t>
        </is>
      </c>
      <c r="E96" s="36" t="n"/>
      <c r="G96" s="36" t="n"/>
      <c r="H96" s="36" t="n"/>
      <c r="I96" s="36" t="n"/>
      <c r="J96" s="36" t="n"/>
      <c r="K96" s="36" t="n"/>
      <c r="L96" s="36" t="n"/>
      <c r="M96" s="36" t="n"/>
      <c r="N96" s="36" t="n"/>
      <c r="O96" s="36" t="n"/>
      <c r="P96" s="36" t="n"/>
      <c r="Q96" s="36" t="inlineStr">
        <is>
          <t>I started using Rover in February 2025. Our dog at the time, Poncho, was diagnosed with meningitis in the fall of 2024 and sadly passed away a few months later after fighting so hard. We were very obviously devastated to lose Poncho, so we used Rover as a form of therapy for ourselves, a supplemental income, and as a way to spend more time with cute dogs. 
Our Rover business started slowly with mostly local walks and the occasional boarding. But soon after school ended and families were traveling during summer so we got a lot of boarding and house sitting requests. Altogether we’ve had ~20 different dogs board with us in our home, most for 3-10 day stays. we have had a few dogs stay with us for up to three weeks at a time though. I have also done house sitting about 10 times total but all for repeat clients. 
because we have our own dog now and live in a smaller apartment, we are only taking boarding requests from previous clients. currently we walk several dogs in the neighborhood and board a dog once every couple months. We also have one family who travel a lot and ask me to house/dog sit while they are away, usually for ~7 days at a time</t>
        </is>
      </c>
      <c r="R96" s="36" t="inlineStr">
        <is>
          <t>No</t>
        </is>
      </c>
      <c r="S96" s="36" t="n"/>
      <c r="T96" s="36" t="n"/>
      <c r="U96" s="36" t="n"/>
      <c r="V96" s="34">
        <f>IF($A96="","",IF('⚙️ Settings'!$B$1="","",INT(($A96-'⚙️ Settings'!$B$1)/7)+1))</f>
        <v/>
      </c>
    </row>
    <row r="97" ht="15" customHeight="1" s="26">
      <c r="A97" s="38" t="n">
        <v>46217</v>
      </c>
      <c r="B97" s="33" t="inlineStr">
        <is>
          <t>Colin</t>
        </is>
      </c>
      <c r="C97" s="33" t="inlineStr">
        <is>
          <t>T</t>
        </is>
      </c>
      <c r="D97" s="33" t="inlineStr">
        <is>
          <t>Topic 3. Me on Rover</t>
        </is>
      </c>
      <c r="E97" s="33" t="n"/>
      <c r="G97" s="33" t="n"/>
      <c r="H97" s="33" t="n"/>
      <c r="I97" s="33" t="n"/>
      <c r="J97" s="33" t="n"/>
      <c r="K97" s="33" t="n"/>
      <c r="L97" s="33" t="n"/>
      <c r="M97" s="33" t="n"/>
      <c r="N97" s="33" t="n"/>
      <c r="O97" s="33" t="n"/>
      <c r="P97" s="33" t="n"/>
      <c r="Q97" s="33" t="inlineStr">
        <is>
          <t>Rover profile pic</t>
        </is>
      </c>
      <c r="R97" s="33" t="inlineStr">
        <is>
          <t>Yes</t>
        </is>
      </c>
      <c r="S97" s="33" t="inlineStr">
        <is>
          <t>Photo</t>
        </is>
      </c>
      <c r="T97" s="33" t="n"/>
      <c r="U97" s="33" t="n"/>
      <c r="V97" s="34">
        <f>IF($A97="","",IF('⚙️ Settings'!$B$1="","",INT(($A97-'⚙️ Settings'!$B$1)/7)+1))</f>
        <v/>
      </c>
    </row>
    <row r="98" ht="15" customHeight="1" s="26">
      <c r="A98" s="37" t="n">
        <v>46217</v>
      </c>
      <c r="B98" s="36" t="inlineStr">
        <is>
          <t>Colin</t>
        </is>
      </c>
      <c r="C98" s="36" t="inlineStr">
        <is>
          <t>T</t>
        </is>
      </c>
      <c r="D98" s="36" t="inlineStr">
        <is>
          <t>Topic 3. Me on Rover</t>
        </is>
      </c>
      <c r="E98" s="36" t="n"/>
      <c r="G98" s="36" t="n"/>
      <c r="H98" s="36" t="n"/>
      <c r="I98" s="36" t="n"/>
      <c r="J98" s="36" t="n"/>
      <c r="K98" s="36" t="n"/>
      <c r="L98" s="36" t="n"/>
      <c r="M98" s="36" t="n"/>
      <c r="N98" s="36" t="n"/>
      <c r="O98" s="36" t="n"/>
      <c r="P98" s="36" t="n"/>
      <c r="Q98" s="36" t="inlineStr">
        <is>
          <t>Two different Rover clients hanging out together</t>
        </is>
      </c>
      <c r="R98" s="36" t="inlineStr">
        <is>
          <t>Yes</t>
        </is>
      </c>
      <c r="S98" s="36" t="inlineStr">
        <is>
          <t>Photo</t>
        </is>
      </c>
      <c r="T98" s="36" t="n"/>
      <c r="U98" s="36" t="n"/>
      <c r="V98" s="34">
        <f>IF($A98="","",IF('⚙️ Settings'!$B$1="","",INT(($A98-'⚙️ Settings'!$B$1)/7)+1))</f>
        <v/>
      </c>
    </row>
    <row r="99" ht="15" customHeight="1" s="26">
      <c r="A99" s="38" t="n">
        <v>46217</v>
      </c>
      <c r="B99" s="33" t="inlineStr">
        <is>
          <t>Andrew</t>
        </is>
      </c>
      <c r="C99" s="33" t="inlineStr">
        <is>
          <t>T</t>
        </is>
      </c>
      <c r="D99" s="33" t="inlineStr">
        <is>
          <t>Topic 3. Me on Rover</t>
        </is>
      </c>
      <c r="E99" s="33" t="n"/>
      <c r="G99" s="33" t="n"/>
      <c r="H99" s="33" t="n"/>
      <c r="I99" s="33" t="n"/>
      <c r="J99" s="33" t="n"/>
      <c r="K99" s="33" t="n"/>
      <c r="L99" s="33" t="n"/>
      <c r="M99" s="33" t="n"/>
      <c r="N99" s="33" t="n"/>
      <c r="O99" s="33" t="n"/>
      <c r="P99" s="33" t="n"/>
      <c r="Q99" s="33" t="inlineStr">
        <is>
          <t>I’ve been using rover since 2024 to make a little cash after getting laid off. I offer boarding and day care services, but it’s almost 100% boarding. 
I’ve done 50 services with 8 repeat guests, so it’s a pretty even split between regulars and single time users. It’s been pretty chill outside of a couple of incontinent or sick dogs.</t>
        </is>
      </c>
      <c r="R99" s="33" t="inlineStr">
        <is>
          <t>No</t>
        </is>
      </c>
      <c r="S99" s="33" t="n"/>
      <c r="T99" s="33" t="n"/>
      <c r="U99" s="33" t="n"/>
      <c r="V99" s="34">
        <f>IF($A99="","",IF('⚙️ Settings'!$B$1="","",INT(($A99-'⚙️ Settings'!$B$1)/7)+1))</f>
        <v/>
      </c>
    </row>
    <row r="100" ht="15" customHeight="1" s="26">
      <c r="A100" s="37" t="n">
        <v>46217</v>
      </c>
      <c r="B100" s="36" t="inlineStr">
        <is>
          <t>Andrew</t>
        </is>
      </c>
      <c r="C100" s="36" t="inlineStr">
        <is>
          <t>T</t>
        </is>
      </c>
      <c r="D100" s="36" t="inlineStr">
        <is>
          <t>Topic 3. Me on Rover</t>
        </is>
      </c>
      <c r="E100" s="36" t="n"/>
      <c r="G100" s="36" t="n"/>
      <c r="H100" s="36" t="n"/>
      <c r="I100" s="36" t="n"/>
      <c r="J100" s="36" t="n"/>
      <c r="K100" s="36" t="n"/>
      <c r="L100" s="36" t="n"/>
      <c r="M100" s="36" t="n"/>
      <c r="N100" s="36" t="n"/>
      <c r="O100" s="36" t="n"/>
      <c r="P100" s="36" t="n"/>
      <c r="Q100" s="36" t="inlineStr"/>
      <c r="R100" s="36" t="inlineStr">
        <is>
          <t>Yes</t>
        </is>
      </c>
      <c r="S100" s="36" t="inlineStr">
        <is>
          <t>Photo</t>
        </is>
      </c>
      <c r="T100" s="36" t="n"/>
      <c r="U100" s="36" t="n"/>
      <c r="V100" s="34">
        <f>IF($A100="","",IF('⚙️ Settings'!$B$1="","",INT(($A100-'⚙️ Settings'!$B$1)/7)+1))</f>
        <v/>
      </c>
    </row>
    <row r="101" ht="15" customHeight="1" s="26">
      <c r="A101" s="38" t="n">
        <v>46217</v>
      </c>
      <c r="B101" s="33" t="inlineStr">
        <is>
          <t>Caroline</t>
        </is>
      </c>
      <c r="C101" s="33" t="inlineStr">
        <is>
          <t>M</t>
        </is>
      </c>
      <c r="D101" s="33" t="inlineStr">
        <is>
          <t>Topic 3. Me on Rover</t>
        </is>
      </c>
      <c r="E101" s="33" t="n"/>
      <c r="G101" s="33" t="n"/>
      <c r="H101" s="33" t="n"/>
      <c r="I101" s="33" t="n"/>
      <c r="J101" s="33" t="n"/>
      <c r="K101" s="33" t="n"/>
      <c r="L101" s="33" t="n"/>
      <c r="M101" s="33" t="n"/>
      <c r="N101" s="33" t="n"/>
      <c r="O101" s="33" t="n"/>
      <c r="P101" s="33" t="n"/>
      <c r="Q101" s="33" t="inlineStr">
        <is>
          <t>I started rover July 2025 as I am in a career transition and was taking care of my senior dog. I just offered drop ins and dog walking due to Rocky but now I offer house sitting. I am open to both dogs and cats! I have had 3 completed bookings and numerous requests that I have turned down some due to distance. I have taken care of two dogs and a cat most recently and the a single dog and then two dogs. No regulars yet. I also go to FL in the winter so I change my location for that time and that market is a lot busier than North Carolina.</t>
        </is>
      </c>
      <c r="R101" s="33" t="inlineStr">
        <is>
          <t>Yes</t>
        </is>
      </c>
      <c r="S101" s="33" t="inlineStr">
        <is>
          <t>Photo</t>
        </is>
      </c>
      <c r="T101" s="33" t="n"/>
      <c r="U101" s="33" t="n"/>
      <c r="V101" s="34">
        <f>IF($A101="","",IF('⚙️ Settings'!$B$1="","",INT(($A101-'⚙️ Settings'!$B$1)/7)+1))</f>
        <v/>
      </c>
    </row>
    <row r="102" ht="15" customHeight="1" s="26">
      <c r="A102" s="37" t="n">
        <v>46218</v>
      </c>
      <c r="B102" s="36" t="inlineStr">
        <is>
          <t>Rachel</t>
        </is>
      </c>
      <c r="C102" s="36" t="inlineStr">
        <is>
          <t>N</t>
        </is>
      </c>
      <c r="D102" s="36" t="inlineStr">
        <is>
          <t>Topic 3. Me on Rover</t>
        </is>
      </c>
      <c r="E102" s="36" t="n"/>
      <c r="G102" s="36" t="n"/>
      <c r="H102" s="36" t="n"/>
      <c r="I102" s="36" t="n"/>
      <c r="J102" s="36" t="n"/>
      <c r="K102" s="36" t="n"/>
      <c r="L102" s="36" t="n"/>
      <c r="M102" s="36" t="n"/>
      <c r="N102" s="36" t="n"/>
      <c r="O102" s="36" t="n"/>
      <c r="P102" s="36" t="n"/>
      <c r="Q102" s="36" t="inlineStr">
        <is>
          <t>I haven't used Rover yet but I was approved few weeks ago on the app. I haven't had any bookings because it's been really hard to get visibility. On the Rover app, I offer drop-in visits for cats and small dogs, along with dog walking. 
I got 1 or 2 recommendations as the app suggests but otherwise I've had no traction. I wanted to use Rover because a lot of my friends recommend it! I thought pet sitting would be a fun/easy  way to make some extra money and to get my dog fix, since I don't get to see my childhood dog very often. I have pet sitting experience outside of Rover throughout the years, but I haven't done any petsitting so far through Rover. I was hoping to have some regulars!</t>
        </is>
      </c>
      <c r="R102" s="36" t="inlineStr">
        <is>
          <t>No</t>
        </is>
      </c>
      <c r="S102" s="36" t="n"/>
      <c r="T102" s="36" t="n"/>
      <c r="U102" s="36" t="n"/>
      <c r="V102" s="34">
        <f>IF($A102="","",IF('⚙️ Settings'!$B$1="","",INT(($A102-'⚙️ Settings'!$B$1)/7)+1))</f>
        <v/>
      </c>
    </row>
    <row r="103" ht="15" customHeight="1" s="26">
      <c r="A103" s="38" t="n">
        <v>46218</v>
      </c>
      <c r="B103" s="33" t="inlineStr">
        <is>
          <t>Rachel</t>
        </is>
      </c>
      <c r="C103" s="33" t="inlineStr">
        <is>
          <t>N</t>
        </is>
      </c>
      <c r="D103" s="33" t="inlineStr">
        <is>
          <t>Topic 3. Me on Rover</t>
        </is>
      </c>
      <c r="E103" s="33" t="n"/>
      <c r="G103" s="33" t="n"/>
      <c r="H103" s="33" t="n"/>
      <c r="I103" s="33" t="n"/>
      <c r="J103" s="33" t="n"/>
      <c r="K103" s="33" t="n"/>
      <c r="L103" s="33" t="n"/>
      <c r="M103" s="33" t="n"/>
      <c r="N103" s="33" t="n"/>
      <c r="O103" s="33" t="n"/>
      <c r="P103" s="33" t="n"/>
      <c r="Q103" s="33" t="inlineStr"/>
      <c r="R103" s="33" t="inlineStr">
        <is>
          <t>Yes</t>
        </is>
      </c>
      <c r="S103" s="33" t="inlineStr">
        <is>
          <t>Photo</t>
        </is>
      </c>
      <c r="T103" s="33" t="n"/>
      <c r="U103" s="33" t="n"/>
      <c r="V103" s="34">
        <f>IF($A103="","",IF('⚙️ Settings'!$B$1="","",INT(($A103-'⚙️ Settings'!$B$1)/7)+1))</f>
        <v/>
      </c>
    </row>
    <row r="104" ht="15" customHeight="1" s="26">
      <c r="A104" s="37" t="n">
        <v>46218</v>
      </c>
      <c r="B104" s="36" t="inlineStr">
        <is>
          <t>Bruna</t>
        </is>
      </c>
      <c r="C104" s="36" t="inlineStr">
        <is>
          <t>T</t>
        </is>
      </c>
      <c r="D104" s="36" t="inlineStr">
        <is>
          <t>Topic 3. Me on Rover</t>
        </is>
      </c>
      <c r="E104" s="36" t="n"/>
      <c r="G104" s="36" t="n"/>
      <c r="H104" s="36" t="n"/>
      <c r="I104" s="36" t="n"/>
      <c r="J104" s="36" t="n"/>
      <c r="K104" s="36" t="n"/>
      <c r="L104" s="36" t="n"/>
      <c r="M104" s="36" t="n"/>
      <c r="N104" s="36" t="n"/>
      <c r="O104" s="36" t="n"/>
      <c r="P104" s="36" t="n"/>
      <c r="Q104" s="36" t="inlineStr">
        <is>
          <t>I have been using Rover since 2021. I initially joined because I was looking for a flexible way to work with dogs and earn additional income. Over time, my interest in dog behaviour became much more serious and eventually developed into my professional career working with dogs.
I currently offer dog boarding through Rover. In the past, I have also offered other services, including doggy daycare. So far, I have completed 72 bookings with 48 different clients through the platform.
My experience on Rover has been very varied. I have cared for dogs of different breeds, sizes, ages and personalities, and I have both new and repeat clients. Fifteen of my Rover clients have booked with me more than once, so I have also had the opportunity to build longer-term relationships with some of the dogs I care for and become very familiar with their individual routines and personalities.
As my knowledge and professional experience in dog behaviour and training have grown, I have also become more comfortable caring for dogs with more complex needs, including fearful, reactive and high-arousal dogs. This has influenced the type of care I provide and how I approach boarding today.</t>
        </is>
      </c>
      <c r="R104" s="36" t="inlineStr">
        <is>
          <t>No</t>
        </is>
      </c>
      <c r="S104" s="36" t="n"/>
      <c r="T104" s="36" t="n"/>
      <c r="U104" s="36" t="n"/>
      <c r="V104" s="34">
        <f>IF($A104="","",IF('⚙️ Settings'!$B$1="","",INT(($A104-'⚙️ Settings'!$B$1)/7)+1))</f>
        <v/>
      </c>
    </row>
    <row r="105" ht="15" customHeight="1" s="26">
      <c r="A105" s="38" t="n">
        <v>46218</v>
      </c>
      <c r="B105" s="33" t="inlineStr">
        <is>
          <t>Bruna</t>
        </is>
      </c>
      <c r="C105" s="33" t="inlineStr">
        <is>
          <t>T</t>
        </is>
      </c>
      <c r="D105" s="33" t="inlineStr">
        <is>
          <t>Topic 3. Me on Rover</t>
        </is>
      </c>
      <c r="E105" s="33" t="n"/>
      <c r="G105" s="33" t="n"/>
      <c r="H105" s="33" t="n"/>
      <c r="I105" s="33" t="n"/>
      <c r="J105" s="33" t="n"/>
      <c r="K105" s="33" t="n"/>
      <c r="L105" s="33" t="n"/>
      <c r="M105" s="33" t="n"/>
      <c r="N105" s="33" t="n"/>
      <c r="O105" s="33" t="n"/>
      <c r="P105" s="33" t="n"/>
      <c r="Q105" s="33" t="inlineStr"/>
      <c r="R105" s="33" t="inlineStr">
        <is>
          <t>Yes</t>
        </is>
      </c>
      <c r="S105" s="33" t="inlineStr">
        <is>
          <t>Photo</t>
        </is>
      </c>
      <c r="T105" s="33" t="n"/>
      <c r="U105" s="33" t="n"/>
      <c r="V105" s="34">
        <f>IF($A105="","",IF('⚙️ Settings'!$B$1="","",INT(($A105-'⚙️ Settings'!$B$1)/7)+1))</f>
        <v/>
      </c>
    </row>
    <row r="106" ht="15" customHeight="1" s="26">
      <c r="A106" s="37" t="n">
        <v>46218</v>
      </c>
      <c r="B106" s="36" t="inlineStr">
        <is>
          <t>Ashley</t>
        </is>
      </c>
      <c r="C106" s="36" t="inlineStr">
        <is>
          <t>N</t>
        </is>
      </c>
      <c r="D106" s="36" t="inlineStr">
        <is>
          <t>Topic 3. Me on Rover</t>
        </is>
      </c>
      <c r="E106" s="36" t="n"/>
      <c r="G106" s="36" t="n"/>
      <c r="H106" s="36" t="n"/>
      <c r="I106" s="36" t="n"/>
      <c r="J106" s="36" t="n"/>
      <c r="K106" s="36" t="n"/>
      <c r="L106" s="36" t="n"/>
      <c r="M106" s="36" t="n"/>
      <c r="N106" s="36" t="n"/>
      <c r="O106" s="36" t="n"/>
      <c r="P106" s="36" t="n"/>
      <c r="Q106" s="36" t="inlineStr">
        <is>
          <t>Since June 2026. I started by applying through the app. I can’t have dogs in our apartment but I love them dearly so I try to share that love through dog sitting/walking. I offer check ins, walking, and house sitting and sometimes overnights if offered. I unfortunately have 0 bookings. I’d like to have both regulars and don’t mind opening up for different dogs as well being that last minute bookings are an option</t>
        </is>
      </c>
      <c r="R106" s="36" t="inlineStr">
        <is>
          <t>No</t>
        </is>
      </c>
      <c r="S106" s="36" t="n"/>
      <c r="T106" s="36" t="n"/>
      <c r="U106" s="36" t="n"/>
      <c r="V106" s="34">
        <f>IF($A106="","",IF('⚙️ Settings'!$B$1="","",INT(($A106-'⚙️ Settings'!$B$1)/7)+1))</f>
        <v/>
      </c>
    </row>
    <row r="107" ht="15" customHeight="1" s="26">
      <c r="A107" s="38" t="n">
        <v>46218</v>
      </c>
      <c r="B107" s="33" t="inlineStr">
        <is>
          <t>Ashley</t>
        </is>
      </c>
      <c r="C107" s="33" t="inlineStr">
        <is>
          <t>N</t>
        </is>
      </c>
      <c r="D107" s="33" t="inlineStr">
        <is>
          <t>Topic 3. Me on Rover</t>
        </is>
      </c>
      <c r="E107" s="33" t="n"/>
      <c r="G107" s="33" t="n"/>
      <c r="H107" s="33" t="n"/>
      <c r="I107" s="33" t="n"/>
      <c r="J107" s="33" t="n"/>
      <c r="K107" s="33" t="n"/>
      <c r="L107" s="33" t="n"/>
      <c r="M107" s="33" t="n"/>
      <c r="N107" s="33" t="n"/>
      <c r="O107" s="33" t="n"/>
      <c r="P107" s="33" t="n"/>
      <c r="Q107" s="33" t="inlineStr">
        <is>
          <t>My family</t>
        </is>
      </c>
      <c r="R107" s="33" t="inlineStr">
        <is>
          <t>Yes</t>
        </is>
      </c>
      <c r="S107" s="33" t="inlineStr">
        <is>
          <t>Photo</t>
        </is>
      </c>
      <c r="T107" s="33" t="n"/>
      <c r="U107" s="33" t="n"/>
      <c r="V107" s="34">
        <f>IF($A107="","",IF('⚙️ Settings'!$B$1="","",INT(($A107-'⚙️ Settings'!$B$1)/7)+1))</f>
        <v/>
      </c>
    </row>
    <row r="108" ht="15" customHeight="1" s="26">
      <c r="A108" s="37" t="n">
        <v>46218</v>
      </c>
      <c r="B108" s="36" t="inlineStr">
        <is>
          <t>Ashley</t>
        </is>
      </c>
      <c r="C108" s="36" t="inlineStr">
        <is>
          <t>N</t>
        </is>
      </c>
      <c r="D108" s="36" t="inlineStr">
        <is>
          <t>Topic 3. Me on Rover</t>
        </is>
      </c>
      <c r="E108" s="36" t="n"/>
      <c r="G108" s="36" t="n"/>
      <c r="H108" s="36" t="n"/>
      <c r="I108" s="36" t="n"/>
      <c r="J108" s="36" t="n"/>
      <c r="K108" s="36" t="n"/>
      <c r="L108" s="36" t="n"/>
      <c r="M108" s="36" t="n"/>
      <c r="N108" s="36" t="n"/>
      <c r="O108" s="36" t="n"/>
      <c r="P108" s="36" t="n"/>
      <c r="Q108" s="36" t="inlineStr"/>
      <c r="R108" s="36" t="inlineStr">
        <is>
          <t>Yes</t>
        </is>
      </c>
      <c r="S108" s="36" t="inlineStr">
        <is>
          <t>Photo</t>
        </is>
      </c>
      <c r="T108" s="36" t="n"/>
      <c r="U108" s="36" t="n"/>
      <c r="V108" s="34">
        <f>IF($A108="","",IF('⚙️ Settings'!$B$1="","",INT(($A108-'⚙️ Settings'!$B$1)/7)+1))</f>
        <v/>
      </c>
    </row>
    <row r="109" ht="15" customHeight="1" s="26">
      <c r="A109" s="38" t="n">
        <v>46218</v>
      </c>
      <c r="B109" s="33" t="inlineStr">
        <is>
          <t>Emma</t>
        </is>
      </c>
      <c r="C109" s="33" t="inlineStr">
        <is>
          <t>M</t>
        </is>
      </c>
      <c r="D109" s="33" t="inlineStr">
        <is>
          <t>Topic 3. Me on Rover</t>
        </is>
      </c>
      <c r="E109" s="33" t="n"/>
      <c r="G109" s="33" t="n"/>
      <c r="H109" s="33" t="n"/>
      <c r="I109" s="33" t="n"/>
      <c r="J109" s="33" t="n"/>
      <c r="K109" s="33" t="n"/>
      <c r="L109" s="33" t="n"/>
      <c r="M109" s="33" t="n"/>
      <c r="N109" s="33" t="n"/>
      <c r="O109" s="33" t="n"/>
      <c r="P109" s="33" t="n"/>
      <c r="Q109" s="33" t="inlineStr">
        <is>
          <t>-I’ve been on Rover since April/May of this year
-I started off petsitting for friends and family. A friend recommended I start using Rover and offered to be a testimonial. 
-I offer house sitting and drop in visits for cats and dogs, as well as dog walking.
-I’ve had 20 unique clients and 4 repeat clients.
-I have a few regulars. I do weekly dog walking for a 3 month old puppy! I also have done drop in visits for an orange tabby cat, he’s my favorite client. Another repeat client is a 15 year old brown tabby who is the sweetest girl. I get a good mix of dogs and cats and there’s a good variety of dog breeds. I’ve watched chihuahuas, corgis, dobermans, golden retrievers, labs, aussies, and mixed breeds. I have one coming up with a husky! Senior pets are my favorite to watch, I love giving them the extra love and attention they deserve.</t>
        </is>
      </c>
      <c r="R109" s="33" t="inlineStr">
        <is>
          <t>No</t>
        </is>
      </c>
      <c r="S109" s="33" t="n"/>
      <c r="T109" s="33" t="n"/>
      <c r="U109" s="33" t="n"/>
      <c r="V109" s="34">
        <f>IF($A109="","",IF('⚙️ Settings'!$B$1="","",INT(($A109-'⚙️ Settings'!$B$1)/7)+1))</f>
        <v/>
      </c>
    </row>
    <row r="110" ht="15" customHeight="1" s="26">
      <c r="A110" s="37" t="n">
        <v>46218</v>
      </c>
      <c r="B110" s="36" t="inlineStr">
        <is>
          <t>Emma</t>
        </is>
      </c>
      <c r="C110" s="36" t="inlineStr">
        <is>
          <t>M</t>
        </is>
      </c>
      <c r="D110" s="36" t="inlineStr">
        <is>
          <t>Topic 3. Me on Rover</t>
        </is>
      </c>
      <c r="E110" s="36" t="n"/>
      <c r="G110" s="36" t="n"/>
      <c r="H110" s="36" t="n"/>
      <c r="I110" s="36" t="n"/>
      <c r="J110" s="36" t="n"/>
      <c r="K110" s="36" t="n"/>
      <c r="L110" s="36" t="n"/>
      <c r="M110" s="36" t="n"/>
      <c r="N110" s="36" t="n"/>
      <c r="O110" s="36" t="n"/>
      <c r="P110" s="36" t="n"/>
      <c r="Q110" s="36" t="inlineStr">
        <is>
          <t>The senior kitty (a repeat client!) I’m sitting for this week</t>
        </is>
      </c>
      <c r="R110" s="36" t="inlineStr">
        <is>
          <t>Yes</t>
        </is>
      </c>
      <c r="S110" s="36" t="inlineStr">
        <is>
          <t>Photo</t>
        </is>
      </c>
      <c r="T110" s="36" t="n"/>
      <c r="U110" s="36" t="n"/>
      <c r="V110" s="34">
        <f>IF($A110="","",IF('⚙️ Settings'!$B$1="","",INT(($A110-'⚙️ Settings'!$B$1)/7)+1))</f>
        <v/>
      </c>
    </row>
    <row r="111" ht="15" customHeight="1" s="26">
      <c r="A111" s="38" t="n">
        <v>46218</v>
      </c>
      <c r="B111" s="33" t="inlineStr">
        <is>
          <t>Emma</t>
        </is>
      </c>
      <c r="C111" s="33" t="inlineStr">
        <is>
          <t>M</t>
        </is>
      </c>
      <c r="D111" s="33" t="inlineStr">
        <is>
          <t>Topic 3. Me on Rover</t>
        </is>
      </c>
      <c r="E111" s="33" t="n"/>
      <c r="G111" s="33" t="n"/>
      <c r="H111" s="33" t="n"/>
      <c r="I111" s="33" t="n"/>
      <c r="J111" s="33" t="n"/>
      <c r="K111" s="33" t="n"/>
      <c r="L111" s="33" t="n"/>
      <c r="M111" s="33" t="n"/>
      <c r="N111" s="33" t="n"/>
      <c r="O111" s="33" t="n"/>
      <c r="P111" s="33" t="n"/>
      <c r="Q111" s="33" t="inlineStr">
        <is>
          <t>My favorite repeat client!</t>
        </is>
      </c>
      <c r="R111" s="33" t="inlineStr">
        <is>
          <t>Yes</t>
        </is>
      </c>
      <c r="S111" s="33" t="inlineStr">
        <is>
          <t>Photo</t>
        </is>
      </c>
      <c r="T111" s="33" t="n"/>
      <c r="U111" s="33" t="n"/>
      <c r="V111" s="34">
        <f>IF($A111="","",IF('⚙️ Settings'!$B$1="","",INT(($A111-'⚙️ Settings'!$B$1)/7)+1))</f>
        <v/>
      </c>
    </row>
    <row r="112" ht="15" customHeight="1" s="26">
      <c r="A112" s="37" t="n">
        <v>46218</v>
      </c>
      <c r="B112" s="36" t="inlineStr">
        <is>
          <t>Cate</t>
        </is>
      </c>
      <c r="C112" s="36" t="inlineStr">
        <is>
          <t>M</t>
        </is>
      </c>
      <c r="D112" s="36" t="inlineStr">
        <is>
          <t>Topic 3. Me on Rover</t>
        </is>
      </c>
      <c r="E112" s="36" t="n"/>
      <c r="G112" s="36" t="n"/>
      <c r="H112" s="36" t="n"/>
      <c r="I112" s="36" t="n"/>
      <c r="J112" s="36" t="n"/>
      <c r="K112" s="36" t="n"/>
      <c r="L112" s="36" t="n"/>
      <c r="M112" s="36" t="n"/>
      <c r="N112" s="36" t="n"/>
      <c r="O112" s="36" t="n"/>
      <c r="P112" s="36" t="n"/>
      <c r="Q112" s="36" t="inlineStr">
        <is>
          <t>We’ve been using Rover since April 2026
We started after using Rover in March because my family enjoys animals, we have a great space for it, and could use extra income
We offer boarding, drop in visits, daycare and walks for dogs
We’ve completed 24 bookings and have 6 upcoming 
We have a few regulars, since we’ve only been provide services for a few months, we have primarily taken care of different dogs</t>
        </is>
      </c>
      <c r="R112" s="36" t="inlineStr">
        <is>
          <t>No</t>
        </is>
      </c>
      <c r="S112" s="36" t="n"/>
      <c r="T112" s="36" t="n"/>
      <c r="U112" s="36" t="n"/>
      <c r="V112" s="34">
        <f>IF($A112="","",IF('⚙️ Settings'!$B$1="","",INT(($A112-'⚙️ Settings'!$B$1)/7)+1))</f>
        <v/>
      </c>
    </row>
    <row r="113" ht="15" customHeight="1" s="26">
      <c r="A113" s="38" t="n">
        <v>46218</v>
      </c>
      <c r="B113" s="33" t="inlineStr">
        <is>
          <t>Megan</t>
        </is>
      </c>
      <c r="C113" s="33" t="inlineStr">
        <is>
          <t>M</t>
        </is>
      </c>
      <c r="D113" s="33" t="inlineStr">
        <is>
          <t>Topic 3. Me on Rover</t>
        </is>
      </c>
      <c r="E113" s="33" t="n"/>
      <c r="G113" s="33" t="n"/>
      <c r="H113" s="33" t="n"/>
      <c r="I113" s="33" t="n"/>
      <c r="J113" s="33" t="n"/>
      <c r="K113" s="33" t="n"/>
      <c r="L113" s="33" t="n"/>
      <c r="M113" s="33" t="n"/>
      <c r="N113" s="33" t="n"/>
      <c r="O113" s="33" t="n"/>
      <c r="P113" s="33" t="n"/>
      <c r="Q113" s="33" t="inlineStr">
        <is>
          <t>I started using Rover on June 7, 2025. I decided to join Rover after my mentor mentioned that I might be able to find more clients through the platform instead of relying only on word of mouth. I thought it would be a good way to connect with more pet owners, so I signed up and applied.
Right now, the only services I offer through Rover are house sitting and dropin visits. I really enjoy house sitting because I like being able to spend more time with pets in their own environment where they feel comfortable and safe. I also enjoy dropins because it gives me the chance to check in on pets, give them attention, and make sure they’re doing well while their owners are away in their own homes. When I first started, I offered dog walking, house sitting, and drop-in visits. I quickly realized that dog walking just wasn’t something I enjoyed, so I decided to focus on the services that felt like a better fit for me.
So far, I have completed 28 bookings through Rover. My bookings have included a mix of dogs and cats, with most of them being overnight house sits. 
I’ve cared for pets with different personalities and needs, from very social animals who want lots of attention to more shy pets who need time to warm up and trust me. 
I’ve really enjoyed getting to know each pet and their owners. Every booking has been a little different, and I love learning each pet’s routine, their little quirks, and what makes them feel comfortable. Rover has helped me meet new clients and build relationships with people who trust me to care for their pets while they’re away.</t>
        </is>
      </c>
      <c r="R113" s="33" t="inlineStr">
        <is>
          <t>No</t>
        </is>
      </c>
      <c r="S113" s="33" t="n"/>
      <c r="T113" s="33" t="n"/>
      <c r="U113" s="33" t="n"/>
      <c r="V113" s="34">
        <f>IF($A113="","",IF('⚙️ Settings'!$B$1="","",INT(($A113-'⚙️ Settings'!$B$1)/7)+1))</f>
        <v/>
      </c>
    </row>
    <row r="114" ht="15" customHeight="1" s="26">
      <c r="A114" s="37" t="n">
        <v>46218</v>
      </c>
      <c r="B114" s="36" t="inlineStr">
        <is>
          <t>Megan</t>
        </is>
      </c>
      <c r="C114" s="36" t="inlineStr">
        <is>
          <t>M</t>
        </is>
      </c>
      <c r="D114" s="36" t="inlineStr">
        <is>
          <t>Topic 3. Me on Rover</t>
        </is>
      </c>
      <c r="E114" s="36" t="n"/>
      <c r="G114" s="36" t="n"/>
      <c r="H114" s="36" t="n"/>
      <c r="I114" s="36" t="n"/>
      <c r="J114" s="36" t="n"/>
      <c r="K114" s="36" t="n"/>
      <c r="L114" s="36" t="n"/>
      <c r="M114" s="36" t="n"/>
      <c r="N114" s="36" t="n"/>
      <c r="O114" s="36" t="n"/>
      <c r="P114" s="36" t="n"/>
      <c r="Q114" s="36" t="inlineStr"/>
      <c r="R114" s="36" t="inlineStr">
        <is>
          <t>Yes</t>
        </is>
      </c>
      <c r="S114" s="36" t="inlineStr">
        <is>
          <t>Photo</t>
        </is>
      </c>
      <c r="T114" s="36" t="n"/>
      <c r="U114" s="36" t="n"/>
      <c r="V114" s="34">
        <f>IF($A114="","",IF('⚙️ Settings'!$B$1="","",INT(($A114-'⚙️ Settings'!$B$1)/7)+1))</f>
        <v/>
      </c>
    </row>
    <row r="115" ht="15" customHeight="1" s="26">
      <c r="A115" s="38" t="n">
        <v>46218</v>
      </c>
      <c r="B115" s="33" t="inlineStr">
        <is>
          <t>Megan</t>
        </is>
      </c>
      <c r="C115" s="33" t="inlineStr">
        <is>
          <t>M</t>
        </is>
      </c>
      <c r="D115" s="33" t="inlineStr">
        <is>
          <t>Topic 3. Me on Rover</t>
        </is>
      </c>
      <c r="E115" s="33" t="n"/>
      <c r="G115" s="33" t="n"/>
      <c r="H115" s="33" t="n"/>
      <c r="I115" s="33" t="n"/>
      <c r="J115" s="33" t="n"/>
      <c r="K115" s="33" t="n"/>
      <c r="L115" s="33" t="n"/>
      <c r="M115" s="33" t="n"/>
      <c r="N115" s="33" t="n"/>
      <c r="O115" s="33" t="n"/>
      <c r="P115" s="33" t="n"/>
      <c r="Q115" s="33" t="inlineStr">
        <is>
          <t>Sunburnt Megan</t>
        </is>
      </c>
      <c r="R115" s="33" t="inlineStr">
        <is>
          <t>Yes</t>
        </is>
      </c>
      <c r="S115" s="33" t="inlineStr">
        <is>
          <t>Photo</t>
        </is>
      </c>
      <c r="T115" s="33" t="n"/>
      <c r="U115" s="33" t="n"/>
      <c r="V115" s="34">
        <f>IF($A115="","",IF('⚙️ Settings'!$B$1="","",INT(($A115-'⚙️ Settings'!$B$1)/7)+1))</f>
        <v/>
      </c>
    </row>
    <row r="116" ht="15" customHeight="1" s="26">
      <c r="A116" s="37" t="n">
        <v>46219</v>
      </c>
      <c r="B116" s="36" t="inlineStr">
        <is>
          <t>Richard</t>
        </is>
      </c>
      <c r="C116" s="36" t="inlineStr">
        <is>
          <t>M</t>
        </is>
      </c>
      <c r="D116" s="36" t="inlineStr">
        <is>
          <t>Topic 3. Me on Rover</t>
        </is>
      </c>
      <c r="E116" s="36" t="n"/>
      <c r="G116" s="36" t="n"/>
      <c r="H116" s="36" t="n"/>
      <c r="I116" s="36" t="n"/>
      <c r="J116" s="36" t="n"/>
      <c r="K116" s="36" t="n"/>
      <c r="L116" s="36" t="n"/>
      <c r="M116" s="36" t="n"/>
      <c r="N116" s="36" t="n"/>
      <c r="O116" s="36" t="n"/>
      <c r="P116" s="36" t="n"/>
      <c r="Q116" s="36" t="inlineStr">
        <is>
          <t>This is May, the first dog I ever took care of for a neighbor.</t>
        </is>
      </c>
      <c r="R116" s="36" t="inlineStr">
        <is>
          <t>Yes</t>
        </is>
      </c>
      <c r="S116" s="36" t="inlineStr">
        <is>
          <t>Photo</t>
        </is>
      </c>
      <c r="T116" s="36" t="n"/>
      <c r="U116" s="36" t="n"/>
      <c r="V116" s="34">
        <f>IF($A116="","",IF('⚙️ Settings'!$B$1="","",INT(($A116-'⚙️ Settings'!$B$1)/7)+1))</f>
        <v/>
      </c>
    </row>
    <row r="117" ht="15" customHeight="1" s="26">
      <c r="A117" s="38" t="n">
        <v>46219</v>
      </c>
      <c r="B117" s="33" t="inlineStr">
        <is>
          <t>Richard</t>
        </is>
      </c>
      <c r="C117" s="33" t="inlineStr">
        <is>
          <t>M</t>
        </is>
      </c>
      <c r="D117" s="33" t="inlineStr">
        <is>
          <t>Topic 3. Me on Rover</t>
        </is>
      </c>
      <c r="E117" s="33" t="n"/>
      <c r="G117" s="33" t="n"/>
      <c r="H117" s="33" t="n"/>
      <c r="I117" s="33" t="n"/>
      <c r="J117" s="33" t="n"/>
      <c r="K117" s="33" t="n"/>
      <c r="L117" s="33" t="n"/>
      <c r="M117" s="33" t="n"/>
      <c r="N117" s="33" t="n"/>
      <c r="O117" s="33" t="n"/>
      <c r="P117" s="33" t="n"/>
      <c r="Q117" s="33" t="inlineStr">
        <is>
          <t>I started using Rover in 2025. However, I did not book a client until 2026.</t>
        </is>
      </c>
      <c r="R117" s="33" t="inlineStr">
        <is>
          <t>No</t>
        </is>
      </c>
      <c r="S117" s="33" t="n"/>
      <c r="T117" s="33" t="n"/>
      <c r="U117" s="33" t="n"/>
      <c r="V117" s="34">
        <f>IF($A117="","",IF('⚙️ Settings'!$B$1="","",INT(($A117-'⚙️ Settings'!$B$1)/7)+1))</f>
        <v/>
      </c>
    </row>
    <row r="118" ht="15" customHeight="1" s="26">
      <c r="A118" s="37" t="n">
        <v>46219</v>
      </c>
      <c r="B118" s="36" t="inlineStr">
        <is>
          <t>Richard</t>
        </is>
      </c>
      <c r="C118" s="36" t="inlineStr">
        <is>
          <t>M</t>
        </is>
      </c>
      <c r="D118" s="36" t="inlineStr">
        <is>
          <t>Topic 3. Me on Rover</t>
        </is>
      </c>
      <c r="E118" s="36" t="n"/>
      <c r="G118" s="36" t="n"/>
      <c r="H118" s="36" t="n"/>
      <c r="I118" s="36" t="n"/>
      <c r="J118" s="36" t="n"/>
      <c r="K118" s="36" t="n"/>
      <c r="L118" s="36" t="n"/>
      <c r="M118" s="36" t="n"/>
      <c r="N118" s="36" t="n"/>
      <c r="O118" s="36" t="n"/>
      <c r="P118" s="36" t="n"/>
      <c r="Q118" s="36" t="inlineStr">
        <is>
          <t>I got started on Rover because my friends Anvesh and Alis thought it would be a good idea. I watched their dog Peko while they went on their honeymoon. I am so glad they told me about Rover and helped me sign up for it.</t>
        </is>
      </c>
      <c r="R118" s="36" t="inlineStr">
        <is>
          <t>No</t>
        </is>
      </c>
      <c r="S118" s="36" t="n"/>
      <c r="T118" s="36" t="n"/>
      <c r="U118" s="36" t="n"/>
      <c r="V118" s="34">
        <f>IF($A118="","",IF('⚙️ Settings'!$B$1="","",INT(($A118-'⚙️ Settings'!$B$1)/7)+1))</f>
        <v/>
      </c>
    </row>
    <row r="119" ht="15" customHeight="1" s="26">
      <c r="A119" s="38" t="n">
        <v>46219</v>
      </c>
      <c r="B119" s="33" t="inlineStr">
        <is>
          <t>Richard</t>
        </is>
      </c>
      <c r="C119" s="33" t="inlineStr">
        <is>
          <t>M</t>
        </is>
      </c>
      <c r="D119" s="33" t="inlineStr">
        <is>
          <t>Topic 3. Me on Rover</t>
        </is>
      </c>
      <c r="E119" s="33" t="n"/>
      <c r="G119" s="33" t="n"/>
      <c r="H119" s="33" t="n"/>
      <c r="I119" s="33" t="n"/>
      <c r="J119" s="33" t="n"/>
      <c r="K119" s="33" t="n"/>
      <c r="L119" s="33" t="n"/>
      <c r="M119" s="33" t="n"/>
      <c r="N119" s="33" t="n"/>
      <c r="O119" s="33" t="n"/>
      <c r="P119" s="33" t="n"/>
      <c r="Q119" s="33" t="inlineStr">
        <is>
          <t>Basically, I just provide pet sitting services.</t>
        </is>
      </c>
      <c r="R119" s="33" t="inlineStr">
        <is>
          <t>No</t>
        </is>
      </c>
      <c r="S119" s="33" t="n"/>
      <c r="T119" s="33" t="n"/>
      <c r="U119" s="33" t="n"/>
      <c r="V119" s="34">
        <f>IF($A119="","",IF('⚙️ Settings'!$B$1="","",INT(($A119-'⚙️ Settings'!$B$1)/7)+1))</f>
        <v/>
      </c>
    </row>
    <row r="120" ht="15" customHeight="1" s="26">
      <c r="A120" s="37" t="n">
        <v>46219</v>
      </c>
      <c r="B120" s="36" t="inlineStr">
        <is>
          <t>Richard</t>
        </is>
      </c>
      <c r="C120" s="36" t="inlineStr">
        <is>
          <t>M</t>
        </is>
      </c>
      <c r="D120" s="36" t="inlineStr">
        <is>
          <t>Topic 3. Me on Rover</t>
        </is>
      </c>
      <c r="E120" s="36" t="n"/>
      <c r="G120" s="36" t="n"/>
      <c r="H120" s="36" t="n"/>
      <c r="I120" s="36" t="n"/>
      <c r="J120" s="36" t="n"/>
      <c r="K120" s="36" t="n"/>
      <c r="L120" s="36" t="n"/>
      <c r="M120" s="36" t="n"/>
      <c r="N120" s="36" t="n"/>
      <c r="O120" s="36" t="n"/>
      <c r="P120" s="36" t="n"/>
      <c r="Q120" s="36" t="inlineStr">
        <is>
          <t>My total bookings so far are nine different dogs, two of them twice. That makes eleven. Plus another one starts tomorrow. That’s a dozen.</t>
        </is>
      </c>
      <c r="R120" s="36" t="inlineStr">
        <is>
          <t>No</t>
        </is>
      </c>
      <c r="S120" s="36" t="n"/>
      <c r="T120" s="36" t="n"/>
      <c r="U120" s="36" t="n"/>
      <c r="V120" s="34">
        <f>IF($A120="","",IF('⚙️ Settings'!$B$1="","",INT(($A120-'⚙️ Settings'!$B$1)/7)+1))</f>
        <v/>
      </c>
    </row>
    <row r="121" ht="15" customHeight="1" s="26">
      <c r="A121" s="38" t="n">
        <v>46219</v>
      </c>
      <c r="B121" s="33" t="inlineStr">
        <is>
          <t>Richard</t>
        </is>
      </c>
      <c r="C121" s="33" t="inlineStr">
        <is>
          <t>M</t>
        </is>
      </c>
      <c r="D121" s="33" t="inlineStr">
        <is>
          <t>Topic 3. Me on Rover</t>
        </is>
      </c>
      <c r="E121" s="33" t="n"/>
      <c r="G121" s="33" t="n"/>
      <c r="H121" s="33" t="n"/>
      <c r="I121" s="33" t="n"/>
      <c r="J121" s="33" t="n"/>
      <c r="K121" s="33" t="n"/>
      <c r="L121" s="33" t="n"/>
      <c r="M121" s="33" t="n"/>
      <c r="N121" s="33" t="n"/>
      <c r="O121" s="33" t="n"/>
      <c r="P121" s="33" t="n"/>
      <c r="Q121" s="33" t="inlineStr">
        <is>
          <t>My experience is with a lot of regular dogs privately in my neighborhood. And now through Rover I get lots of new dogs like Captain and Pepper and Smokey and Perla and Scout and Banksy and Meatball and Renzy and Willie.</t>
        </is>
      </c>
      <c r="R121" s="33" t="inlineStr">
        <is>
          <t>No</t>
        </is>
      </c>
      <c r="S121" s="33" t="n"/>
      <c r="T121" s="33" t="n"/>
      <c r="U121" s="33" t="n"/>
      <c r="V121" s="34">
        <f>IF($A121="","",IF('⚙️ Settings'!$B$1="","",INT(($A121-'⚙️ Settings'!$B$1)/7)+1))</f>
        <v/>
      </c>
    </row>
    <row r="122" ht="15" customHeight="1" s="26">
      <c r="A122" s="37" t="n">
        <v>46219</v>
      </c>
      <c r="B122" s="36" t="inlineStr">
        <is>
          <t>Jilian</t>
        </is>
      </c>
      <c r="C122" s="36" t="inlineStr">
        <is>
          <t>N</t>
        </is>
      </c>
      <c r="D122" s="36" t="inlineStr">
        <is>
          <t>Topic 3. Me on Rover</t>
        </is>
      </c>
      <c r="E122" s="36" t="n"/>
      <c r="G122" s="36" t="n"/>
      <c r="H122" s="36" t="n"/>
      <c r="I122" s="36" t="n"/>
      <c r="J122" s="36" t="n"/>
      <c r="K122" s="36" t="n"/>
      <c r="L122" s="36" t="n"/>
      <c r="M122" s="36" t="n"/>
      <c r="N122" s="36" t="n"/>
      <c r="O122" s="36" t="n"/>
      <c r="P122" s="36" t="n"/>
      <c r="Q122" s="36" t="inlineStr">
        <is>
          <t>I started rover about a month ago. I started because a friend told me about it. I offer all services. I have had one completed booking so far. I have been pet sitting off of rover for many years via Facebook groups and word of mouth.</t>
        </is>
      </c>
      <c r="R122" s="36" t="inlineStr">
        <is>
          <t>No</t>
        </is>
      </c>
      <c r="S122" s="36" t="n"/>
      <c r="T122" s="36" t="n"/>
      <c r="U122" s="36" t="n"/>
      <c r="V122" s="34">
        <f>IF($A122="","",IF('⚙️ Settings'!$B$1="","",INT(($A122-'⚙️ Settings'!$B$1)/7)+1))</f>
        <v/>
      </c>
    </row>
    <row r="123" ht="15" customHeight="1" s="26">
      <c r="A123" s="38" t="n">
        <v>46219</v>
      </c>
      <c r="B123" s="33" t="inlineStr">
        <is>
          <t>Jilian</t>
        </is>
      </c>
      <c r="C123" s="33" t="inlineStr">
        <is>
          <t>N</t>
        </is>
      </c>
      <c r="D123" s="33" t="inlineStr">
        <is>
          <t>Topic 3. Me on Rover</t>
        </is>
      </c>
      <c r="E123" s="33" t="n"/>
      <c r="G123" s="33" t="n"/>
      <c r="H123" s="33" t="n"/>
      <c r="I123" s="33" t="n"/>
      <c r="J123" s="33" t="n"/>
      <c r="K123" s="33" t="n"/>
      <c r="L123" s="33" t="n"/>
      <c r="M123" s="33" t="n"/>
      <c r="N123" s="33" t="n"/>
      <c r="O123" s="33" t="n"/>
      <c r="P123" s="33" t="n"/>
      <c r="Q123" s="33" t="inlineStr"/>
      <c r="R123" s="33" t="inlineStr">
        <is>
          <t>Yes</t>
        </is>
      </c>
      <c r="S123" s="33" t="inlineStr">
        <is>
          <t>Photo</t>
        </is>
      </c>
      <c r="T123" s="33" t="n"/>
      <c r="U123" s="33" t="n"/>
      <c r="V123" s="34">
        <f>IF($A123="","",IF('⚙️ Settings'!$B$1="","",INT(($A123-'⚙️ Settings'!$B$1)/7)+1))</f>
        <v/>
      </c>
    </row>
    <row r="124" ht="15" customHeight="1" s="26">
      <c r="A124" s="37" t="n">
        <v>46220</v>
      </c>
      <c r="B124" s="36" t="inlineStr">
        <is>
          <t>Erika</t>
        </is>
      </c>
      <c r="C124" s="36" t="inlineStr">
        <is>
          <t>T</t>
        </is>
      </c>
      <c r="D124" s="36" t="inlineStr">
        <is>
          <t>Topic 3. Me on Rover</t>
        </is>
      </c>
      <c r="E124" s="36" t="n"/>
      <c r="G124" s="36" t="n"/>
      <c r="H124" s="36" t="n"/>
      <c r="I124" s="36" t="n"/>
      <c r="J124" s="36" t="n"/>
      <c r="K124" s="36" t="n"/>
      <c r="L124" s="36" t="n"/>
      <c r="M124" s="36" t="n"/>
      <c r="N124" s="36" t="n"/>
      <c r="O124" s="36" t="n"/>
      <c r="P124" s="36" t="n"/>
      <c r="Q124" s="36" t="inlineStr">
        <is>
          <t>I’ve been a pet sitter on Rover since April 2023. As a newcomer to Canada, I was looking for a way to spend my free time while studying and working part-time. I wanted to earn some extra money. I enjoy watching YouTube videos about people living abroad and sharing their experiences and advice. One day, I came across a YouTuber video that discussed various ways to make extra money in Canada. One of the options he mentioned was pet sitting through Rover. I found this idea intriguing and helpful because I’ve always loved animals. I thought it could be a great way to combine my love for animals with a fulfilling job. While taking care of a pet can be a significant responsibility, it’s also incredibly rewarding and enjoyable. 
When this happened, I downloaded the app and completed the verification process and started to set up my profile and a few days later I got a service request to take care of a cat named Aiko and that’s how the story started. I offer pet day care, drop in visits and boardings at my home. And by now I’ve provided 56 services so far, mostly boardings at my house. I usually take new clients but I have already some regular parents that prefer me to sit their pets, also, I usually have only one pet at a time, or if I get more than one is because I’m sure they tolerate each other and oftenly they belong to the same family.</t>
        </is>
      </c>
      <c r="R124" s="36" t="inlineStr">
        <is>
          <t>No</t>
        </is>
      </c>
      <c r="S124" s="36" t="n"/>
      <c r="T124" s="36" t="n"/>
      <c r="U124" s="36" t="n"/>
      <c r="V124" s="34">
        <f>IF($A124="","",IF('⚙️ Settings'!$B$1="","",INT(($A124-'⚙️ Settings'!$B$1)/7)+1))</f>
        <v/>
      </c>
    </row>
    <row r="125" ht="15" customHeight="1" s="26">
      <c r="A125" s="38" t="n">
        <v>46220</v>
      </c>
      <c r="B125" s="33" t="inlineStr">
        <is>
          <t>Erika</t>
        </is>
      </c>
      <c r="C125" s="33" t="inlineStr">
        <is>
          <t>T</t>
        </is>
      </c>
      <c r="D125" s="33" t="inlineStr">
        <is>
          <t>Topic 3. Me on Rover</t>
        </is>
      </c>
      <c r="E125" s="33" t="n"/>
      <c r="G125" s="33" t="n"/>
      <c r="H125" s="33" t="n"/>
      <c r="I125" s="33" t="n"/>
      <c r="J125" s="33" t="n"/>
      <c r="K125" s="33" t="n"/>
      <c r="L125" s="33" t="n"/>
      <c r="M125" s="33" t="n"/>
      <c r="N125" s="33" t="n"/>
      <c r="O125" s="33" t="n"/>
      <c r="P125" s="33" t="n"/>
      <c r="Q125" s="33" t="inlineStr">
        <is>
          <t>This is me and Bella, one of my regular pet friends that visit us oftenly. She’s so cute and lovely.</t>
        </is>
      </c>
      <c r="R125" s="33" t="inlineStr">
        <is>
          <t>Yes</t>
        </is>
      </c>
      <c r="S125" s="33" t="inlineStr">
        <is>
          <t>Photo</t>
        </is>
      </c>
      <c r="T125" s="33" t="n"/>
      <c r="U125" s="33" t="n"/>
      <c r="V125" s="34">
        <f>IF($A125="","",IF('⚙️ Settings'!$B$1="","",INT(($A125-'⚙️ Settings'!$B$1)/7)+1))</f>
        <v/>
      </c>
    </row>
    <row r="126" ht="15" customHeight="1" s="26">
      <c r="A126" s="37" t="n">
        <v>46220</v>
      </c>
      <c r="B126" s="36" t="inlineStr">
        <is>
          <t>Shania</t>
        </is>
      </c>
      <c r="C126" s="36" t="inlineStr">
        <is>
          <t>T</t>
        </is>
      </c>
      <c r="D126" s="36" t="inlineStr">
        <is>
          <t>Topic 3. Me on Rover</t>
        </is>
      </c>
      <c r="E126" s="36" t="n"/>
      <c r="G126" s="36" t="n"/>
      <c r="H126" s="36" t="n"/>
      <c r="I126" s="36" t="n"/>
      <c r="J126" s="36" t="n"/>
      <c r="K126" s="36" t="n"/>
      <c r="L126" s="36" t="n"/>
      <c r="M126" s="36" t="n"/>
      <c r="N126" s="36" t="n"/>
      <c r="O126" s="36" t="n"/>
      <c r="P126" s="36" t="n"/>
      <c r="Q126" s="36" t="inlineStr">
        <is>
          <t>I first heard of Rover in 2022. At the time I was doing Doordash and was  looking for other income methods to maximize my time outside. I had come across a YouTube video by Ryan Trahan, where he was attempting to freelance his was across America. One of his popular methods was dog walking, which inspired me to check it out. I discovered Rover shortly after and made my account. 
The services I offer are dog walking, pet sitting and drop-in visits.
So far I've had over 40 bookings, including 5 repeat clients.</t>
        </is>
      </c>
      <c r="R126" s="36" t="inlineStr">
        <is>
          <t>No</t>
        </is>
      </c>
      <c r="S126" s="36" t="n"/>
      <c r="T126" s="36" t="n"/>
      <c r="U126" s="36" t="n"/>
      <c r="V126" s="34">
        <f>IF($A126="","",IF('⚙️ Settings'!$B$1="","",INT(($A126-'⚙️ Settings'!$B$1)/7)+1))</f>
        <v/>
      </c>
    </row>
    <row r="127" ht="15" customHeight="1" s="26">
      <c r="A127" s="38" t="n">
        <v>46220</v>
      </c>
      <c r="B127" s="33" t="inlineStr">
        <is>
          <t>Shania</t>
        </is>
      </c>
      <c r="C127" s="33" t="inlineStr">
        <is>
          <t>T</t>
        </is>
      </c>
      <c r="D127" s="33" t="inlineStr">
        <is>
          <t>Topic 3. Me on Rover</t>
        </is>
      </c>
      <c r="E127" s="33" t="n"/>
      <c r="G127" s="33" t="n"/>
      <c r="H127" s="33" t="n"/>
      <c r="I127" s="33" t="n"/>
      <c r="J127" s="33" t="n"/>
      <c r="K127" s="33" t="n"/>
      <c r="L127" s="33" t="n"/>
      <c r="M127" s="33" t="n"/>
      <c r="N127" s="33" t="n"/>
      <c r="O127" s="33" t="n"/>
      <c r="P127" s="33" t="n"/>
      <c r="Q127" s="33" t="inlineStr"/>
      <c r="R127" s="33" t="inlineStr">
        <is>
          <t>Yes</t>
        </is>
      </c>
      <c r="S127" s="33" t="inlineStr">
        <is>
          <t>Photo</t>
        </is>
      </c>
      <c r="T127" s="33" t="n"/>
      <c r="U127" s="33" t="n"/>
      <c r="V127" s="34">
        <f>IF($A127="","",IF('⚙️ Settings'!$B$1="","",INT(($A127-'⚙️ Settings'!$B$1)/7)+1))</f>
        <v/>
      </c>
    </row>
    <row r="128" ht="15" customHeight="1" s="26">
      <c r="A128" s="37" t="n">
        <v>46220</v>
      </c>
      <c r="B128" s="36" t="inlineStr">
        <is>
          <t>Anita</t>
        </is>
      </c>
      <c r="C128" s="36" t="inlineStr">
        <is>
          <t>T</t>
        </is>
      </c>
      <c r="D128" s="36" t="inlineStr">
        <is>
          <t>Topic 3. Me on Rover</t>
        </is>
      </c>
      <c r="E128" s="36" t="n"/>
      <c r="G128" s="36" t="n"/>
      <c r="H128" s="36" t="n"/>
      <c r="I128" s="36" t="n"/>
      <c r="J128" s="36" t="n"/>
      <c r="K128" s="36" t="n"/>
      <c r="L128" s="36" t="n"/>
      <c r="M128" s="36" t="n"/>
      <c r="N128" s="36" t="n"/>
      <c r="O128" s="36" t="n"/>
      <c r="P128" s="36" t="n"/>
      <c r="Q128" s="36" t="inlineStr"/>
      <c r="R128" s="36" t="inlineStr">
        <is>
          <t>Yes</t>
        </is>
      </c>
      <c r="S128" s="36" t="inlineStr">
        <is>
          <t>Photo</t>
        </is>
      </c>
      <c r="T128" s="36" t="n"/>
      <c r="U128" s="36" t="n"/>
      <c r="V128" s="34">
        <f>IF($A128="","",IF('⚙️ Settings'!$B$1="","",INT(($A128-'⚙️ Settings'!$B$1)/7)+1))</f>
        <v/>
      </c>
    </row>
    <row r="129" ht="15" customHeight="1" s="26">
      <c r="A129" s="38" t="n">
        <v>46220</v>
      </c>
      <c r="B129" s="33" t="inlineStr">
        <is>
          <t>Anita</t>
        </is>
      </c>
      <c r="C129" s="33" t="inlineStr">
        <is>
          <t>T</t>
        </is>
      </c>
      <c r="D129" s="33" t="inlineStr">
        <is>
          <t>Topic 3. Me on Rover</t>
        </is>
      </c>
      <c r="E129" s="33" t="n"/>
      <c r="G129" s="33" t="n"/>
      <c r="H129" s="33" t="n"/>
      <c r="I129" s="33" t="n"/>
      <c r="J129" s="33" t="n"/>
      <c r="K129" s="33" t="n"/>
      <c r="L129" s="33" t="n"/>
      <c r="M129" s="33" t="n"/>
      <c r="N129" s="33" t="n"/>
      <c r="O129" s="33" t="n"/>
      <c r="P129" s="33" t="n"/>
      <c r="Q129" s="33" t="inlineStr">
        <is>
          <t>I am provide a full service pet care. Which not only includes walks and feeding. Along with medications if necessary.</t>
        </is>
      </c>
      <c r="R129" s="33" t="inlineStr">
        <is>
          <t>No</t>
        </is>
      </c>
      <c r="S129" s="33" t="n"/>
      <c r="T129" s="33" t="n"/>
      <c r="U129" s="33" t="n"/>
      <c r="V129" s="34">
        <f>IF($A129="","",IF('⚙️ Settings'!$B$1="","",INT(($A129-'⚙️ Settings'!$B$1)/7)+1))</f>
        <v/>
      </c>
    </row>
    <row r="130" ht="15" customHeight="1" s="26">
      <c r="A130" s="37" t="n">
        <v>46220</v>
      </c>
      <c r="B130" s="36" t="inlineStr">
        <is>
          <t>Anita</t>
        </is>
      </c>
      <c r="C130" s="36" t="inlineStr">
        <is>
          <t>T</t>
        </is>
      </c>
      <c r="D130" s="36" t="inlineStr">
        <is>
          <t>Topic 3. Me on Rover</t>
        </is>
      </c>
      <c r="E130" s="36" t="n"/>
      <c r="G130" s="36" t="n"/>
      <c r="H130" s="36" t="n"/>
      <c r="I130" s="36" t="n"/>
      <c r="J130" s="36" t="n"/>
      <c r="K130" s="36" t="n"/>
      <c r="L130" s="36" t="n"/>
      <c r="M130" s="36" t="n"/>
      <c r="N130" s="36" t="n"/>
      <c r="O130" s="36" t="n"/>
      <c r="P130" s="36" t="n"/>
      <c r="Q130" s="36" t="inlineStr">
        <is>
          <t>I take the pets to the groomer and or the veterinarian is needed.</t>
        </is>
      </c>
      <c r="R130" s="36" t="inlineStr">
        <is>
          <t>No</t>
        </is>
      </c>
      <c r="S130" s="36" t="n"/>
      <c r="T130" s="36" t="n"/>
      <c r="U130" s="36" t="n"/>
      <c r="V130" s="34">
        <f>IF($A130="","",IF('⚙️ Settings'!$B$1="","",INT(($A130-'⚙️ Settings'!$B$1)/7)+1))</f>
        <v/>
      </c>
    </row>
    <row r="131" ht="15" customHeight="1" s="26">
      <c r="A131" s="38" t="n">
        <v>46220</v>
      </c>
      <c r="B131" s="33" t="inlineStr">
        <is>
          <t>Anita</t>
        </is>
      </c>
      <c r="C131" s="33" t="inlineStr">
        <is>
          <t>T</t>
        </is>
      </c>
      <c r="D131" s="33" t="inlineStr">
        <is>
          <t>Topic 3. Me on Rover</t>
        </is>
      </c>
      <c r="E131" s="33" t="n"/>
      <c r="G131" s="33" t="n"/>
      <c r="H131" s="33" t="n"/>
      <c r="I131" s="33" t="n"/>
      <c r="J131" s="33" t="n"/>
      <c r="K131" s="33" t="n"/>
      <c r="L131" s="33" t="n"/>
      <c r="M131" s="33" t="n"/>
      <c r="N131" s="33" t="n"/>
      <c r="O131" s="33" t="n"/>
      <c r="P131" s="33" t="n"/>
      <c r="Q131" s="33" t="inlineStr">
        <is>
          <t>All of my wonderful pets are well taken care of and loved.</t>
        </is>
      </c>
      <c r="R131" s="33" t="inlineStr">
        <is>
          <t>No</t>
        </is>
      </c>
      <c r="S131" s="33" t="n"/>
      <c r="T131" s="33" t="n"/>
      <c r="U131" s="33" t="n"/>
      <c r="V131" s="34">
        <f>IF($A131="","",IF('⚙️ Settings'!$B$1="","",INT(($A131-'⚙️ Settings'!$B$1)/7)+1))</f>
        <v/>
      </c>
    </row>
    <row r="132" ht="15" customHeight="1" s="26">
      <c r="A132" s="37" t="n">
        <v>46220</v>
      </c>
      <c r="B132" s="36" t="inlineStr">
        <is>
          <t>Anita</t>
        </is>
      </c>
      <c r="C132" s="36" t="inlineStr">
        <is>
          <t>T</t>
        </is>
      </c>
      <c r="D132" s="36" t="inlineStr">
        <is>
          <t>Topic 3. Me on Rover</t>
        </is>
      </c>
      <c r="E132" s="36" t="n"/>
      <c r="G132" s="36" t="n"/>
      <c r="H132" s="36" t="n"/>
      <c r="I132" s="36" t="n"/>
      <c r="J132" s="36" t="n"/>
      <c r="K132" s="36" t="n"/>
      <c r="L132" s="36" t="n"/>
      <c r="M132" s="36" t="n"/>
      <c r="N132" s="36" t="n"/>
      <c r="O132" s="36" t="n"/>
      <c r="P132" s="36" t="n"/>
      <c r="Q132" s="36" t="inlineStr">
        <is>
          <t>This is Boba. She is a new pet I am enjoying right now.</t>
        </is>
      </c>
      <c r="R132" s="36" t="inlineStr">
        <is>
          <t>Yes</t>
        </is>
      </c>
      <c r="S132" s="36" t="inlineStr">
        <is>
          <t>Photo</t>
        </is>
      </c>
      <c r="T132" s="36" t="n"/>
      <c r="U132" s="36" t="n"/>
      <c r="V132" s="34">
        <f>IF($A132="","",IF('⚙️ Settings'!$B$1="","",INT(($A132-'⚙️ Settings'!$B$1)/7)+1))</f>
        <v/>
      </c>
    </row>
    <row r="133" ht="15" customHeight="1" s="26">
      <c r="A133" s="38" t="n">
        <v>46220</v>
      </c>
      <c r="B133" s="33" t="inlineStr">
        <is>
          <t>Anita</t>
        </is>
      </c>
      <c r="C133" s="33" t="inlineStr">
        <is>
          <t>T</t>
        </is>
      </c>
      <c r="D133" s="33" t="inlineStr">
        <is>
          <t>Topic 3. Me on Rover</t>
        </is>
      </c>
      <c r="E133" s="33" t="n"/>
      <c r="G133" s="33" t="n"/>
      <c r="H133" s="33" t="n"/>
      <c r="I133" s="33" t="n"/>
      <c r="J133" s="33" t="n"/>
      <c r="K133" s="33" t="n"/>
      <c r="L133" s="33" t="n"/>
      <c r="M133" s="33" t="n"/>
      <c r="N133" s="33" t="n"/>
      <c r="O133" s="33" t="n"/>
      <c r="P133" s="33" t="n"/>
      <c r="Q133" s="33" t="inlineStr">
        <is>
          <t>This is Boo. Who is currently living with me right now. His mom is in the hospital.</t>
        </is>
      </c>
      <c r="R133" s="33" t="inlineStr">
        <is>
          <t>Yes</t>
        </is>
      </c>
      <c r="S133" s="33" t="inlineStr">
        <is>
          <t>Photo</t>
        </is>
      </c>
      <c r="T133" s="33" t="n"/>
      <c r="U133" s="33" t="n"/>
      <c r="V133" s="34">
        <f>IF($A133="","",IF('⚙️ Settings'!$B$1="","",INT(($A133-'⚙️ Settings'!$B$1)/7)+1))</f>
        <v/>
      </c>
    </row>
    <row r="134" ht="15" customHeight="1" s="26">
      <c r="A134" s="37" t="n">
        <v>46220</v>
      </c>
      <c r="B134" s="36" t="inlineStr">
        <is>
          <t>Anita</t>
        </is>
      </c>
      <c r="C134" s="36" t="inlineStr">
        <is>
          <t>T</t>
        </is>
      </c>
      <c r="D134" s="36" t="inlineStr">
        <is>
          <t>Topic 3. Me on Rover</t>
        </is>
      </c>
      <c r="E134" s="36" t="n"/>
      <c r="G134" s="36" t="n"/>
      <c r="H134" s="36" t="n"/>
      <c r="I134" s="36" t="n"/>
      <c r="J134" s="36" t="n"/>
      <c r="K134" s="36" t="n"/>
      <c r="L134" s="36" t="n"/>
      <c r="M134" s="36" t="n"/>
      <c r="N134" s="36" t="n"/>
      <c r="O134" s="36" t="n"/>
      <c r="P134" s="36" t="n"/>
      <c r="Q134" s="36" t="inlineStr">
        <is>
          <t>I will probably be adopting Boo, his mom is in a nursing home now.</t>
        </is>
      </c>
      <c r="R134" s="36" t="inlineStr">
        <is>
          <t>No</t>
        </is>
      </c>
      <c r="S134" s="36" t="n"/>
      <c r="T134" s="36" t="n"/>
      <c r="U134" s="36" t="n"/>
      <c r="V134" s="34">
        <f>IF($A134="","",IF('⚙️ Settings'!$B$1="","",INT(($A134-'⚙️ Settings'!$B$1)/7)+1))</f>
        <v/>
      </c>
    </row>
    <row r="135" ht="15" customHeight="1" s="26">
      <c r="A135" s="38" t="n">
        <v>46221</v>
      </c>
      <c r="B135" s="33" t="inlineStr">
        <is>
          <t>Emily</t>
        </is>
      </c>
      <c r="C135" s="33" t="inlineStr">
        <is>
          <t>N</t>
        </is>
      </c>
      <c r="D135" s="33" t="inlineStr">
        <is>
          <t>Topic 3. Me on Rover</t>
        </is>
      </c>
      <c r="E135" s="33" t="n"/>
      <c r="G135" s="33" t="n"/>
      <c r="H135" s="33" t="n"/>
      <c r="I135" s="33" t="n"/>
      <c r="J135" s="33" t="n"/>
      <c r="K135" s="33" t="n"/>
      <c r="L135" s="33" t="n"/>
      <c r="M135" s="33" t="n"/>
      <c r="N135" s="33" t="n"/>
      <c r="O135" s="33" t="n"/>
      <c r="P135" s="33" t="n"/>
      <c r="Q135" s="33" t="inlineStr">
        <is>
          <t>I originally created a Rover account last year when I was looking for someone to care for my own dog, Matilda. After moving back to Seattle about three months ago, I decided to reactivate my account and start offering my own services while I search for my next full-time marketing role.
I currently offer dog walking, drop-in visits, and house sitting. I haven’t had my first Rover booking yet, as I’m still getting established on the platform, but I have looked after dogs for friends outside of Rover and, of course, have plenty of hands-on experience caring for my own dog every day.
Being a dog owner has given me a real appreciation for how important it is to find someone you can trust with your pet. I know how much communication, reliability, and making a dog feel comfortable matter, and those are the qualities I hope to bring to every booking. I’m excited to start building relationships with local pet owners and meeting lots of new pups!</t>
        </is>
      </c>
      <c r="R135" s="33" t="inlineStr">
        <is>
          <t>No</t>
        </is>
      </c>
      <c r="S135" s="33" t="n"/>
      <c r="T135" s="33" t="n"/>
      <c r="U135" s="33" t="n"/>
      <c r="V135" s="34">
        <f>IF($A135="","",IF('⚙️ Settings'!$B$1="","",INT(($A135-'⚙️ Settings'!$B$1)/7)+1))</f>
        <v/>
      </c>
    </row>
    <row r="136" ht="15" customHeight="1" s="26">
      <c r="A136" s="37" t="n">
        <v>46221</v>
      </c>
      <c r="B136" s="36" t="inlineStr">
        <is>
          <t>Emily</t>
        </is>
      </c>
      <c r="C136" s="36" t="inlineStr">
        <is>
          <t>N</t>
        </is>
      </c>
      <c r="D136" s="36" t="inlineStr">
        <is>
          <t>Topic 3. Me on Rover</t>
        </is>
      </c>
      <c r="E136" s="36" t="n"/>
      <c r="G136" s="36" t="n"/>
      <c r="H136" s="36" t="n"/>
      <c r="I136" s="36" t="n"/>
      <c r="J136" s="36" t="n"/>
      <c r="K136" s="36" t="n"/>
      <c r="L136" s="36" t="n"/>
      <c r="M136" s="36" t="n"/>
      <c r="N136" s="36" t="n"/>
      <c r="O136" s="36" t="n"/>
      <c r="P136" s="36" t="n"/>
      <c r="Q136" s="36" t="inlineStr"/>
      <c r="R136" s="36" t="inlineStr">
        <is>
          <t>Yes</t>
        </is>
      </c>
      <c r="S136" s="36" t="inlineStr">
        <is>
          <t>Photo</t>
        </is>
      </c>
      <c r="T136" s="36" t="n"/>
      <c r="U136" s="36" t="n"/>
      <c r="V136" s="34">
        <f>IF($A136="","",IF('⚙️ Settings'!$B$1="","",INT(($A136-'⚙️ Settings'!$B$1)/7)+1))</f>
        <v/>
      </c>
    </row>
    <row r="137" ht="15" customHeight="1" s="26">
      <c r="A137" s="38" t="n">
        <v>46221</v>
      </c>
      <c r="B137" s="33" t="inlineStr">
        <is>
          <t>Desiree</t>
        </is>
      </c>
      <c r="C137" s="33" t="inlineStr">
        <is>
          <t>N</t>
        </is>
      </c>
      <c r="D137" s="33" t="inlineStr">
        <is>
          <t>Topic 3. Me on Rover</t>
        </is>
      </c>
      <c r="E137" s="33" t="n"/>
      <c r="G137" s="33" t="n"/>
      <c r="H137" s="33" t="n"/>
      <c r="I137" s="33" t="n"/>
      <c r="J137" s="33" t="n"/>
      <c r="K137" s="33" t="n"/>
      <c r="L137" s="33" t="n"/>
      <c r="M137" s="33" t="n"/>
      <c r="N137" s="33" t="n"/>
      <c r="O137" s="33" t="n"/>
      <c r="P137" s="33" t="n"/>
      <c r="Q137" s="33" t="inlineStr"/>
      <c r="R137" s="33" t="inlineStr">
        <is>
          <t>Yes</t>
        </is>
      </c>
      <c r="S137" s="33" t="inlineStr">
        <is>
          <t>Photo</t>
        </is>
      </c>
      <c r="T137" s="33" t="n"/>
      <c r="U137" s="33" t="n"/>
      <c r="V137" s="34">
        <f>IF($A137="","",IF('⚙️ Settings'!$B$1="","",INT(($A137-'⚙️ Settings'!$B$1)/7)+1))</f>
        <v/>
      </c>
    </row>
    <row r="138" ht="15" customHeight="1" s="26">
      <c r="A138" s="37" t="n">
        <v>46221</v>
      </c>
      <c r="B138" s="36" t="inlineStr">
        <is>
          <t>David</t>
        </is>
      </c>
      <c r="C138" s="36" t="inlineStr">
        <is>
          <t>N</t>
        </is>
      </c>
      <c r="D138" s="36" t="inlineStr">
        <is>
          <t>Topic 3. Me on Rover</t>
        </is>
      </c>
      <c r="E138" s="36" t="n"/>
      <c r="G138" s="36" t="n"/>
      <c r="H138" s="36" t="n"/>
      <c r="I138" s="36" t="n"/>
      <c r="J138" s="36" t="n"/>
      <c r="K138" s="36" t="n"/>
      <c r="L138" s="36" t="n"/>
      <c r="M138" s="36" t="n"/>
      <c r="N138" s="36" t="n"/>
      <c r="O138" s="36" t="n"/>
      <c r="P138" s="36" t="n"/>
      <c r="Q138" s="36" t="inlineStr">
        <is>
          <t>-I started using Rover around the start of July.
-I was looking for some ways to make extra money without it interfering with my day job and house sitting is something I've done before for friends. But this is the first time I've started advertising and trying to get new clients. 
-i offer drop in visits, house sitting, and dog walking. 
-i have had 5 bookings although almost all of them have been friends and family and off platform.</t>
        </is>
      </c>
      <c r="R138" s="36" t="inlineStr">
        <is>
          <t>No</t>
        </is>
      </c>
      <c r="S138" s="36" t="n"/>
      <c r="T138" s="36" t="n"/>
      <c r="U138" s="36" t="n"/>
      <c r="V138" s="34">
        <f>IF($A138="","",IF('⚙️ Settings'!$B$1="","",INT(($A138-'⚙️ Settings'!$B$1)/7)+1))</f>
        <v/>
      </c>
    </row>
    <row r="139" ht="15" customHeight="1" s="26">
      <c r="A139" s="38" t="n">
        <v>46221</v>
      </c>
      <c r="B139" s="33" t="inlineStr">
        <is>
          <t>David</t>
        </is>
      </c>
      <c r="C139" s="33" t="inlineStr">
        <is>
          <t>N</t>
        </is>
      </c>
      <c r="D139" s="33" t="inlineStr">
        <is>
          <t>Topic 3. Me on Rover</t>
        </is>
      </c>
      <c r="E139" s="33" t="n"/>
      <c r="G139" s="33" t="n"/>
      <c r="H139" s="33" t="n"/>
      <c r="I139" s="33" t="n"/>
      <c r="J139" s="33" t="n"/>
      <c r="K139" s="33" t="n"/>
      <c r="L139" s="33" t="n"/>
      <c r="M139" s="33" t="n"/>
      <c r="N139" s="33" t="n"/>
      <c r="O139" s="33" t="n"/>
      <c r="P139" s="33" t="n"/>
      <c r="Q139" s="33" t="inlineStr"/>
      <c r="R139" s="33" t="inlineStr">
        <is>
          <t>Yes</t>
        </is>
      </c>
      <c r="S139" s="33" t="inlineStr">
        <is>
          <t>Photo</t>
        </is>
      </c>
      <c r="T139" s="33" t="n"/>
      <c r="U139" s="33" t="n"/>
      <c r="V139" s="34">
        <f>IF($A139="","",IF('⚙️ Settings'!$B$1="","",INT(($A139-'⚙️ Settings'!$B$1)/7)+1))</f>
        <v/>
      </c>
    </row>
    <row r="140" ht="15" customHeight="1" s="26">
      <c r="A140" s="37" t="n">
        <v>46221</v>
      </c>
      <c r="B140" s="36" t="inlineStr">
        <is>
          <t>David</t>
        </is>
      </c>
      <c r="C140" s="36" t="inlineStr">
        <is>
          <t>N</t>
        </is>
      </c>
      <c r="D140" s="36" t="inlineStr">
        <is>
          <t>Topic 3. Me on Rover</t>
        </is>
      </c>
      <c r="E140" s="36" t="n"/>
      <c r="G140" s="36" t="n"/>
      <c r="H140" s="36" t="n"/>
      <c r="I140" s="36" t="n"/>
      <c r="J140" s="36" t="n"/>
      <c r="K140" s="36" t="n"/>
      <c r="L140" s="36" t="n"/>
      <c r="M140" s="36" t="n"/>
      <c r="N140" s="36" t="n"/>
      <c r="O140" s="36" t="n"/>
      <c r="P140" s="36" t="n"/>
      <c r="Q140" s="36" t="inlineStr">
        <is>
          <t>When I'm sitting pets I try to focus on making sure that the pet feels safe and has all the attention they want and really make it feel like it's a playdate the whole time. I send regular updates and pictures to the owner to help them feel comfortable and secure.</t>
        </is>
      </c>
      <c r="R140" s="36" t="inlineStr">
        <is>
          <t>No</t>
        </is>
      </c>
      <c r="S140" s="36" t="n"/>
      <c r="T140" s="36" t="n"/>
      <c r="U140" s="36" t="n"/>
      <c r="V140" s="34">
        <f>IF($A140="","",IF('⚙️ Settings'!$B$1="","",INT(($A140-'⚙️ Settings'!$B$1)/7)+1))</f>
        <v/>
      </c>
    </row>
    <row r="141" ht="15" customHeight="1" s="26">
      <c r="A141" s="38" t="n">
        <v>46221</v>
      </c>
      <c r="B141" s="33" t="inlineStr">
        <is>
          <t>Melissa</t>
        </is>
      </c>
      <c r="C141" s="33" t="inlineStr">
        <is>
          <t>M</t>
        </is>
      </c>
      <c r="D141" s="33" t="inlineStr">
        <is>
          <t>Topic 3. Me on Rover</t>
        </is>
      </c>
      <c r="E141" s="33" t="n"/>
      <c r="G141" s="33" t="n"/>
      <c r="H141" s="33" t="n"/>
      <c r="I141" s="33" t="n"/>
      <c r="J141" s="33" t="n"/>
      <c r="K141" s="33" t="n"/>
      <c r="L141" s="33" t="n"/>
      <c r="M141" s="33" t="n"/>
      <c r="N141" s="33" t="n"/>
      <c r="O141" s="33" t="n"/>
      <c r="P141" s="33" t="n"/>
      <c r="Q141" s="33" t="inlineStr"/>
      <c r="R141" s="33" t="inlineStr">
        <is>
          <t>Yes</t>
        </is>
      </c>
      <c r="S141" s="33" t="inlineStr">
        <is>
          <t>Photo</t>
        </is>
      </c>
      <c r="T141" s="33" t="n"/>
      <c r="U141" s="33" t="n"/>
      <c r="V141" s="34">
        <f>IF($A141="","",IF('⚙️ Settings'!$B$1="","",INT(($A141-'⚙️ Settings'!$B$1)/7)+1))</f>
        <v/>
      </c>
    </row>
    <row r="142" ht="15" customHeight="1" s="26">
      <c r="A142" s="37" t="n">
        <v>46221</v>
      </c>
      <c r="B142" s="36" t="inlineStr">
        <is>
          <t>Melissa</t>
        </is>
      </c>
      <c r="C142" s="36" t="inlineStr">
        <is>
          <t>M</t>
        </is>
      </c>
      <c r="D142" s="36" t="inlineStr">
        <is>
          <t>Topic 3. Me on Rover</t>
        </is>
      </c>
      <c r="E142" s="36" t="n"/>
      <c r="G142" s="36" t="n"/>
      <c r="H142" s="36" t="n"/>
      <c r="I142" s="36" t="n"/>
      <c r="J142" s="36" t="n"/>
      <c r="K142" s="36" t="n"/>
      <c r="L142" s="36" t="n"/>
      <c r="M142" s="36" t="n"/>
      <c r="N142" s="36" t="n"/>
      <c r="O142" s="36" t="n"/>
      <c r="P142" s="36" t="n"/>
      <c r="Q142" s="36" t="inlineStr">
        <is>
          <t>I've been using it only since May or June. I've only had two bookings through rover. I offer walking, drop ins and house sitting. It's been fine experience so far!</t>
        </is>
      </c>
      <c r="R142" s="36" t="inlineStr">
        <is>
          <t>No</t>
        </is>
      </c>
      <c r="S142" s="36" t="n"/>
      <c r="T142" s="36" t="n"/>
      <c r="U142" s="36" t="n"/>
      <c r="V142" s="34">
        <f>IF($A142="","",IF('⚙️ Settings'!$B$1="","",INT(($A142-'⚙️ Settings'!$B$1)/7)+1))</f>
        <v/>
      </c>
    </row>
    <row r="143" ht="15" customHeight="1" s="26">
      <c r="A143" s="38" t="n">
        <v>46223</v>
      </c>
      <c r="B143" s="33" t="inlineStr">
        <is>
          <t>Desiree</t>
        </is>
      </c>
      <c r="C143" s="33" t="inlineStr">
        <is>
          <t>N</t>
        </is>
      </c>
      <c r="D143" s="33" t="inlineStr">
        <is>
          <t>Topic 3. Me on Rover</t>
        </is>
      </c>
      <c r="E143" s="33" t="n"/>
      <c r="G143" s="33" t="n"/>
      <c r="H143" s="33" t="n"/>
      <c r="I143" s="33" t="n"/>
      <c r="J143" s="33" t="n"/>
      <c r="K143" s="33" t="n"/>
      <c r="L143" s="33" t="n"/>
      <c r="M143" s="33" t="n"/>
      <c r="N143" s="33" t="n"/>
      <c r="O143" s="33" t="n"/>
      <c r="P143" s="33" t="n"/>
      <c r="Q143" s="33" t="inlineStr">
        <is>
          <t>I signed up for Rover shortly before I returned to the US from my travel/live abroad stretch - probably around April 2026 - to get my profile prepared and learn the app before my return in May '26. I signed up as I was considering my re-entry into the US and my unique position as  an entrepreneur/self-employed, and flexible lifestyle. Since we have been house&amp;pet-sitting regularly on our travels, I figured Rover would be a good opportunity to possibly make some income as I house-sit. We are not in a rush to committ to a home or a location, so house-sitting with a pet allows me (and my partner) to live flexibly in the area (Asheville) while covering some housing costs and making supplemental income. It's also a great way to understand new neighborhoods in this area as we consider if/where we want to set up a home base again.
I offer dog-sitting, dog-walking and drop-ins on Rover. I've had inquiries for sitting &amp; walking, but none have panned out yet due to logistics or timing. I've held 1 meet &amp; greet, and scheduled another one that was cancelled. I actually have a meet &amp; greet tomorrow for a 3 week long house/dog-sitting stretch through Rover that seems like a great fit, I'm very hopeful that this one will work out!
I have primarily been pet/house sitting with my partner during our international travels (1 month in Greece, 2 sits over 2 weeks in the UK) and in the US (10 days in IL, and multiple weeks across a number of sits in NC). I have done 1 pet/house sit on my own for 4 days in Chicago. We typically use Trusted House-sitters which is an exchange and that has worked great. We have excellent reviews, build strong relationships with the home/pet owners and will likey have repeat customers in the current area we are based (Asheville/Western NC). We've already had 2 owners ask us to come back for a future sit. Our international clients have also invited us back, "anytime" for a visit. Our unique offer is that my partner is a previous home builder / property manager and has tremendous house/property management skills. I have lots of experience with dogs, and especially active animals who run on trails or live in nature environments.</t>
        </is>
      </c>
      <c r="R143" s="33" t="inlineStr">
        <is>
          <t>No</t>
        </is>
      </c>
      <c r="S143" s="33" t="n"/>
      <c r="T143" s="33" t="n"/>
      <c r="U143" s="33" t="n"/>
      <c r="V143" s="34">
        <f>IF($A143="","",IF('⚙️ Settings'!$B$1="","",INT(($A143-'⚙️ Settings'!$B$1)/7)+1))</f>
        <v/>
      </c>
    </row>
    <row r="144" ht="15" customHeight="1" s="26">
      <c r="A144" s="37" t="n">
        <v>46224</v>
      </c>
      <c r="B144" s="36" t="inlineStr">
        <is>
          <t>Alyssa</t>
        </is>
      </c>
      <c r="C144" s="36" t="inlineStr">
        <is>
          <t>N</t>
        </is>
      </c>
      <c r="D144" s="36" t="inlineStr">
        <is>
          <t>Topic 3. Me on Rover</t>
        </is>
      </c>
      <c r="E144" s="36" t="n"/>
      <c r="G144" s="36" t="n"/>
      <c r="H144" s="36" t="n"/>
      <c r="I144" s="36" t="n"/>
      <c r="J144" s="36" t="n"/>
      <c r="K144" s="36" t="n"/>
      <c r="L144" s="36" t="n"/>
      <c r="M144" s="36" t="n"/>
      <c r="N144" s="36" t="n"/>
      <c r="O144" s="36" t="n"/>
      <c r="P144" s="36" t="n"/>
      <c r="Q144" s="36" t="inlineStr">
        <is>
          <t>I have been using Rover since June 2026, I heard about it on social media and my family, and I thought it would be good to earn extra side money while working with what I love. I offer house sitting, drop in visits and dog walking. I have 2 offical scheduled bookings so far and 3 booking requests. I have had a really good experience so far, I didn’t have much of a expectation joining but it has definitely impressed me so far. Before joining Rover, I had about 3 regulars that are family friends I’ve taken care of over the years. After joining Rover, I have been in contact with about 2 new clients and 3 new potiental clients.</t>
        </is>
      </c>
      <c r="R144" s="36" t="inlineStr">
        <is>
          <t>No</t>
        </is>
      </c>
      <c r="S144" s="36" t="n"/>
      <c r="T144" s="36" t="n"/>
      <c r="U144" s="36" t="n"/>
      <c r="V144" s="34">
        <f>IF($A144="","",IF('⚙️ Settings'!$B$1="","",INT(($A144-'⚙️ Settings'!$B$1)/7)+1))</f>
        <v/>
      </c>
    </row>
    <row r="145" ht="15" customHeight="1" s="26">
      <c r="A145" s="38" t="n">
        <v>46224</v>
      </c>
      <c r="B145" s="33" t="inlineStr">
        <is>
          <t>Alyssa</t>
        </is>
      </c>
      <c r="C145" s="33" t="inlineStr">
        <is>
          <t>N</t>
        </is>
      </c>
      <c r="D145" s="33" t="inlineStr">
        <is>
          <t>Topic 3. Me on Rover</t>
        </is>
      </c>
      <c r="E145" s="33" t="n"/>
      <c r="G145" s="33" t="n"/>
      <c r="H145" s="33" t="n"/>
      <c r="I145" s="33" t="n"/>
      <c r="J145" s="33" t="n"/>
      <c r="K145" s="33" t="n"/>
      <c r="L145" s="33" t="n"/>
      <c r="M145" s="33" t="n"/>
      <c r="N145" s="33" t="n"/>
      <c r="O145" s="33" t="n"/>
      <c r="P145" s="33" t="n"/>
      <c r="Q145" s="33" t="inlineStr"/>
      <c r="R145" s="33" t="inlineStr">
        <is>
          <t>Yes</t>
        </is>
      </c>
      <c r="S145" s="33" t="inlineStr">
        <is>
          <t>Photo</t>
        </is>
      </c>
      <c r="T145" s="33" t="n"/>
      <c r="U145" s="33" t="n"/>
      <c r="V145" s="34">
        <f>IF($A145="","",IF('⚙️ Settings'!$B$1="","",INT(($A145-'⚙️ Settings'!$B$1)/7)+1))</f>
        <v/>
      </c>
    </row>
    <row r="146" ht="15" customHeight="1" s="26">
      <c r="A146" s="37" t="n">
        <v>46224</v>
      </c>
      <c r="B146" s="36" t="inlineStr">
        <is>
          <t>Alexia</t>
        </is>
      </c>
      <c r="C146" s="36" t="inlineStr">
        <is>
          <t>M</t>
        </is>
      </c>
      <c r="D146" s="36" t="inlineStr">
        <is>
          <t>Topic 3. Me on Rover</t>
        </is>
      </c>
      <c r="E146" s="36" t="n"/>
      <c r="G146" s="36" t="n"/>
      <c r="H146" s="36" t="n"/>
      <c r="I146" s="36" t="n"/>
      <c r="J146" s="36" t="n"/>
      <c r="K146" s="36" t="n"/>
      <c r="L146" s="36" t="n"/>
      <c r="M146" s="36" t="n"/>
      <c r="N146" s="36" t="n"/>
      <c r="O146" s="36" t="n"/>
      <c r="P146" s="36" t="n"/>
      <c r="Q146" s="36" t="inlineStr">
        <is>
          <t>I started using rover a few months ago This year. I started because i've been dogs sitting my whole life, and I needed another source of income. I currently offer a house sitting drop in visits and dog walking. I have three regulars and two new people that I will be dog.Sitting for. 
I take care of all sorts of breeds from small.Dogs to big. But I currently have a few regulars.</t>
        </is>
      </c>
      <c r="R146" s="36" t="inlineStr">
        <is>
          <t>No</t>
        </is>
      </c>
      <c r="S146" s="36" t="n"/>
      <c r="T146" s="36" t="n"/>
      <c r="U146" s="36" t="n"/>
      <c r="V146" s="34">
        <f>IF($A146="","",IF('⚙️ Settings'!$B$1="","",INT(($A146-'⚙️ Settings'!$B$1)/7)+1))</f>
        <v/>
      </c>
    </row>
    <row r="147" ht="15" customHeight="1" s="26">
      <c r="A147" s="38" t="n">
        <v>46224</v>
      </c>
      <c r="B147" s="33" t="inlineStr">
        <is>
          <t>Alexia</t>
        </is>
      </c>
      <c r="C147" s="33" t="inlineStr">
        <is>
          <t>M</t>
        </is>
      </c>
      <c r="D147" s="33" t="inlineStr">
        <is>
          <t>Topic 3. Me on Rover</t>
        </is>
      </c>
      <c r="E147" s="33" t="n"/>
      <c r="G147" s="33" t="n"/>
      <c r="H147" s="33" t="n"/>
      <c r="I147" s="33" t="n"/>
      <c r="J147" s="33" t="n"/>
      <c r="K147" s="33" t="n"/>
      <c r="L147" s="33" t="n"/>
      <c r="M147" s="33" t="n"/>
      <c r="N147" s="33" t="n"/>
      <c r="O147" s="33" t="n"/>
      <c r="P147" s="33" t="n"/>
      <c r="Q147" s="33" t="inlineStr">
        <is>
          <t>A recent photo of me at one of my house sitting jobs</t>
        </is>
      </c>
      <c r="R147" s="33" t="inlineStr">
        <is>
          <t>Yes</t>
        </is>
      </c>
      <c r="S147" s="33" t="inlineStr">
        <is>
          <t>Photo</t>
        </is>
      </c>
      <c r="T147" s="33" t="n"/>
      <c r="U147" s="33" t="n"/>
      <c r="V147" s="34">
        <f>IF($A147="","",IF('⚙️ Settings'!$B$1="","",INT(($A147-'⚙️ Settings'!$B$1)/7)+1))</f>
        <v/>
      </c>
    </row>
    <row r="148" ht="15" customHeight="1" s="26">
      <c r="A148" s="37" t="n">
        <v>46224</v>
      </c>
      <c r="B148" s="36" t="inlineStr">
        <is>
          <t>Erica</t>
        </is>
      </c>
      <c r="C148" s="36" t="inlineStr">
        <is>
          <t>M</t>
        </is>
      </c>
      <c r="D148" s="36" t="inlineStr">
        <is>
          <t>Topic 3. Me on Rover</t>
        </is>
      </c>
      <c r="E148" s="36" t="n"/>
      <c r="G148" s="36" t="n"/>
      <c r="H148" s="36" t="n"/>
      <c r="I148" s="36" t="n"/>
      <c r="J148" s="36" t="n"/>
      <c r="K148" s="36" t="n"/>
      <c r="L148" s="36" t="n"/>
      <c r="M148" s="36" t="n"/>
      <c r="N148" s="36" t="n"/>
      <c r="O148" s="36" t="n"/>
      <c r="P148" s="36" t="n"/>
      <c r="Q148" s="36" t="inlineStr">
        <is>
          <t>I started rover in summer of 2025 after my position was eliminated. I wanted to make some extra money. I do pet and house sitting and drop in visits. I've had about 8 bookings so far, most repeats.</t>
        </is>
      </c>
      <c r="R148" s="36" t="inlineStr">
        <is>
          <t>Yes</t>
        </is>
      </c>
      <c r="S148" s="36" t="inlineStr">
        <is>
          <t>Photo</t>
        </is>
      </c>
      <c r="T148" s="36" t="n"/>
      <c r="U148" s="36" t="n"/>
      <c r="V148" s="34">
        <f>IF($A148="","",IF('⚙️ Settings'!$B$1="","",INT(($A148-'⚙️ Settings'!$B$1)/7)+1))</f>
        <v/>
      </c>
    </row>
    <row r="149" ht="15" customHeight="1" s="26">
      <c r="A149" s="38" t="n">
        <v>46225</v>
      </c>
      <c r="B149" s="33" t="inlineStr">
        <is>
          <t>Cate</t>
        </is>
      </c>
      <c r="C149" s="33" t="inlineStr">
        <is>
          <t>M</t>
        </is>
      </c>
      <c r="D149" s="33" t="inlineStr">
        <is>
          <t>Topic 3. Me on Rover</t>
        </is>
      </c>
      <c r="E149" s="33" t="n"/>
      <c r="G149" s="33" t="n"/>
      <c r="H149" s="33" t="n"/>
      <c r="I149" s="33" t="n"/>
      <c r="J149" s="33" t="n"/>
      <c r="K149" s="33" t="n"/>
      <c r="L149" s="33" t="n"/>
      <c r="M149" s="33" t="n"/>
      <c r="N149" s="33" t="n"/>
      <c r="O149" s="33" t="n"/>
      <c r="P149" s="33" t="n"/>
      <c r="Q149" s="33" t="inlineStr"/>
      <c r="R149" s="33" t="inlineStr">
        <is>
          <t>Yes</t>
        </is>
      </c>
      <c r="S149" s="33" t="inlineStr">
        <is>
          <t>Photo</t>
        </is>
      </c>
      <c r="T149" s="33" t="n"/>
      <c r="U149" s="33" t="n"/>
      <c r="V149" s="34">
        <f>IF($A149="","",IF('⚙️ Settings'!$B$1="","",INT(($A149-'⚙️ Settings'!$B$1)/7)+1))</f>
        <v/>
      </c>
    </row>
    <row r="150" ht="15" customHeight="1" s="26">
      <c r="A150" s="37" t="n">
        <v>46225</v>
      </c>
      <c r="B150" s="36" t="inlineStr">
        <is>
          <t>Dawn</t>
        </is>
      </c>
      <c r="C150" s="36" t="inlineStr">
        <is>
          <t>T</t>
        </is>
      </c>
      <c r="D150" s="36" t="inlineStr">
        <is>
          <t>Topic 3. Me on Rover</t>
        </is>
      </c>
      <c r="E150" s="36" t="n"/>
      <c r="G150" s="36" t="n"/>
      <c r="H150" s="36" t="n"/>
      <c r="I150" s="36" t="n"/>
      <c r="J150" s="36" t="n"/>
      <c r="K150" s="36" t="n"/>
      <c r="L150" s="36" t="n"/>
      <c r="M150" s="36" t="n"/>
      <c r="N150" s="36" t="n"/>
      <c r="O150" s="36" t="n"/>
      <c r="P150" s="36" t="n"/>
      <c r="Q150" s="36" t="inlineStr">
        <is>
          <t>I started using Rover around 2015 after losing my corporate job to bring in some income.  It was supposed to be a temporary gig but I ended up liking it and stuck with it.  I also liked it because my corgi loved having friends over to play with.  I have over 560 total bookings.</t>
        </is>
      </c>
      <c r="R150" s="36" t="inlineStr">
        <is>
          <t>Yes</t>
        </is>
      </c>
      <c r="S150" s="36" t="inlineStr">
        <is>
          <t>Photo</t>
        </is>
      </c>
      <c r="T150" s="36" t="n"/>
      <c r="U150" s="36" t="n"/>
      <c r="V150" s="34">
        <f>IF($A150="","",IF('⚙️ Settings'!$B$1="","",INT(($A150-'⚙️ Settings'!$B$1)/7)+1))</f>
        <v/>
      </c>
    </row>
    <row r="151" ht="15" customHeight="1" s="26">
      <c r="A151" s="38" t="n">
        <v>46225</v>
      </c>
      <c r="B151" s="33" t="inlineStr">
        <is>
          <t>Dawn</t>
        </is>
      </c>
      <c r="C151" s="33" t="inlineStr">
        <is>
          <t>T</t>
        </is>
      </c>
      <c r="D151" s="33" t="inlineStr">
        <is>
          <t>Topic 3. Me on Rover</t>
        </is>
      </c>
      <c r="E151" s="33" t="n"/>
      <c r="G151" s="33" t="n"/>
      <c r="H151" s="33" t="n"/>
      <c r="I151" s="33" t="n"/>
      <c r="J151" s="33" t="n"/>
      <c r="K151" s="33" t="n"/>
      <c r="L151" s="33" t="n"/>
      <c r="M151" s="33" t="n"/>
      <c r="N151" s="33" t="n"/>
      <c r="O151" s="33" t="n"/>
      <c r="P151" s="33" t="n"/>
      <c r="Q151" s="33" t="inlineStr">
        <is>
          <t>I offer boarding, house sitting, dog walking and drop in visits but most of my bookings are either boarding or house sitting.</t>
        </is>
      </c>
      <c r="R151" s="33" t="inlineStr">
        <is>
          <t>No</t>
        </is>
      </c>
      <c r="S151" s="33" t="n"/>
      <c r="T151" s="33" t="n"/>
      <c r="U151" s="33" t="n"/>
      <c r="V151" s="34">
        <f>IF($A151="","",IF('⚙️ Settings'!$B$1="","",INT(($A151-'⚙️ Settings'!$B$1)/7)+1))</f>
        <v/>
      </c>
    </row>
    <row r="152" ht="15" customHeight="1" s="26">
      <c r="A152" s="37" t="n">
        <v>46212</v>
      </c>
      <c r="B152" s="36" t="inlineStr">
        <is>
          <t>Deborah</t>
        </is>
      </c>
      <c r="C152" s="36" t="inlineStr">
        <is>
          <t>N</t>
        </is>
      </c>
      <c r="D152" s="36" t="inlineStr">
        <is>
          <t>Topic 4. My motivation to become a pet sitter</t>
        </is>
      </c>
      <c r="E152" s="36" t="n"/>
      <c r="G152" s="36" t="n"/>
      <c r="H152" s="36" t="n"/>
      <c r="I152" s="36" t="n"/>
      <c r="J152" s="36" t="n"/>
      <c r="K152" s="36" t="n"/>
      <c r="L152" s="36" t="n"/>
      <c r="M152" s="36" t="n"/>
      <c r="N152" s="36" t="n"/>
      <c r="O152" s="36" t="n"/>
      <c r="P152" s="36" t="n"/>
      <c r="Q152" s="36" t="inlineStr">
        <is>
          <t>I had a companion, some called her a dog, but she was my best friend. I could never replace her, but found I could get and give love from my families (my grand puppies) dogs. My daughter suggested I check out Rover as a way to combine my love of dogs, make best use of my available time, and earn some extra money. I stay in the clients home, follow their insturctions and dogs habits to the letter. i.e. no people food. I would like to pick up long weekends or extended stay vacations once a month or so for extra income.</t>
        </is>
      </c>
      <c r="R152" s="36" t="inlineStr">
        <is>
          <t>No</t>
        </is>
      </c>
      <c r="S152" s="36" t="n"/>
      <c r="T152" s="36" t="n"/>
      <c r="U152" s="36" t="n"/>
      <c r="V152" s="34">
        <f>IF($A152="","",IF('⚙️ Settings'!$B$1="","",INT(($A152-'⚙️ Settings'!$B$1)/7)+1))</f>
        <v/>
      </c>
    </row>
    <row r="153" ht="15" customHeight="1" s="26">
      <c r="A153" s="38" t="n">
        <v>46212</v>
      </c>
      <c r="B153" s="33" t="inlineStr">
        <is>
          <t>Kristin</t>
        </is>
      </c>
      <c r="C153" s="33" t="inlineStr">
        <is>
          <t>T</t>
        </is>
      </c>
      <c r="D153" s="33" t="inlineStr">
        <is>
          <t>Topic 4. My motivation to become a pet sitter</t>
        </is>
      </c>
      <c r="E153" s="33" t="n"/>
      <c r="G153" s="33" t="n"/>
      <c r="H153" s="33" t="n"/>
      <c r="I153" s="33" t="n"/>
      <c r="J153" s="33" t="n"/>
      <c r="K153" s="33" t="n"/>
      <c r="L153" s="33" t="n"/>
      <c r="M153" s="33" t="n"/>
      <c r="N153" s="33" t="n"/>
      <c r="O153" s="33" t="n"/>
      <c r="P153" s="33" t="n"/>
      <c r="Q153" s="33" t="inlineStr">
        <is>
          <t>I absolutely love being around animals.  Helping clients and spending quality time with their furry family. 
Something that I loved to do(spending quality time with furry friends), flexible schedule(work around my full time job), and extra money. 
It is already ideal,  but technology(wifi, updates,  etc... could be more streamline) - some outside rovers control. 
Rover has been a real business for me and once I retire look forward to being a real business again. 
Rover is exactly what I was expecting.
I hope it looks similar.</t>
        </is>
      </c>
      <c r="R153" s="33" t="inlineStr">
        <is>
          <t>No</t>
        </is>
      </c>
      <c r="S153" s="33" t="n"/>
      <c r="T153" s="33" t="n"/>
      <c r="U153" s="33" t="n"/>
      <c r="V153" s="34">
        <f>IF($A153="","",IF('⚙️ Settings'!$B$1="","",INT(($A153-'⚙️ Settings'!$B$1)/7)+1))</f>
        <v/>
      </c>
    </row>
    <row r="154" ht="15" customHeight="1" s="26">
      <c r="A154" s="37" t="n">
        <v>46213</v>
      </c>
      <c r="B154" s="36" t="inlineStr">
        <is>
          <t>Tifany</t>
        </is>
      </c>
      <c r="C154" s="36" t="inlineStr">
        <is>
          <t>T</t>
        </is>
      </c>
      <c r="D154" s="36" t="inlineStr">
        <is>
          <t>Topic 4. My motivation to become a pet sitter</t>
        </is>
      </c>
      <c r="E154" s="36" t="n"/>
      <c r="G154" s="36" t="n"/>
      <c r="H154" s="36" t="n"/>
      <c r="I154" s="36" t="n"/>
      <c r="J154" s="36" t="n"/>
      <c r="K154" s="36" t="n"/>
      <c r="L154" s="36" t="n"/>
      <c r="M154" s="36" t="n"/>
      <c r="N154" s="36" t="n"/>
      <c r="O154" s="36" t="n"/>
      <c r="P154" s="36" t="n"/>
      <c r="Q154" s="36" t="inlineStr">
        <is>
          <t>What does being around animals mean to me personally? Well, I have a resident cat and she’s the best kitty in the whole wide world! I couldn’t love her more, she’s so beautiful and precious! My pride and joy! 
But really, I think I just love all animals. I should say, I care about all animals and don’t want any of them to get hurt or suffer. I don’t like bears, mountain lions, moose, while I’m out in the wild walking around — no thank you. But I do greatly enjoy them while I see them in the wild, and I’m safely in a car lol! 
But I think being around animals is just natural. And I mean, I’m into the Bible and a Creator God who loves us, and He made animals for us to care for them and enjoy them, so it just seems like a completely organic way to live our lives, you know? It’s so fun to see how they all have their own little personalities, so different from one another. 
What was my initial motivation for becoming a pet sitter— well, I think I mentioned this in the previous post, but it kind of happened to me by accident. I had always cared for my moms cats and dog when they went out of town, and I would care for friends pets along the way in life, but I had never considered it as a legitimate side job or a business. But once my friend asked me to housesit for them while they left the country for 23 days, I thought, “Wow, I could really do this longterm as a side job! I’m perfect for this!” I mean, I’m single, my adult daughter had just moved out, I was an empty nester with nothing left to do since my kiddo was no longer needing me, and I love animals. What was there to lose? 
If I could design my ideal relationship with work as a pet sitter, what would that look like? I mean, for me, I think the answer is exactly what I’m doing right now. There is enough work in this field for me currently that I don’t have to accept every single job that comes my way, and I also have the flexibly to keep this as a side job that works around my work schedule. I’ve learned A LOT by doing this now for 3 years — I know what I can say yes to and what I can say no to, and also that it’s okay to say no and not have to try to make myself fit the client if it’s not going to work. They always are able to find someone else and I used to feel so bad that I had to say no for whatever reason. 
I think the only down side is that Petsitting gigs are almost nothing between January and April. That can be really hard if you’re relying on the money to keep coming in. But I’m trying to plan for that deficit next year ahead of time. 
As far as the actual job with the pets goes, I love it. I think the pets are the easiest part of the job. The clients can be the ones that are a bit of a wild card here or there, but even that has been smooth over all. 
I’ve only had a few pets that I actually thought would bite me — but we made it work. 
But, long story short, my needs are: flexibility in schedule, and getting enough clients that I don’t have to take the clients I know I can’t please (aka, clients that won’t let me leave the house 24/7 for their pets, I am unable to do that and have learned to discuss that with clients before we ever agree to a booking). 
Is pet care something I want to grow into a business, keep as side income or something else? I think I’ve covered this extensively — I already have grown it into a side business on accident lol! I couldn’t be more pleased with that, except that it is a real bummer to be paying this much in self-employment tax at the end of the year lol! I don’t know how worth it that is yet — but I have to make the money, so I guess the juice is worth the squeeze. 
When I started on Rover, what was I expecting and how does it compare to what I actually got? Honestly, I thought I would meet a lot more weird people than I have met. I was mostly concerned about serial killers or axe murderers or people planting weird cameras in their house to spy on me. That probably sounds nuts, but the world is pretty crazy these days. But I was pleasantly surprised that most people are genuinely wonderful and I end up really liking them and vice versa! I haven’t had creepy stuff happen yet, and I’m usually really careful about the first meet and greet. 
A year from now, what would success as a pet sitter look like to me? Again, exactly what I’m doing, just maybe more clients and I’m trying to phase out of housesitting right now and move into boarding more pets in my home over all. I do want to keep housesitting as needed for the right circumstances, and for my regulars, of course, but overall, I want to spend time at my own home more often than not. Drop-ins are easy, boarding is easy, and all the rest of my services, but staying at other people’s homes all the time is really exhausting. I can’t get anything done at home, I’m always packing and unpacking, beds can be uncomfortable, and it just really disrupts my diet even because I’m not able to cook at someone else’s home like I cook at my own. I don’t want to dirty their kitchen because I have to clean meticulously afterward, you know, stuff like that. I also don’t like showering at their homes because I have to clean up after too — to make sure not a hair is left anywhere behind me. It’s just easier to be at my own home where if one of the long hairs from my head is left on the shower floor, it doesn’t bother anyone. And maybe that’s because I’m very detail oriented, but I notice all of those things before I leave a clients home and want it to look nice for them when they get back. I just get tired of being so overly sensitive to everything I touch. 
As far as pet sitting becoming more or less relevant to me, I think it would stay the same in my aspirations. I just think my services would include much less housesitting and more of other services offered:)</t>
        </is>
      </c>
      <c r="R154" s="36" t="inlineStr">
        <is>
          <t>No</t>
        </is>
      </c>
      <c r="S154" s="36" t="n"/>
      <c r="T154" s="36" t="n"/>
      <c r="U154" s="36" t="n"/>
      <c r="V154" s="34">
        <f>IF($A154="","",IF('⚙️ Settings'!$B$1="","",INT(($A154-'⚙️ Settings'!$B$1)/7)+1))</f>
        <v/>
      </c>
    </row>
    <row r="155" ht="15" customHeight="1" s="26">
      <c r="A155" s="38" t="n">
        <v>46213</v>
      </c>
      <c r="B155" s="33" t="inlineStr">
        <is>
          <t>Becky</t>
        </is>
      </c>
      <c r="C155" s="33" t="inlineStr">
        <is>
          <t>T</t>
        </is>
      </c>
      <c r="D155" s="33" t="inlineStr">
        <is>
          <t>Topic 4. My motivation to become a pet sitter</t>
        </is>
      </c>
      <c r="E155" s="33" t="n"/>
      <c r="G155" s="33" t="n"/>
      <c r="H155" s="33" t="n"/>
      <c r="I155" s="33" t="n"/>
      <c r="J155" s="33" t="n"/>
      <c r="K155" s="33" t="n"/>
      <c r="L155" s="33" t="n"/>
      <c r="M155" s="33" t="n"/>
      <c r="N155" s="33" t="n"/>
      <c r="O155" s="33" t="n"/>
      <c r="P155" s="33" t="n"/>
      <c r="Q155" s="33" t="inlineStr">
        <is>
          <t>I grew up with animals. My parents had dogs, there was a neighborhood cat that my mom fed, and we had bunnies at some point too. I remember visiting shelters sometimes just to look and see if we could pet the animals. I have also been volunteering at the Humane Society for over a decade. I spend a few hours every weekend socializing with and walking dogs to help get them ready for adoption. 
My initial motivation for joining Rover was just to mix things up and maybe make a little extra money. I didn’t need the money, but felt like I had some free time. While I was working from home, I figured there was nothing to lose!
I am pretty comfortable with my pet sitting at the moment. The money isn’t changing my lifestyle, but it provides a sense of ease knowing that I have extra that I can put directly into savings. And I’m making quite a bit more money than I expected to when I first signed up. 
Dog sitting also keeps me outside - when I don’t have a dog and the weather is bad, there are definitely days where I literally don’t even open my door. But when I have a dog, we have to go outside and walk. 
I plan on continuing to dog sit. However, someday if I move to a bigger house with a yard, I may decide to get my own dog and that would change my plans with sitting.</t>
        </is>
      </c>
      <c r="R155" s="33" t="inlineStr">
        <is>
          <t>No</t>
        </is>
      </c>
      <c r="S155" s="33" t="n"/>
      <c r="T155" s="33" t="n"/>
      <c r="U155" s="33" t="n"/>
      <c r="V155" s="34">
        <f>IF($A155="","",IF('⚙️ Settings'!$B$1="","",INT(($A155-'⚙️ Settings'!$B$1)/7)+1))</f>
        <v/>
      </c>
    </row>
    <row r="156" ht="15" customHeight="1" s="26">
      <c r="A156" s="37" t="n">
        <v>46214</v>
      </c>
      <c r="B156" s="36" t="inlineStr">
        <is>
          <t>Joey</t>
        </is>
      </c>
      <c r="C156" s="36" t="inlineStr">
        <is>
          <t>M</t>
        </is>
      </c>
      <c r="D156" s="36" t="inlineStr">
        <is>
          <t>Topic 4. My motivation to become a pet sitter</t>
        </is>
      </c>
      <c r="E156" s="36" t="n"/>
      <c r="G156" s="36" t="n"/>
      <c r="H156" s="36" t="n"/>
      <c r="I156" s="36" t="n"/>
      <c r="J156" s="36" t="n"/>
      <c r="K156" s="36" t="n"/>
      <c r="L156" s="36" t="n"/>
      <c r="M156" s="36" t="n"/>
      <c r="N156" s="36" t="n"/>
      <c r="O156" s="36" t="n"/>
      <c r="P156" s="36" t="n"/>
      <c r="Q156" s="36" t="inlineStr">
        <is>
          <t>To me, being around animals helps me relax and relieve the stress of work and daily life. I work in a people-focused job, but I’m also an introvert who needs quiet time to recharge. Spending time with pets gives me that balance and is something I genuinely enjoy.
My initial motivation for becoming a pet sitter was simple: I wanted to spend time with cats while earning some extra income doing something I love. I also wanted to experience what it’s really like to care for cats and learn the daily routines, as I’m considering getting a cat of my own in the future. At the moment, I’m not sure whether I’ll be able to commit to all the responsibilities of pet ownership, so pet sitting has been a great way to find out.
Ideally, I want pet sitting to complement my full-time job rather than become another source of stress. I’ve always seen it as a side income and a hobby that brings me joy, not a business I want to scale. I have long-term career goals that I want to pursue, so I don’t plan to turn pet sitting into my primary profession.
My experience with Rover has been very much what I expected. Because Rover is a well-known platform, it gave me exposure to potential clients and allowed me to get my first booking quickly. As someone who doesn’t own a cat, it would have been much harder to build trust and attract clients if I had started an independent pet-sitting business from scratch.
A year from now, I hope to have a group of regular clients and average about three to four drop-in visits per week. I enjoy building long-term relationships with both pets and their owners, and I appreciate becoming familiar with each pet’s personality and routine. While meeting new clients is rewarding, learning new routines and building trust from the beginning can also be tiring. Unless I make a major career change that significantly affects my schedule or lifestyle, I see pet sitting continuing as a fulfilling side job that fits well alongside my full-time career.</t>
        </is>
      </c>
      <c r="R156" s="36" t="inlineStr">
        <is>
          <t>No</t>
        </is>
      </c>
      <c r="S156" s="36" t="n"/>
      <c r="T156" s="36" t="n"/>
      <c r="U156" s="36" t="n"/>
      <c r="V156" s="34">
        <f>IF($A156="","",IF('⚙️ Settings'!$B$1="","",INT(($A156-'⚙️ Settings'!$B$1)/7)+1))</f>
        <v/>
      </c>
    </row>
    <row r="157" ht="15" customHeight="1" s="26">
      <c r="A157" s="38" t="n">
        <v>46216</v>
      </c>
      <c r="B157" s="33" t="inlineStr">
        <is>
          <t>Amy</t>
        </is>
      </c>
      <c r="C157" s="33" t="inlineStr">
        <is>
          <t>T</t>
        </is>
      </c>
      <c r="D157" s="33" t="inlineStr">
        <is>
          <t>Topic 4. My motivation to become a pet sitter</t>
        </is>
      </c>
      <c r="E157" s="33" t="n"/>
      <c r="G157" s="33" t="n"/>
      <c r="H157" s="33" t="n"/>
      <c r="I157" s="33" t="n"/>
      <c r="J157" s="33" t="n"/>
      <c r="K157" s="33" t="n"/>
      <c r="L157" s="33" t="n"/>
      <c r="M157" s="33" t="n"/>
      <c r="N157" s="33" t="n"/>
      <c r="O157" s="33" t="n"/>
      <c r="P157" s="33" t="n"/>
      <c r="Q157" s="33" t="inlineStr">
        <is>
          <t>Animals live in the moment. They don't ask for a lot and they will communicate if you take the time to respect their signals and take the time to interact in a way that creates a relationship between both of you. I find it a very grounding experience to interact with animals when there is a lot of human noise and chaos around me.
My motivation was to have pet interaction, practice new understanding of behavior and the extra cash. Having extra wiggle room in my retirement budget is great.
Ideal relationship- Right now it's pretty good. I'm able to set my client range to a comfortable 5 miles, I've had friendly and communicative clients who really care about their pet. The amount of work is good. It does get heavy at times, but because I have regulars, it's not so hard.
I see pet care as a side income right now. It gives me flexibility and balance with my other activities. 
When I started Rover, I wasn't 100% sure what to expect. I was a little nervous about meeting strangers at their home and the possibility that I would have to decline service after an awkward meet and greet. That has not been a problem- yet. As I had more meet and greets and experience,  I became more confident and Rover has lots of client info available to me. I also like that I get the email nudge from them asking "How did it go?"</t>
        </is>
      </c>
      <c r="R157" s="33" t="inlineStr">
        <is>
          <t>No</t>
        </is>
      </c>
      <c r="S157" s="33" t="n"/>
      <c r="T157" s="33" t="n"/>
      <c r="U157" s="33" t="n"/>
      <c r="V157" s="34">
        <f>IF($A157="","",IF('⚙️ Settings'!$B$1="","",INT(($A157-'⚙️ Settings'!$B$1)/7)+1))</f>
        <v/>
      </c>
    </row>
    <row r="158" ht="15" customHeight="1" s="26">
      <c r="A158" s="37" t="n">
        <v>46216</v>
      </c>
      <c r="B158" s="36" t="inlineStr">
        <is>
          <t>Amy</t>
        </is>
      </c>
      <c r="C158" s="36" t="inlineStr">
        <is>
          <t>T</t>
        </is>
      </c>
      <c r="D158" s="36" t="inlineStr">
        <is>
          <t>Topic 4. My motivation to become a pet sitter</t>
        </is>
      </c>
      <c r="E158" s="36" t="n"/>
      <c r="G158" s="36" t="n"/>
      <c r="H158" s="36" t="n"/>
      <c r="I158" s="36" t="n"/>
      <c r="J158" s="36" t="n"/>
      <c r="K158" s="36" t="n"/>
      <c r="L158" s="36" t="n"/>
      <c r="M158" s="36" t="n"/>
      <c r="N158" s="36" t="n"/>
      <c r="O158" s="36" t="n"/>
      <c r="P158" s="36" t="n"/>
      <c r="Q158" s="36" t="inlineStr">
        <is>
          <t>A year from now I would love to have my regulars because I've grown attached to them. Pet sitting would remain as relevant or slightly more so than it is now.</t>
        </is>
      </c>
      <c r="R158" s="36" t="inlineStr">
        <is>
          <t>No</t>
        </is>
      </c>
      <c r="S158" s="36" t="n"/>
      <c r="T158" s="36" t="n"/>
      <c r="U158" s="36" t="n"/>
      <c r="V158" s="34">
        <f>IF($A158="","",IF('⚙️ Settings'!$B$1="","",INT(($A158-'⚙️ Settings'!$B$1)/7)+1))</f>
        <v/>
      </c>
    </row>
    <row r="159" ht="15" customHeight="1" s="26">
      <c r="A159" s="38" t="n">
        <v>46216</v>
      </c>
      <c r="B159" s="33" t="inlineStr">
        <is>
          <t>Annabelle</t>
        </is>
      </c>
      <c r="C159" s="33" t="inlineStr">
        <is>
          <t>N</t>
        </is>
      </c>
      <c r="D159" s="33" t="inlineStr">
        <is>
          <t>Topic 4. My motivation to become a pet sitter</t>
        </is>
      </c>
      <c r="E159" s="33" t="n"/>
      <c r="G159" s="33" t="n"/>
      <c r="H159" s="33" t="n"/>
      <c r="I159" s="33" t="n"/>
      <c r="J159" s="33" t="n"/>
      <c r="K159" s="33" t="n"/>
      <c r="L159" s="33" t="n"/>
      <c r="M159" s="33" t="n"/>
      <c r="N159" s="33" t="n"/>
      <c r="O159" s="33" t="n"/>
      <c r="P159" s="33" t="n"/>
      <c r="Q159" s="33" t="inlineStr">
        <is>
          <t>Being around animals means joy and peace for me. My initial motivation for becoming a pet sitter, besides making money, was to spend time doing something I genuinely enjoy. My ideal relationship with the work as a pet sitter would be flexible and consistent. I will likely keep pet care as a side income. When I started on rover, I was expecting to gain clients with more ease and at least have one client by now. Success as a pet sitting provider would look like having consistent clients and bookings. Pet sitting would stay the same amount of relevant to me due to my status as a student still.</t>
        </is>
      </c>
      <c r="R159" s="33" t="inlineStr">
        <is>
          <t>No</t>
        </is>
      </c>
      <c r="S159" s="33" t="n"/>
      <c r="T159" s="33" t="n"/>
      <c r="U159" s="33" t="n"/>
      <c r="V159" s="34">
        <f>IF($A159="","",IF('⚙️ Settings'!$B$1="","",INT(($A159-'⚙️ Settings'!$B$1)/7)+1))</f>
        <v/>
      </c>
    </row>
    <row r="160" ht="15" customHeight="1" s="26">
      <c r="A160" s="37" t="n">
        <v>46216</v>
      </c>
      <c r="B160" s="36" t="inlineStr">
        <is>
          <t>Julia</t>
        </is>
      </c>
      <c r="C160" s="36" t="inlineStr">
        <is>
          <t>N</t>
        </is>
      </c>
      <c r="D160" s="36" t="inlineStr">
        <is>
          <t>Topic 4. My motivation to become a pet sitter</t>
        </is>
      </c>
      <c r="E160" s="36" t="n"/>
      <c r="G160" s="36" t="n"/>
      <c r="H160" s="36" t="n"/>
      <c r="I160" s="36" t="n"/>
      <c r="J160" s="36" t="n"/>
      <c r="K160" s="36" t="n"/>
      <c r="L160" s="36" t="n"/>
      <c r="M160" s="36" t="n"/>
      <c r="N160" s="36" t="n"/>
      <c r="O160" s="36" t="n"/>
      <c r="P160" s="36" t="n"/>
      <c r="Q160" s="36" t="inlineStr">
        <is>
          <t>I love being around animals and learning more about their unique personalities. Each pet is different and I like getting to know them and their quirks. For example, I’ve been around pets who love to play and snuggle, while some other pets prefer their space. 
My initial motivation for becoming a sitter is due to our family needing some more income. I brainstormed what ideas/skills I had to offer (while still being able to be a SAHM) and thought Rover would be a great fit for my current lifestyle.
My ideal design as a pet sitter would be to: 1.) sit for pets in my neighborhood and 2.) have repeat customers by creating good relationships with them. This combination is a great way to meet others in my community and build strong relationships with neighbors in those communities. 
For right now, pet care is something I want to keep as a side income. But I would be happy to grow it into a real business at some time in the future. I love the flexibility this job could bring. 
I was expecting to get very minimal requests right away when I joined Rover, but that hasn’t been the case. Mainly because I live in a smaller city a little outside of the metro area. I have gotten 1+ requests a week since I have joined so far. I have been happily surprised. 
A year from now, success would look like this: several repeat customers, more new bookings, both of which would allow me to raise my prices slightly and make more profit. Also, I think (and hope) pet sitting will be even more relevant to me in the future as I grow my business.</t>
        </is>
      </c>
      <c r="R160" s="36" t="inlineStr">
        <is>
          <t>No</t>
        </is>
      </c>
      <c r="S160" s="36" t="n"/>
      <c r="T160" s="36" t="n"/>
      <c r="U160" s="36" t="n"/>
      <c r="V160" s="34">
        <f>IF($A160="","",IF('⚙️ Settings'!$B$1="","",INT(($A160-'⚙️ Settings'!$B$1)/7)+1))</f>
        <v/>
      </c>
    </row>
    <row r="161" ht="15" customHeight="1" s="26">
      <c r="A161" s="38" t="n">
        <v>46216</v>
      </c>
      <c r="B161" s="33" t="inlineStr">
        <is>
          <t>Naomi</t>
        </is>
      </c>
      <c r="C161" s="33" t="inlineStr">
        <is>
          <t>M</t>
        </is>
      </c>
      <c r="D161" s="33" t="inlineStr">
        <is>
          <t>Topic 4. My motivation to become a pet sitter</t>
        </is>
      </c>
      <c r="E161" s="33" t="n"/>
      <c r="G161" s="33" t="n"/>
      <c r="H161" s="33" t="n"/>
      <c r="I161" s="33" t="n"/>
      <c r="J161" s="33" t="n"/>
      <c r="K161" s="33" t="n"/>
      <c r="L161" s="33" t="n"/>
      <c r="M161" s="33" t="n"/>
      <c r="N161" s="33" t="n"/>
      <c r="O161" s="33" t="n"/>
      <c r="P161" s="33" t="n"/>
      <c r="Q161" s="33" t="inlineStr">
        <is>
          <t>I enjoy spending time with dogs. Characteristics that I think help me dogsit well are being patient, affectionate and clean. I was motivated to start dogsitting initially because my friend asked me to. When he moved to Cali with his 4 dogs I felt like I could make some extra income since I was already set up to handle 4 dogs, 3 of which were special needs.</t>
        </is>
      </c>
      <c r="R161" s="33" t="inlineStr">
        <is>
          <t>No</t>
        </is>
      </c>
      <c r="S161" s="33" t="n"/>
      <c r="T161" s="33" t="n"/>
      <c r="U161" s="33" t="n"/>
      <c r="V161" s="34">
        <f>IF($A161="","",IF('⚙️ Settings'!$B$1="","",INT(($A161-'⚙️ Settings'!$B$1)/7)+1))</f>
        <v/>
      </c>
    </row>
    <row r="162" ht="15" customHeight="1" s="26">
      <c r="A162" s="37" t="n">
        <v>46216</v>
      </c>
      <c r="B162" s="36" t="inlineStr">
        <is>
          <t>Naomi</t>
        </is>
      </c>
      <c r="C162" s="36" t="inlineStr">
        <is>
          <t>M</t>
        </is>
      </c>
      <c r="D162" s="36" t="inlineStr">
        <is>
          <t>Topic 4. My motivation to become a pet sitter</t>
        </is>
      </c>
      <c r="E162" s="36" t="n"/>
      <c r="G162" s="36" t="n"/>
      <c r="H162" s="36" t="n"/>
      <c r="I162" s="36" t="n"/>
      <c r="J162" s="36" t="n"/>
      <c r="K162" s="36" t="n"/>
      <c r="L162" s="36" t="n"/>
      <c r="M162" s="36" t="n"/>
      <c r="N162" s="36" t="n"/>
      <c r="O162" s="36" t="n"/>
      <c r="P162" s="36" t="n"/>
      <c r="Q162" s="36" t="inlineStr">
        <is>
          <t>I took a break and downsized my load recently. I would like to build it back up with dogs who can play together, who do not have separation anxiety and who are not destructive</t>
        </is>
      </c>
      <c r="R162" s="36" t="inlineStr">
        <is>
          <t>No</t>
        </is>
      </c>
      <c r="S162" s="36" t="n"/>
      <c r="T162" s="36" t="n"/>
      <c r="U162" s="36" t="n"/>
      <c r="V162" s="34">
        <f>IF($A162="","",IF('⚙️ Settings'!$B$1="","",INT(($A162-'⚙️ Settings'!$B$1)/7)+1))</f>
        <v/>
      </c>
    </row>
    <row r="163" ht="15" customHeight="1" s="26">
      <c r="A163" s="38" t="n">
        <v>46216</v>
      </c>
      <c r="B163" s="33" t="inlineStr">
        <is>
          <t>Naomi</t>
        </is>
      </c>
      <c r="C163" s="33" t="inlineStr">
        <is>
          <t>M</t>
        </is>
      </c>
      <c r="D163" s="33" t="inlineStr">
        <is>
          <t>Topic 4. My motivation to become a pet sitter</t>
        </is>
      </c>
      <c r="E163" s="33" t="n"/>
      <c r="G163" s="33" t="n"/>
      <c r="H163" s="33" t="n"/>
      <c r="I163" s="33" t="n"/>
      <c r="J163" s="33" t="n"/>
      <c r="K163" s="33" t="n"/>
      <c r="L163" s="33" t="n"/>
      <c r="M163" s="33" t="n"/>
      <c r="N163" s="33" t="n"/>
      <c r="O163" s="33" t="n"/>
      <c r="P163" s="33" t="n"/>
      <c r="Q163" s="33" t="inlineStr">
        <is>
          <t>Rover was more or less what I was expecting. The one major difference I have seen is that the dogs on Rover are more likely to have special needs.</t>
        </is>
      </c>
      <c r="R163" s="33" t="inlineStr">
        <is>
          <t>No</t>
        </is>
      </c>
      <c r="S163" s="33" t="n"/>
      <c r="T163" s="33" t="n"/>
      <c r="U163" s="33" t="n"/>
      <c r="V163" s="34">
        <f>IF($A163="","",IF('⚙️ Settings'!$B$1="","",INT(($A163-'⚙️ Settings'!$B$1)/7)+1))</f>
        <v/>
      </c>
    </row>
    <row r="164" ht="15" customHeight="1" s="26">
      <c r="A164" s="37" t="n">
        <v>46216</v>
      </c>
      <c r="B164" s="36" t="inlineStr">
        <is>
          <t>Naomi</t>
        </is>
      </c>
      <c r="C164" s="36" t="inlineStr">
        <is>
          <t>M</t>
        </is>
      </c>
      <c r="D164" s="36" t="inlineStr">
        <is>
          <t>Topic 4. My motivation to become a pet sitter</t>
        </is>
      </c>
      <c r="E164" s="36" t="n"/>
      <c r="G164" s="36" t="n"/>
      <c r="H164" s="36" t="n"/>
      <c r="I164" s="36" t="n"/>
      <c r="J164" s="36" t="n"/>
      <c r="K164" s="36" t="n"/>
      <c r="L164" s="36" t="n"/>
      <c r="M164" s="36" t="n"/>
      <c r="N164" s="36" t="n"/>
      <c r="O164" s="36" t="n"/>
      <c r="P164" s="36" t="n"/>
      <c r="Q164" s="36" t="inlineStr">
        <is>
          <t>In the past I allowed one of my tenants to dogsit. At the most we had 15 dogs in one day. I realized I don't want that many dogs in my house and I'm not, at the moment, interested in building the business to the degree that I would need a commercial space.</t>
        </is>
      </c>
      <c r="R164" s="36" t="inlineStr">
        <is>
          <t>No</t>
        </is>
      </c>
      <c r="S164" s="36" t="n"/>
      <c r="T164" s="36" t="n"/>
      <c r="U164" s="36" t="n"/>
      <c r="V164" s="34">
        <f>IF($A164="","",IF('⚙️ Settings'!$B$1="","",INT(($A164-'⚙️ Settings'!$B$1)/7)+1))</f>
        <v/>
      </c>
    </row>
    <row r="165" ht="15" customHeight="1" s="26">
      <c r="A165" s="38" t="n">
        <v>46217</v>
      </c>
      <c r="B165" s="33" t="inlineStr">
        <is>
          <t>Andrew</t>
        </is>
      </c>
      <c r="C165" s="33" t="inlineStr">
        <is>
          <t>T</t>
        </is>
      </c>
      <c r="D165" s="33" t="inlineStr">
        <is>
          <t>Topic 4. My motivation to become a pet sitter</t>
        </is>
      </c>
      <c r="E165" s="33" t="n"/>
      <c r="G165" s="33" t="n"/>
      <c r="H165" s="33" t="n"/>
      <c r="I165" s="33" t="n"/>
      <c r="J165" s="33" t="n"/>
      <c r="K165" s="33" t="n"/>
      <c r="L165" s="33" t="n"/>
      <c r="M165" s="33" t="n"/>
      <c r="N165" s="33" t="n"/>
      <c r="O165" s="33" t="n"/>
      <c r="P165" s="33" t="n"/>
      <c r="Q165" s="33" t="inlineStr">
        <is>
          <t>I enjoy dogs and understand them pretty well. My motivation is that, in this society, if you don’t have any money, you have to die. And I only want to die a little bit at the moment 
I don’t know what that means. 
No. 
I was expecting to take care of some dogs. 
I don’t know. I don’t think like that but seems seems demented.</t>
        </is>
      </c>
      <c r="R165" s="33" t="inlineStr">
        <is>
          <t>No</t>
        </is>
      </c>
      <c r="S165" s="33" t="n"/>
      <c r="T165" s="33" t="n"/>
      <c r="U165" s="33" t="n"/>
      <c r="V165" s="34">
        <f>IF($A165="","",IF('⚙️ Settings'!$B$1="","",INT(($A165-'⚙️ Settings'!$B$1)/7)+1))</f>
        <v/>
      </c>
    </row>
    <row r="166" ht="15" customHeight="1" s="26">
      <c r="A166" s="37" t="n">
        <v>46218</v>
      </c>
      <c r="B166" s="36" t="inlineStr">
        <is>
          <t>Bruna</t>
        </is>
      </c>
      <c r="C166" s="36" t="inlineStr">
        <is>
          <t>T</t>
        </is>
      </c>
      <c r="D166" s="36" t="inlineStr">
        <is>
          <t>Topic 4. My motivation to become a pet sitter</t>
        </is>
      </c>
      <c r="E166" s="36" t="n"/>
      <c r="G166" s="36" t="n"/>
      <c r="H166" s="36" t="n"/>
      <c r="I166" s="36" t="n"/>
      <c r="J166" s="36" t="n"/>
      <c r="K166" s="36" t="n"/>
      <c r="L166" s="36" t="n"/>
      <c r="M166" s="36" t="n"/>
      <c r="N166" s="36" t="n"/>
      <c r="O166" s="36" t="n"/>
      <c r="P166" s="36" t="n"/>
      <c r="Q166" s="36" t="inlineStr">
        <is>
          <t>Being around dogs has always been deeply important to me. My own dog was a huge part of my life, and dogs have always been a source of connection and comfort for me. I have also always been very interested in how dogs communicate, their individual personalities and the way their behaviour changes depending on their environment and experiences.
I first started pet sitting when I moved to Canada. I wasn’t able to bring my own dog with me for the first six months, and I missed being around dogs very much. Rover became a way for me to connect with dogs and have them in my life while my own dog wasn’t physically with me.
I later took a break from pet sitting for a year or two. After my dog passed away, I came back to it, again partly because I wanted dogs to be a part of my life. At that point, spending time with and caring for other dogs helped me reconnect with something that was very important to me.
I was already interested in canine behaviour, body language and enrichment, but caring for many different dogs gave me a lot of opportunities to observe those things in real life. Every dog had a different personality, different needs and different ways of coping with the environment. Over time, my interest became much more serious and eventually led me to pursue further education in dog behaviour and training and build my professional career around working with dogs.
My ideal relationship with pet sitting today is very intentional. I prefer home-based care where I can really get to know each dog, understand their individual needs and provide a calm and structured environment. I don’t want to care for the highest possible volume of dogs. I especially enjoy caring for dogs who may be anxious, fearful, reactive or simply not well suited to a traditional daycare or kennel environment.
Pet care has already grown into a real business for me, and my work now also includes professional dog training. Boarding remains important to me because it allows me to combine daily care with my knowledge of dog behaviour and provide a very individualized experience.
When I first joined Rover, I wasn’t expecting it to become part of my career. I was simply looking for a way to be around dogs while my own dog was not with me. What I actually got was years of experience caring for many different dogs and the opportunity to develop an interest I already had into something much more serious and professional.
A year from now, success would mean continuing to grow my business while becoming even more intentional about the dogs I board. I would rather build strong relationships with repeat clients and provide high-quality individualized care than simply increase the number of dogs I take. I expect boarding to remain relevant to me as one part of my broader professional career working with dogs.</t>
        </is>
      </c>
      <c r="R166" s="36" t="inlineStr">
        <is>
          <t>No</t>
        </is>
      </c>
      <c r="S166" s="36" t="n"/>
      <c r="T166" s="36" t="n"/>
      <c r="U166" s="36" t="n"/>
      <c r="V166" s="34">
        <f>IF($A166="","",IF('⚙️ Settings'!$B$1="","",INT(($A166-'⚙️ Settings'!$B$1)/7)+1))</f>
        <v/>
      </c>
    </row>
    <row r="167" ht="15" customHeight="1" s="26">
      <c r="A167" s="38" t="n">
        <v>46218</v>
      </c>
      <c r="B167" s="33" t="inlineStr">
        <is>
          <t>Ashley</t>
        </is>
      </c>
      <c r="C167" s="33" t="inlineStr">
        <is>
          <t>N</t>
        </is>
      </c>
      <c r="D167" s="33" t="inlineStr">
        <is>
          <t>Topic 4. My motivation to become a pet sitter</t>
        </is>
      </c>
      <c r="E167" s="33" t="n"/>
      <c r="G167" s="33" t="n"/>
      <c r="H167" s="33" t="n"/>
      <c r="I167" s="33" t="n"/>
      <c r="J167" s="33" t="n"/>
      <c r="K167" s="33" t="n"/>
      <c r="L167" s="33" t="n"/>
      <c r="M167" s="33" t="n"/>
      <c r="N167" s="33" t="n"/>
      <c r="O167" s="33" t="n"/>
      <c r="P167" s="33" t="n"/>
      <c r="Q167" s="33" t="inlineStr">
        <is>
          <t>1. Being around animals means that I get to take a break from the real world and be in their world. Full of curiosity, playfulness, unconditional love, extra cuddles, extra kisses, relaxation, and being able to be a kid again.
2. My first initial motivation to become a pet sitter was being able to give their owners a chance to take care of responsibilities and trust that someone like me is caring for their baby the same way they would if not more.
3. My ideal relationship would be clear and honest communication, consistency, and reliability.
4. I’d like to grow into a real business to where I can just work part time at my other job. Once my business grows full-time, then I’d definitely love to be a sitter full time. 
5. I was expecting at least 5 bookings per week my first few months but unfortunately I only got one and it was outside of my zone. I would have done it had it not been at 10pm at night.
6. A year from now I’d be advertising my business, sharing reviews from current clients, start a Facebook page to let others know that I’m on Rover which is where I’d also post photos and reviews. And I’d be managing 10-15 bookings a week max.</t>
        </is>
      </c>
      <c r="R167" s="33" t="inlineStr">
        <is>
          <t>No</t>
        </is>
      </c>
      <c r="S167" s="33" t="n"/>
      <c r="T167" s="33" t="n"/>
      <c r="U167" s="33" t="n"/>
      <c r="V167" s="34">
        <f>IF($A167="","",IF('⚙️ Settings'!$B$1="","",INT(($A167-'⚙️ Settings'!$B$1)/7)+1))</f>
        <v/>
      </c>
    </row>
    <row r="168" ht="15" customHeight="1" s="26">
      <c r="A168" s="37" t="n">
        <v>46218</v>
      </c>
      <c r="B168" s="36" t="inlineStr">
        <is>
          <t>Rachel</t>
        </is>
      </c>
      <c r="C168" s="36" t="inlineStr">
        <is>
          <t>N</t>
        </is>
      </c>
      <c r="D168" s="36" t="inlineStr">
        <is>
          <t>Topic 4. My motivation to become a pet sitter</t>
        </is>
      </c>
      <c r="E168" s="36" t="n"/>
      <c r="G168" s="36" t="n"/>
      <c r="H168" s="36" t="n"/>
      <c r="I168" s="36" t="n"/>
      <c r="J168" s="36" t="n"/>
      <c r="K168" s="36" t="n"/>
      <c r="L168" s="36" t="n"/>
      <c r="M168" s="36" t="n"/>
      <c r="N168" s="36" t="n"/>
      <c r="O168" s="36" t="n"/>
      <c r="P168" s="36" t="n"/>
      <c r="Q168" s="36" t="inlineStr">
        <is>
          <t>Being around loving animals has been so helpful for my mood and general mental health. I love having a fluffy to talk to, cuddle, and spend time with. I absolutely adore my dog, Oliver, but I don't get to see him too often, so it's nice to be around other cute animals. I especially love dogs!
My motivation to become a pet sitter was that it seemed like a win win- I can spend time with cute animals that would make me happy, give me something fun/ easy/ productive to do if I have nothing else going on, and make a little extra money along the way! My friends really recommended it and have had fun while also making money this way. 
I have a full time job so ideally I’d work as a pet sitter at my leisure when I have free time after work or on the weekends. I’d probably only want to commit to max 2 hours during these times and 1-2 times per week. I like the idea of using this to fill my time but also make a little bit of money!
No, I’m not interested in pet care as a more formal business. For me, this is just for fun!
Even though I just was approved recently on Rover, I definitely expected it would be easier for me to get clients. I thought I’d have a few roll in and would quickly get good reviews to then get more clients. I haven’t had one request in the month or so I’ve been approved. It’s a little disappointing.
Success would look like having a few bookings per week that I can do when I want to play with a dog or have open time in my schedule! In this scenario pet sitting would become more relevant since I’m starting at 0 right now.</t>
        </is>
      </c>
      <c r="R168" s="36" t="inlineStr">
        <is>
          <t>No</t>
        </is>
      </c>
      <c r="S168" s="36" t="n"/>
      <c r="T168" s="36" t="n"/>
      <c r="U168" s="36" t="n"/>
      <c r="V168" s="34">
        <f>IF($A168="","",IF('⚙️ Settings'!$B$1="","",INT(($A168-'⚙️ Settings'!$B$1)/7)+1))</f>
        <v/>
      </c>
    </row>
    <row r="169" ht="15" customHeight="1" s="26">
      <c r="A169" s="38" t="n">
        <v>46219</v>
      </c>
      <c r="B169" s="33" t="inlineStr">
        <is>
          <t>Colin</t>
        </is>
      </c>
      <c r="C169" s="33" t="inlineStr">
        <is>
          <t>T</t>
        </is>
      </c>
      <c r="D169" s="33" t="inlineStr">
        <is>
          <t>Topic 4. My motivation to become a pet sitter</t>
        </is>
      </c>
      <c r="E169" s="33" t="n"/>
      <c r="G169" s="33" t="n"/>
      <c r="H169" s="33" t="n"/>
      <c r="I169" s="33" t="n"/>
      <c r="J169" s="33" t="n"/>
      <c r="K169" s="33" t="n"/>
      <c r="L169" s="33" t="n"/>
      <c r="M169" s="33" t="n"/>
      <c r="N169" s="33" t="n"/>
      <c r="O169" s="33" t="n"/>
      <c r="P169" s="33" t="n"/>
      <c r="Q169" s="33" t="inlineStr">
        <is>
          <t>I grew up with two dogs in our home and many friends and family also had dogs or other pets, so I have always loved being around them. Even as a teenager, neighbors would ask me to house-sit for them and I liked the responsibility of being a caretaker for their home and pets. 
When we first joined Rover, I didn’t know what to expect. I knew we would get offers for walks, but boarding and housesitting are very different and require more trust. I was initially surprised with how many boarding requests we received, but it soon made sense from a pet owner’s perspective: I would also prefer my dog to be boarded locally with a caring person in a safe environment, as opposed to a doggy daycare where there are so many unknowns. Being a pet owner, I  know the anxieties about leaving my special buddy with a stranger, which is why we have a such a fun but serious and professional approach to pet care. 
 For a few months during the summertime, we were receiving multiple requests each week and had to turn down several for various reasons. We had a very nice flow of new and repeat clients, fun dogs, and a nice side income. 
These days, for as much as I love dogs and caring for them, my lifestyle isn’t compatible to make it full-time or even scale it in the hopes of earning more money. It was extremely fun and rewarding to board and take care of so many dogs, but with our own new dog in our home and all of the changes that brings, it’s not feasible to make Rover full-time right now. House-sitting jobs take me away from my own home and family, leaving my wife alone to take care of our home. We can handle this for a week or so at a time, but any longer than that quickly becomes difficult to juggle for us.</t>
        </is>
      </c>
      <c r="R169" s="33" t="inlineStr">
        <is>
          <t>No</t>
        </is>
      </c>
      <c r="S169" s="33" t="n"/>
      <c r="T169" s="33" t="n"/>
      <c r="U169" s="33" t="n"/>
      <c r="V169" s="34">
        <f>IF($A169="","",IF('⚙️ Settings'!$B$1="","",INT(($A169-'⚙️ Settings'!$B$1)/7)+1))</f>
        <v/>
      </c>
    </row>
    <row r="170" ht="15" customHeight="1" s="26">
      <c r="A170" s="37" t="n">
        <v>46219</v>
      </c>
      <c r="B170" s="36" t="inlineStr">
        <is>
          <t>Jilian</t>
        </is>
      </c>
      <c r="C170" s="36" t="inlineStr">
        <is>
          <t>N</t>
        </is>
      </c>
      <c r="D170" s="36" t="inlineStr">
        <is>
          <t>Topic 4. My motivation to become a pet sitter</t>
        </is>
      </c>
      <c r="E170" s="36" t="n"/>
      <c r="G170" s="36" t="n"/>
      <c r="H170" s="36" t="n"/>
      <c r="I170" s="36" t="n"/>
      <c r="J170" s="36" t="n"/>
      <c r="K170" s="36" t="n"/>
      <c r="L170" s="36" t="n"/>
      <c r="M170" s="36" t="n"/>
      <c r="N170" s="36" t="n"/>
      <c r="O170" s="36" t="n"/>
      <c r="P170" s="36" t="n"/>
      <c r="Q170" s="36" t="inlineStr">
        <is>
          <t>Being around animals is regulating for me and brings me a lot of joy. I feel connected to them. I wanted to pet sit because it combined something I loved with being compensated for it! Ideally I’d like to be able to do more house sitting jobs that are more local to me. I want pet care to continue being a side income. When I started on rover I didn’t expect to get much outreach but I actually have gotten quite a lot. A year from now success would look like sitting about 6 dogs through rover a month.</t>
        </is>
      </c>
      <c r="R170" s="36" t="inlineStr">
        <is>
          <t>No</t>
        </is>
      </c>
      <c r="S170" s="36" t="n"/>
      <c r="T170" s="36" t="n"/>
      <c r="U170" s="36" t="n"/>
      <c r="V170" s="34">
        <f>IF($A170="","",IF('⚙️ Settings'!$B$1="","",INT(($A170-'⚙️ Settings'!$B$1)/7)+1))</f>
        <v/>
      </c>
    </row>
    <row r="171" ht="15" customHeight="1" s="26">
      <c r="A171" s="38" t="n">
        <v>46219</v>
      </c>
      <c r="B171" s="33" t="inlineStr">
        <is>
          <t>Megan</t>
        </is>
      </c>
      <c r="C171" s="33" t="inlineStr">
        <is>
          <t>M</t>
        </is>
      </c>
      <c r="D171" s="33" t="inlineStr">
        <is>
          <t>Topic 4. My motivation to become a pet sitter</t>
        </is>
      </c>
      <c r="E171" s="33" t="n"/>
      <c r="G171" s="33" t="n"/>
      <c r="H171" s="33" t="n"/>
      <c r="I171" s="33" t="n"/>
      <c r="J171" s="33" t="n"/>
      <c r="K171" s="33" t="n"/>
      <c r="L171" s="33" t="n"/>
      <c r="M171" s="33" t="n"/>
      <c r="N171" s="33" t="n"/>
      <c r="O171" s="33" t="n"/>
      <c r="P171" s="33" t="n"/>
      <c r="Q171" s="33" t="inlineStr">
        <is>
          <t>What does being around animals mean to you personally?
Being around animals allows me to see the world from a different perspective than my own. The way they interact with the world is completely different from how we do, and I find it fascinating to pay attention to. Every animal has its own personality, way of communicating, and way of experiencing life. I enjoy slowing down, observing those differences, and building trust with them.
What was your initial motivation for becoming a pet sitter?
I became a pet sitter to supplement my income by doing something I thought would bring me joy, and it absolutely does. Pet sitting also gives me the flexibility to continue focusing on my energy healing and spiritual growth while doing work that feels meaningful. It has been a great balance of earning an income while spending time with animals.
If you could design your ideal relationship with the work as a pet sitter, what would it look like?
My ideal pet sitting business would consist mainly of house sitting and dropin visits. I like spending quality time with pets in their own homes and building long term relationships with clients. I’d love to have a consistent schedule of clients who trust me and know their pets are in good hands.
Is pet care something you want to grow more into a real business, keep as side income, or something else?
I would like to continue growing my pet sitting business. My goal is to build a loyal client base and eventually establish myself after I move to British Columbia. I see pet sitting becoming an important part of my income while still allowing me the flexibility to pursue my other interests.
Specifically with regards to Rover: When you started on Rover, what were you expecting? How does that compare to what you actually got?
I expected Rover to help me find clients, and it definitely has. What surprised me was that there wasn’t much guidance for new sitters. I expected more information about how to conduct a meet and greet, what typically happens during one, what questions to ask clients, and what information I should be gathering before accepting a booking. I learned most of that through experience, and I think having more resources for new sitters would have made the process feel less intimidating.
A year from now, what would success as a pet sitting provider look like to you?
A year from now, success would mean having a steady group of repeat clients who trust me and regularly book my services. I hope to have relocated to British Columbia and built a strong client base there. More than anything, I want pet sitting to continue bringing me joy while giving me the flexibility to create a life that aligns with my values and other passions.</t>
        </is>
      </c>
      <c r="R171" s="33" t="inlineStr">
        <is>
          <t>No</t>
        </is>
      </c>
      <c r="S171" s="33" t="n"/>
      <c r="T171" s="33" t="n"/>
      <c r="U171" s="33" t="n"/>
      <c r="V171" s="34">
        <f>IF($A171="","",IF('⚙️ Settings'!$B$1="","",INT(($A171-'⚙️ Settings'!$B$1)/7)+1))</f>
        <v/>
      </c>
    </row>
    <row r="172" ht="15" customHeight="1" s="26">
      <c r="A172" s="37" t="n">
        <v>46220</v>
      </c>
      <c r="B172" s="36" t="inlineStr">
        <is>
          <t>Caroline</t>
        </is>
      </c>
      <c r="C172" s="36" t="inlineStr">
        <is>
          <t>M</t>
        </is>
      </c>
      <c r="D172" s="36" t="inlineStr">
        <is>
          <t>Topic 4. My motivation to become a pet sitter</t>
        </is>
      </c>
      <c r="E172" s="36" t="n"/>
      <c r="G172" s="36" t="n"/>
      <c r="H172" s="36" t="n"/>
      <c r="I172" s="36" t="n"/>
      <c r="J172" s="36" t="n"/>
      <c r="K172" s="36" t="n"/>
      <c r="L172" s="36" t="n"/>
      <c r="M172" s="36" t="n"/>
      <c r="N172" s="36" t="n"/>
      <c r="O172" s="36" t="n"/>
      <c r="P172" s="36" t="n"/>
      <c r="Q172" s="36" t="inlineStr">
        <is>
          <t>1. I absolutely adore being around animals. I respect their individuality and unconditional love. Animals have always loved me too and I have taken classes on how to communicate with animals telepathically. I have had a dog non-stop since I was 6 so over 30+ years. I feel like animals get my soul essence and they can read that I am an animal lover. 2. Since the loss of my dog I miss having that connection so much which is a reason why I started with rover. I was initially motivated to start Rover to get some extra side income and since I was new to this town I thought it would be a great way to meet people. A lot of people here are older and I thought they may need help walking their animals. I thought also that it would tie to my strengths of working with animals and that I would be very good at it. Plus my best friend did rover for a year or so and I heard all about her experiences. 3. My ideal relationship would be to make $200-$300 a week with an established clientele and well behaved pets that know me and have regulars that need drop-ins, walks 2-3 times a week and house sitting bookings averaging 2-3 nights every other week. Receiving new clients that I take the time to vet out to make sure they are a fit. 4. I would like to grow my pet sitting into a real business as stated above to have steady income each week while I launch my two businesses. 5. I was expecting clients right out of the gate with requests coming at least 2-3 a week. What I got was no requests for almost 6 months ( I think this was because I did not have any reviews and I was not aware there were so many other people in town doing Rover and some young people that have very low rates I was and am being compared to. 6. Pet sitting would be more relevnt for me. I love the fact that I can switch location so when I go to Florida for the winter time I can still keep my account active and just change the location once I am there as that is the only way I.e there is no way I know of to have two locations for clients to book in regards to dates that would be awesome if I could have two locations that I set my Calander to to allow for booking ahead of time. Success would look like answer #3 established regulars where the pets know me and I can develop a friendship with both the pets and pet parents!</t>
        </is>
      </c>
      <c r="R172" s="36" t="inlineStr">
        <is>
          <t>No</t>
        </is>
      </c>
      <c r="S172" s="36" t="n"/>
      <c r="T172" s="36" t="n"/>
      <c r="U172" s="36" t="n"/>
      <c r="V172" s="34">
        <f>IF($A172="","",IF('⚙️ Settings'!$B$1="","",INT(($A172-'⚙️ Settings'!$B$1)/7)+1))</f>
        <v/>
      </c>
    </row>
    <row r="173" ht="15" customHeight="1" s="26">
      <c r="A173" s="38" t="n">
        <v>46221</v>
      </c>
      <c r="B173" s="33" t="inlineStr">
        <is>
          <t>Emily</t>
        </is>
      </c>
      <c r="C173" s="33" t="inlineStr">
        <is>
          <t>N</t>
        </is>
      </c>
      <c r="D173" s="33" t="inlineStr">
        <is>
          <t>Topic 4. My motivation to become a pet sitter</t>
        </is>
      </c>
      <c r="E173" s="33" t="n"/>
      <c r="G173" s="33" t="n"/>
      <c r="H173" s="33" t="n"/>
      <c r="I173" s="33" t="n"/>
      <c r="J173" s="33" t="n"/>
      <c r="K173" s="33" t="n"/>
      <c r="L173" s="33" t="n"/>
      <c r="M173" s="33" t="n"/>
      <c r="N173" s="33" t="n"/>
      <c r="O173" s="33" t="n"/>
      <c r="P173" s="33" t="n"/>
      <c r="Q173" s="33" t="inlineStr">
        <is>
          <t>I’ve always loved being around animals, and getting my own dog, Matilda, has only strengthened that. Spending time with dogs is something I genuinely enjoy, whether that’s going for long walks, exploring new places, or just hanging out at home. I also know firsthand how much trust it takes to leave your dog with someone else, so I understand how important it is to be reliable and communicative.
My initial motivation for becoming a pet sitter was a combination of wanting to spend more time with dogs and finding a flexible way to earn some extra income while I look for my next full-time marketing role after moving back to Seattle. It felt like a great opportunity to do something I enjoy while helping other pet owners.
Ideally, I’d love to build a small group of regular clients whose dogs I get to know over time. I don’t see pet sitting replacing my marketing career, but I’d love for it to remain a meaningful side business even after I return to full-time work.
Since I’m still new to offering services on Rover, I haven’t had any bookings yet, so I can’t really compare my expectations with the reality just yet. My hope was that Rover would be a good way to connect with local pet owners and build trust over time, and I’m excited to see where it goes.
A year from now, success would mean having a handful of regular clients who trust me with their pets and being able to continue pet sitting alongside my career. For me, it’s less about turning it into a full-time business and more about staying connected to something that brings me joy while helping people care for their dogs.</t>
        </is>
      </c>
      <c r="R173" s="33" t="inlineStr">
        <is>
          <t>No</t>
        </is>
      </c>
      <c r="S173" s="33" t="n"/>
      <c r="T173" s="33" t="n"/>
      <c r="U173" s="33" t="n"/>
      <c r="V173" s="34">
        <f>IF($A173="","",IF('⚙️ Settings'!$B$1="","",INT(($A173-'⚙️ Settings'!$B$1)/7)+1))</f>
        <v/>
      </c>
    </row>
    <row r="174" ht="15" customHeight="1" s="26">
      <c r="A174" s="37" t="n">
        <v>46221</v>
      </c>
      <c r="B174" s="36" t="inlineStr">
        <is>
          <t>David</t>
        </is>
      </c>
      <c r="C174" s="36" t="inlineStr">
        <is>
          <t>N</t>
        </is>
      </c>
      <c r="D174" s="36" t="inlineStr">
        <is>
          <t>Topic 4. My motivation to become a pet sitter</t>
        </is>
      </c>
      <c r="E174" s="36" t="n"/>
      <c r="G174" s="36" t="n"/>
      <c r="H174" s="36" t="n"/>
      <c r="I174" s="36" t="n"/>
      <c r="J174" s="36" t="n"/>
      <c r="K174" s="36" t="n"/>
      <c r="L174" s="36" t="n"/>
      <c r="M174" s="36" t="n"/>
      <c r="N174" s="36" t="n"/>
      <c r="O174" s="36" t="n"/>
      <c r="P174" s="36" t="n"/>
      <c r="Q174" s="36" t="inlineStr">
        <is>
          <t>-being around animals brings me joy. I love taking care of them and getting to know them. 
-friends asked me to sit for them so I did and really enjoyed it. 
-i would want to go to my job and sit when I'm off work. Like two ships in the night. 
-i love having pet care as a side hustle but I don't think it would be sustainable enough for my main job 
-when I started on Rover I expected more options and booking opportunities with time in advance but the majority of the requests are last minute and usually require quick action.
-</t>
        </is>
      </c>
      <c r="R174" s="36" t="inlineStr">
        <is>
          <t>No</t>
        </is>
      </c>
      <c r="S174" s="36" t="n"/>
      <c r="T174" s="36" t="n"/>
      <c r="U174" s="36" t="n"/>
      <c r="V174" s="34">
        <f>IF($A174="","",IF('⚙️ Settings'!$B$1="","",INT(($A174-'⚙️ Settings'!$B$1)/7)+1))</f>
        <v/>
      </c>
    </row>
    <row r="175" ht="15" customHeight="1" s="26">
      <c r="A175" s="38" t="n">
        <v>46221</v>
      </c>
      <c r="B175" s="33" t="inlineStr">
        <is>
          <t>David</t>
        </is>
      </c>
      <c r="C175" s="33" t="inlineStr">
        <is>
          <t>N</t>
        </is>
      </c>
      <c r="D175" s="33" t="inlineStr">
        <is>
          <t>Topic 4. My motivation to become a pet sitter</t>
        </is>
      </c>
      <c r="E175" s="33" t="n"/>
      <c r="G175" s="33" t="n"/>
      <c r="H175" s="33" t="n"/>
      <c r="I175" s="33" t="n"/>
      <c r="J175" s="33" t="n"/>
      <c r="K175" s="33" t="n"/>
      <c r="L175" s="33" t="n"/>
      <c r="M175" s="33" t="n"/>
      <c r="N175" s="33" t="n"/>
      <c r="O175" s="33" t="n"/>
      <c r="P175" s="33" t="n"/>
      <c r="Q175" s="33" t="inlineStr">
        <is>
          <t>In the future I want to have a consistent set of business from my existing clients so I'm not having to meet so many existing clients and can instead focus on keeping my current clients happy</t>
        </is>
      </c>
      <c r="R175" s="33" t="inlineStr">
        <is>
          <t>No</t>
        </is>
      </c>
      <c r="S175" s="33" t="n"/>
      <c r="T175" s="33" t="n"/>
      <c r="U175" s="33" t="n"/>
      <c r="V175" s="34">
        <f>IF($A175="","",IF('⚙️ Settings'!$B$1="","",INT(($A175-'⚙️ Settings'!$B$1)/7)+1))</f>
        <v/>
      </c>
    </row>
    <row r="176" ht="15" customHeight="1" s="26">
      <c r="A176" s="37" t="n">
        <v>46221</v>
      </c>
      <c r="B176" s="36" t="inlineStr">
        <is>
          <t>Melissa</t>
        </is>
      </c>
      <c r="C176" s="36" t="inlineStr">
        <is>
          <t>M</t>
        </is>
      </c>
      <c r="D176" s="36" t="inlineStr">
        <is>
          <t>Topic 4. My motivation to become a pet sitter</t>
        </is>
      </c>
      <c r="E176" s="36" t="n"/>
      <c r="G176" s="36" t="n"/>
      <c r="H176" s="36" t="n"/>
      <c r="I176" s="36" t="n"/>
      <c r="J176" s="36" t="n"/>
      <c r="K176" s="36" t="n"/>
      <c r="L176" s="36" t="n"/>
      <c r="M176" s="36" t="n"/>
      <c r="N176" s="36" t="n"/>
      <c r="O176" s="36" t="n"/>
      <c r="P176" s="36" t="n"/>
      <c r="Q176" s="36" t="inlineStr">
        <is>
          <t>Single mom and unemployed, I have to hustle a little to make ends meet. I enjoy animals and it's an easy job that I enjoy. Ideally I'd have a business of regular clients. I'd like to grow it more as a side gig. Rover has mostly met my expectations but there have been a few frustrating things.</t>
        </is>
      </c>
      <c r="R176" s="36" t="inlineStr">
        <is>
          <t>No</t>
        </is>
      </c>
      <c r="S176" s="36" t="n"/>
      <c r="T176" s="36" t="n"/>
      <c r="U176" s="36" t="n"/>
      <c r="V176" s="34">
        <f>IF($A176="","",IF('⚙️ Settings'!$B$1="","",INT(($A176-'⚙️ Settings'!$B$1)/7)+1))</f>
        <v/>
      </c>
    </row>
    <row r="177" ht="15" customHeight="1" s="26">
      <c r="A177" s="38" t="n">
        <v>46221</v>
      </c>
      <c r="B177" s="33" t="inlineStr">
        <is>
          <t>Melissa</t>
        </is>
      </c>
      <c r="C177" s="33" t="inlineStr">
        <is>
          <t>M</t>
        </is>
      </c>
      <c r="D177" s="33" t="inlineStr">
        <is>
          <t>Topic 4. My motivation to become a pet sitter</t>
        </is>
      </c>
      <c r="E177" s="33" t="n"/>
      <c r="G177" s="33" t="n"/>
      <c r="H177" s="33" t="n"/>
      <c r="I177" s="33" t="n"/>
      <c r="J177" s="33" t="n"/>
      <c r="K177" s="33" t="n"/>
      <c r="L177" s="33" t="n"/>
      <c r="M177" s="33" t="n"/>
      <c r="N177" s="33" t="n"/>
      <c r="O177" s="33" t="n"/>
      <c r="P177" s="33" t="n"/>
      <c r="Q177" s="33" t="inlineStr">
        <is>
          <t>Well depending on when I obtain fulltime employment and how much money I make doing that, I think that's when I'll evaluate petsitting</t>
        </is>
      </c>
      <c r="R177" s="33" t="inlineStr">
        <is>
          <t>No</t>
        </is>
      </c>
      <c r="S177" s="33" t="n"/>
      <c r="T177" s="33" t="n"/>
      <c r="U177" s="33" t="n"/>
      <c r="V177" s="34">
        <f>IF($A177="","",IF('⚙️ Settings'!$B$1="","",INT(($A177-'⚙️ Settings'!$B$1)/7)+1))</f>
        <v/>
      </c>
    </row>
    <row r="178" ht="15" customHeight="1" s="26">
      <c r="A178" s="37" t="n">
        <v>46222</v>
      </c>
      <c r="B178" s="36" t="inlineStr">
        <is>
          <t>Shania</t>
        </is>
      </c>
      <c r="C178" s="36" t="inlineStr">
        <is>
          <t>T</t>
        </is>
      </c>
      <c r="D178" s="36" t="inlineStr">
        <is>
          <t>Topic 4. My motivation to become a pet sitter</t>
        </is>
      </c>
      <c r="E178" s="36" t="n"/>
      <c r="G178" s="36" t="n"/>
      <c r="H178" s="36" t="n"/>
      <c r="I178" s="36" t="n"/>
      <c r="J178" s="36" t="n"/>
      <c r="K178" s="36" t="n"/>
      <c r="L178" s="36" t="n"/>
      <c r="M178" s="36" t="n"/>
      <c r="N178" s="36" t="n"/>
      <c r="O178" s="36" t="n"/>
      <c r="P178" s="36" t="n"/>
      <c r="Q178" s="36" t="inlineStr">
        <is>
          <t>My initial motivation to become a sitter was to diversify my income sources. This was at a time when I was installing all kinds of money-making apps. Rover seemed like a good fit since I really enjoy being around animals. Personally, being around pets is one of the purest forms of bonding. Since they can't talk, the ways in which a dog or cat treats you is directly correlated to how you treat them. The love is equally reciprocated. 
The volume of business that I currently have as a pet sitter is great! I get about 1-3 bookings per month and it's easy to balance with my other responsibilities. I don't have much of a desire to grow my business, since I achieved star sitter status without doing any outreach or marketing. 
When I first started on Rover, I thought it was a platform where the pet owner listed an ad and the sitters posted whether or not they were interested in taking the booking on. But I was pleasantly surprised to see that it's rather a "Facebook for Dogs" interface, where the pet owner selects which sitter they want to work with. 
I find that I already achieved success on Rover, as I am already regarded as one of the most popular sitters in the area. I would keep all of my current strategies the same, and would keep Rover just as relevant in my schedule next year as it is this year.</t>
        </is>
      </c>
      <c r="R178" s="36" t="inlineStr">
        <is>
          <t>No</t>
        </is>
      </c>
      <c r="S178" s="36" t="n"/>
      <c r="T178" s="36" t="n"/>
      <c r="U178" s="36" t="n"/>
      <c r="V178" s="34">
        <f>IF($A178="","",IF('⚙️ Settings'!$B$1="","",INT(($A178-'⚙️ Settings'!$B$1)/7)+1))</f>
        <v/>
      </c>
    </row>
    <row r="179" ht="15" customHeight="1" s="26">
      <c r="A179" s="38" t="n">
        <v>46222</v>
      </c>
      <c r="B179" s="33" t="inlineStr">
        <is>
          <t>Emma</t>
        </is>
      </c>
      <c r="C179" s="33" t="inlineStr">
        <is>
          <t>M</t>
        </is>
      </c>
      <c r="D179" s="33" t="inlineStr">
        <is>
          <t>Topic 4. My motivation to become a pet sitter</t>
        </is>
      </c>
      <c r="E179" s="33" t="n"/>
      <c r="G179" s="33" t="n"/>
      <c r="H179" s="33" t="n"/>
      <c r="I179" s="33" t="n"/>
      <c r="J179" s="33" t="n"/>
      <c r="K179" s="33" t="n"/>
      <c r="L179" s="33" t="n"/>
      <c r="M179" s="33" t="n"/>
      <c r="N179" s="33" t="n"/>
      <c r="O179" s="33" t="n"/>
      <c r="P179" s="33" t="n"/>
      <c r="Q179" s="33" t="inlineStr">
        <is>
          <t>-I’ve been around animals my entire life. They mean a lot to me. My cats especially provide a sense of comfort and companionship.
-I’ve done pet sitting for friends and family since I was a teen. I’ve found myself with more free time this year and wanted to expand my pet care business.
-I’d like to be able to keep all of my earnings besides taxes. I’d also like a better calendar function so clients, especially recurring ones, can see my availability before sending a request.
-I love my full time job and the stability it brings, and don’t plan on leaving it. It has great tuition and health insurance benefits as well. Rover has been a great source of side income, and I’d like to grow it a little bit or start my own business, but it wouldn’t replace my job.
-When I started on Rover, I didn’t expect to get a lot of bookings right away. It went that way, they grew slowly and steadily.
-A year from now, I’d see success as having at least 5-10 repeat clients, at least a few bookings a week, and successfully raising my rates while still getting business. I may even start my own business if I plan everything for it. I think it would be more relevant to me, as I want to grow a little bit, and as the cost of living rises.</t>
        </is>
      </c>
      <c r="R179" s="33" t="inlineStr">
        <is>
          <t>No</t>
        </is>
      </c>
      <c r="S179" s="33" t="n"/>
      <c r="T179" s="33" t="n"/>
      <c r="U179" s="33" t="n"/>
      <c r="V179" s="34">
        <f>IF($A179="","",IF('⚙️ Settings'!$B$1="","",INT(($A179-'⚙️ Settings'!$B$1)/7)+1))</f>
        <v/>
      </c>
    </row>
    <row r="180" ht="15" customHeight="1" s="26">
      <c r="A180" s="37" t="n">
        <v>46223</v>
      </c>
      <c r="B180" s="36" t="inlineStr">
        <is>
          <t>TR</t>
        </is>
      </c>
      <c r="C180" s="36" t="inlineStr">
        <is>
          <t>T</t>
        </is>
      </c>
      <c r="D180" s="36" t="inlineStr">
        <is>
          <t>Topic 4. My motivation to become a pet sitter</t>
        </is>
      </c>
      <c r="E180" s="36" t="n"/>
      <c r="G180" s="36" t="n"/>
      <c r="H180" s="36" t="n"/>
      <c r="I180" s="36" t="n"/>
      <c r="J180" s="36" t="n"/>
      <c r="K180" s="36" t="n"/>
      <c r="L180" s="36" t="n"/>
      <c r="M180" s="36" t="n"/>
      <c r="N180" s="36" t="n"/>
      <c r="O180" s="36" t="n"/>
      <c r="P180" s="36" t="n"/>
      <c r="Q180" s="36" t="inlineStr">
        <is>
          <t>Being around animals personally makes me super validated, in that they make me feel very important as I realize that someone depends on me. My initial motivation for being a pet sitter comes from the first cat I adopted. I did a lot of research on how to care for cats because of him, and I want to help more pet parents like me when they need to be away from their fur babies. 
The ideal realationship with the pet sitter work would be something integrated into my daily routine. It would go well with my other schedules such as my morning routines and reading time, instead of interfering with them. I want to keep my pet care as side income but grow in income wise. When I just started, I was expecting to interact with different kinds of fur babies, and I think it’s the same with what I actually got :)</t>
        </is>
      </c>
      <c r="R180" s="36" t="inlineStr">
        <is>
          <t>No</t>
        </is>
      </c>
      <c r="S180" s="36" t="n"/>
      <c r="T180" s="36" t="n"/>
      <c r="U180" s="36" t="n"/>
      <c r="V180" s="34">
        <f>IF($A180="","",IF('⚙️ Settings'!$B$1="","",INT(($A180-'⚙️ Settings'!$B$1)/7)+1))</f>
        <v/>
      </c>
    </row>
    <row r="181" ht="15" customHeight="1" s="26">
      <c r="A181" s="38" t="n">
        <v>46223</v>
      </c>
      <c r="B181" s="33" t="inlineStr">
        <is>
          <t>TR</t>
        </is>
      </c>
      <c r="C181" s="33" t="inlineStr">
        <is>
          <t>T</t>
        </is>
      </c>
      <c r="D181" s="33" t="inlineStr">
        <is>
          <t>Topic 4. My motivation to become a pet sitter</t>
        </is>
      </c>
      <c r="E181" s="33" t="n"/>
      <c r="G181" s="33" t="n"/>
      <c r="H181" s="33" t="n"/>
      <c r="I181" s="33" t="n"/>
      <c r="J181" s="33" t="n"/>
      <c r="K181" s="33" t="n"/>
      <c r="L181" s="33" t="n"/>
      <c r="M181" s="33" t="n"/>
      <c r="N181" s="33" t="n"/>
      <c r="O181" s="33" t="n"/>
      <c r="P181" s="33" t="n"/>
      <c r="Q181" s="33" t="inlineStr">
        <is>
          <t>A year from now, success as a pet sitting provider means I’ll receive more experience handling different kinds of pets and I can earn more than what I have made so far. It’s hard to say how relevant this career will be as I do have more plans coming up next year, and I don’t know which direction they will shift the career into yet.</t>
        </is>
      </c>
      <c r="R181" s="33" t="inlineStr">
        <is>
          <t>No</t>
        </is>
      </c>
      <c r="S181" s="33" t="n"/>
      <c r="T181" s="33" t="n"/>
      <c r="U181" s="33" t="n"/>
      <c r="V181" s="34">
        <f>IF($A181="","",IF('⚙️ Settings'!$B$1="","",INT(($A181-'⚙️ Settings'!$B$1)/7)+1))</f>
        <v/>
      </c>
    </row>
    <row r="182" ht="15" customHeight="1" s="26">
      <c r="A182" s="37" t="n">
        <v>46223</v>
      </c>
      <c r="B182" s="36" t="inlineStr">
        <is>
          <t>Desiree</t>
        </is>
      </c>
      <c r="C182" s="36" t="inlineStr">
        <is>
          <t>N</t>
        </is>
      </c>
      <c r="D182" s="36" t="inlineStr">
        <is>
          <t>Topic 4. My motivation to become a pet sitter</t>
        </is>
      </c>
      <c r="E182" s="36" t="n"/>
      <c r="G182" s="36" t="n"/>
      <c r="H182" s="36" t="n"/>
      <c r="I182" s="36" t="n"/>
      <c r="J182" s="36" t="n"/>
      <c r="K182" s="36" t="n"/>
      <c r="L182" s="36" t="n"/>
      <c r="M182" s="36" t="n"/>
      <c r="N182" s="36" t="n"/>
      <c r="O182" s="36" t="n"/>
      <c r="P182" s="36" t="n"/>
      <c r="Q182" s="36" t="inlineStr">
        <is>
          <t>Being with dogs brings me great comfort and hapiness! I think they are exceptional creatures with the most entertaining personalities and endless love. I feel tremendous affection for all dogs (animals, but especially dogs) and it brings me joy to get to know each dog I come across and care for them &amp; make them happy! ESPECIALLY when they are outside and enjoying the fresh air and freedom of the outdoors. I don't have children, but I feel overwhelming love for these animals and I'm happy to exchange it with them. 
My initial motivation for becoming a pet sitter was to support a creative way to travel internationally, combining my and my partners expertise (home management and animals) in exchange for an affordable way to experience extended travel. House/pet-sitting abroad allows you to live in a non-touristic location and really understand the culture and pace of an authentic community in that country or region, and meet the people who live there - not just passing through as tourists.
My ideal relationship with the work as a pet sitter would involve a good balance of location options (international, local, diverse environments) and payment (always great, even though I'm also open to exchange for the right sit).I prefer longer term sits (or walking arrangements if applicable) because I need to plan and maximize my days - busy entrepreneur calendar! I typically only accept 5-7+ day sits (ideally at least 1+ week) so that I can learn the animal's habits and the home routine and utilize the momentum. The short visits or changing schedules regularly requre too much investment learning up front without the time on the back end to really maximize the visit &amp; momentum of routine. 
If I were to grow my pet sitting into a real business, even as side income, I think my ideal would be to offer a 1 month sit (or longer) in different locations - depending on where the homeowner is &amp; where I want to be. This would allow me to travel and continue my R&amp;D in different locations (for my travel business) while making income as I live &amp; pet-sit in the day to day. For example, right now I'm considering being in Costa Rica for the winter (Nov - March) as I build a travel package there - and I will need to be stationed in 1 place for at least 1-2 months at a time. 
When I started on Rover, I think I expected the app/interface to be a bit easier to navigate. It's a bit bulky and I see it's set up really well for the home/pet owner to choose what they want, not so much for the sitter to set up their ideal situation. It works but I do see big differences in what I'm used to with Trusted Housesitters. I guess that make sense since the sitter is for hire, not an equal partner in a trade. 
A year from now, I hope I will have been able to utilize pet-sitting to provide creative housing locations, build my portfolio of animals I've cared for, supplement my income and provide good support in my cost of living as I grow my business. So I see house/pets sitting as becoming more relevant for me as I continue on this creative living journey.</t>
        </is>
      </c>
      <c r="R182" s="36" t="inlineStr">
        <is>
          <t>No</t>
        </is>
      </c>
      <c r="S182" s="36" t="n"/>
      <c r="T182" s="36" t="n"/>
      <c r="U182" s="36" t="n"/>
      <c r="V182" s="34">
        <f>IF($A182="","",IF('⚙️ Settings'!$B$1="","",INT(($A182-'⚙️ Settings'!$B$1)/7)+1))</f>
        <v/>
      </c>
    </row>
    <row r="183" ht="15" customHeight="1" s="26">
      <c r="A183" s="38" t="n">
        <v>46224</v>
      </c>
      <c r="B183" s="33" t="inlineStr">
        <is>
          <t>Alyssa</t>
        </is>
      </c>
      <c r="C183" s="33" t="inlineStr">
        <is>
          <t>N</t>
        </is>
      </c>
      <c r="D183" s="33" t="inlineStr">
        <is>
          <t>Topic 4. My motivation to become a pet sitter</t>
        </is>
      </c>
      <c r="E183" s="33" t="n"/>
      <c r="G183" s="33" t="n"/>
      <c r="H183" s="33" t="n"/>
      <c r="I183" s="33" t="n"/>
      <c r="J183" s="33" t="n"/>
      <c r="K183" s="33" t="n"/>
      <c r="L183" s="33" t="n"/>
      <c r="M183" s="33" t="n"/>
      <c r="N183" s="33" t="n"/>
      <c r="O183" s="33" t="n"/>
      <c r="P183" s="33" t="n"/>
      <c r="Q183" s="33" t="inlineStr">
        <is>
          <t>I’ve always loved being around animals, and caring for them is something that makes me really happy. I view it as being very rewarding because every animal has a unique personality and I enjoy building trust with them and making sure they feel comfortable while their parents are away.
My initial goal for being a pet sitter was gaining hands on experience with different animals while earning extra income doing something I enjoy. My long term goal is to be a Veterinary Technican so every opportunity to work with animals helps me grow.
Ideally I would like petsitting to remain a flexible part time job that fits around school while allowing me to care for pets and building lasting relationships with clients. I want pet owners to feel confident their pets are getting the same level of care and attention they would give them themselves.
Right now I see pet sitting as both a side income and a way to gain experience with animals. If my main goal doesn’t work out I would love to start my own boarding and/ or doggy day care business.
When I joined Rover I was hoping to meet pet owners who needed someone reliable and caring to look after their pets. So far I have had a great experience meeting pet parents and pets. 
I would consider it a success a year from now if I have a strong group of repeat clients and positive reviews. Even if I start working in veterinary medicine, I would still like pet sitting to be part of my life.</t>
        </is>
      </c>
      <c r="R183" s="33" t="inlineStr">
        <is>
          <t>No</t>
        </is>
      </c>
      <c r="S183" s="33" t="n"/>
      <c r="T183" s="33" t="n"/>
      <c r="U183" s="33" t="n"/>
      <c r="V183" s="34">
        <f>IF($A183="","",IF('⚙️ Settings'!$B$1="","",INT(($A183-'⚙️ Settings'!$B$1)/7)+1))</f>
        <v/>
      </c>
    </row>
    <row r="184" ht="15" customHeight="1" s="26">
      <c r="A184" s="37" t="n">
        <v>46225</v>
      </c>
      <c r="B184" s="36" t="inlineStr">
        <is>
          <t>Alexia</t>
        </is>
      </c>
      <c r="C184" s="36" t="inlineStr">
        <is>
          <t>M</t>
        </is>
      </c>
      <c r="D184" s="36" t="inlineStr">
        <is>
          <t>Topic 4. My motivation to become a pet sitter</t>
        </is>
      </c>
      <c r="E184" s="36" t="n"/>
      <c r="G184" s="36" t="n"/>
      <c r="H184" s="36" t="n"/>
      <c r="I184" s="36" t="n"/>
      <c r="J184" s="36" t="n"/>
      <c r="K184" s="36" t="n"/>
      <c r="L184" s="36" t="n"/>
      <c r="M184" s="36" t="n"/>
      <c r="N184" s="36" t="n"/>
      <c r="O184" s="36" t="n"/>
      <c r="P184" s="36" t="n"/>
      <c r="Q184" s="36" t="inlineStr">
        <is>
          <t>1. It means a lot to me to be a pet sitter. I take it very seriously. A lot of these dogs for this people's babies! To be in trusted with that is so important!
2. I've been dog sitting since I was a kid. I always grew up around dogs and got along great with them! It was just an easy fit.
3. My ideal relationship would be doing it full time, and making enough or close to enough to turn it into a living!
4. Right now, I would love if it turned more into business! But I do have passion on the side and when those take off I will continue to do it as a side income. 
4. I honestly got what I was expecting maybe a little more. Because of Rover I have a sense of freedom I never got my other jobs. That has been a real blessing. 
&gt;The Future&lt;
1. I can see a year from now. It being my main source of income. Unless I get really lucky with my passions. I would be perfectly content watching dogs!</t>
        </is>
      </c>
      <c r="R184" s="36" t="inlineStr">
        <is>
          <t>No</t>
        </is>
      </c>
      <c r="S184" s="36" t="n"/>
      <c r="T184" s="36" t="n"/>
      <c r="U184" s="36" t="n"/>
      <c r="V184" s="34">
        <f>IF($A184="","",IF('⚙️ Settings'!$B$1="","",INT(($A184-'⚙️ Settings'!$B$1)/7)+1))</f>
        <v/>
      </c>
    </row>
    <row r="185" ht="15" customHeight="1" s="26">
      <c r="A185" s="38" t="n">
        <v>46225</v>
      </c>
      <c r="B185" s="33" t="inlineStr">
        <is>
          <t>Cate</t>
        </is>
      </c>
      <c r="C185" s="33" t="inlineStr">
        <is>
          <t>M</t>
        </is>
      </c>
      <c r="D185" s="33" t="inlineStr">
        <is>
          <t>Topic 4. My motivation to become a pet sitter</t>
        </is>
      </c>
      <c r="E185" s="33" t="n"/>
      <c r="G185" s="33" t="n"/>
      <c r="H185" s="33" t="n"/>
      <c r="I185" s="33" t="n"/>
      <c r="J185" s="33" t="n"/>
      <c r="K185" s="33" t="n"/>
      <c r="L185" s="33" t="n"/>
      <c r="M185" s="33" t="n"/>
      <c r="N185" s="33" t="n"/>
      <c r="O185" s="33" t="n"/>
      <c r="P185" s="33" t="n"/>
      <c r="Q185" s="33" t="inlineStr">
        <is>
          <t>I enjoy the animals have their own personalities and have a lot of love to give. They add joy to my day.
We initially became pet sitters after having a great experience using Rover ourselves to find a sitter for our dog. We realized it was a great opportunity for our family to spend more time with dogs and to bring in more income.
Ideally pet sitting will continue to feel fun and not become a cause of stress  for us. We like to provide and maintain a family feel while watching dogs and don’t intend to watch too many dogs at one time where we start to feel like we are at a dog boarding center or kennel.
That said we do want to continue to grow pet setting into a real business that our kids can be a part of and potentially take over in the future if they are interested.
I think so far what we expected with Rover is what we actually got. We have not been on Rover for a full year yet or had to file taxes. I am curious what our actual take-home looks like between Rover’s fees and taxes.</t>
        </is>
      </c>
      <c r="R185" s="33" t="inlineStr">
        <is>
          <t>No</t>
        </is>
      </c>
      <c r="S185" s="33" t="n"/>
      <c r="T185" s="33" t="n"/>
      <c r="U185" s="33" t="n"/>
      <c r="V185" s="34">
        <f>IF($A185="","",IF('⚙️ Settings'!$B$1="","",INT(($A185-'⚙️ Settings'!$B$1)/7)+1))</f>
        <v/>
      </c>
    </row>
    <row r="186" ht="15" customHeight="1" s="26">
      <c r="A186" s="37" t="n">
        <v>46225</v>
      </c>
      <c r="B186" s="36" t="inlineStr">
        <is>
          <t>Cate</t>
        </is>
      </c>
      <c r="C186" s="36" t="inlineStr">
        <is>
          <t>M</t>
        </is>
      </c>
      <c r="D186" s="36" t="inlineStr">
        <is>
          <t>Topic 4. My motivation to become a pet sitter</t>
        </is>
      </c>
      <c r="E186" s="36" t="n"/>
      <c r="G186" s="36" t="n"/>
      <c r="H186" s="36" t="n"/>
      <c r="I186" s="36" t="n"/>
      <c r="J186" s="36" t="n"/>
      <c r="K186" s="36" t="n"/>
      <c r="L186" s="36" t="n"/>
      <c r="M186" s="36" t="n"/>
      <c r="N186" s="36" t="n"/>
      <c r="O186" s="36" t="n"/>
      <c r="P186" s="36" t="n"/>
      <c r="Q186" s="36" t="inlineStr">
        <is>
          <t>Looking ahead success a year from now would be adequate additional income for our family without sacrificing too much time allocated to the dog sitting business. We hope to continue to grow the business and see our retuning client base and income grow.</t>
        </is>
      </c>
      <c r="R186" s="36" t="inlineStr">
        <is>
          <t>No</t>
        </is>
      </c>
      <c r="S186" s="36" t="n"/>
      <c r="T186" s="36" t="n"/>
      <c r="U186" s="36" t="n"/>
      <c r="V186" s="34">
        <f>IF($A186="","",IF('⚙️ Settings'!$B$1="","",INT(($A186-'⚙️ Settings'!$B$1)/7)+1))</f>
        <v/>
      </c>
    </row>
    <row r="187" ht="15" customHeight="1" s="26">
      <c r="A187" s="38" t="n">
        <v>46225</v>
      </c>
      <c r="B187" s="33" t="inlineStr">
        <is>
          <t>Erica</t>
        </is>
      </c>
      <c r="C187" s="33" t="inlineStr">
        <is>
          <t>M</t>
        </is>
      </c>
      <c r="D187" s="33" t="inlineStr">
        <is>
          <t>Topic 4. My motivation to become a pet sitter</t>
        </is>
      </c>
      <c r="E187" s="33" t="n"/>
      <c r="G187" s="33" t="n"/>
      <c r="H187" s="33" t="n"/>
      <c r="I187" s="33" t="n"/>
      <c r="J187" s="33" t="n"/>
      <c r="K187" s="33" t="n"/>
      <c r="L187" s="33" t="n"/>
      <c r="M187" s="33" t="n"/>
      <c r="N187" s="33" t="n"/>
      <c r="O187" s="33" t="n"/>
      <c r="P187" s="33" t="n"/>
      <c r="Q187" s="33" t="inlineStr">
        <is>
          <t>I love animals and appreciate being around them.  Right out of college, I worked in a pet store. Friends and family knew I was trustworthy and liked animals, so they started asking me to pet sit. From that I started a business for about 4 years, a side job watching animals while looking for a professional job. Once I got an office job and moved, I closed the business.
My ideal situation would be back in an office setting with a consistent 9 to 5, and pet sit on the side like once a month.
For Rover, I just wanted a way to make extra income that I knew I could do.  In the future...read the paragraph above....</t>
        </is>
      </c>
      <c r="R187" s="33" t="inlineStr">
        <is>
          <t>No</t>
        </is>
      </c>
      <c r="S187" s="33" t="n"/>
      <c r="T187" s="33" t="n"/>
      <c r="U187" s="33" t="n"/>
      <c r="V187" s="34">
        <f>IF($A187="","",IF('⚙️ Settings'!$B$1="","",INT(($A187-'⚙️ Settings'!$B$1)/7)+1))</f>
        <v/>
      </c>
    </row>
    <row r="188" ht="15" customHeight="1" s="26">
      <c r="A188" s="37" t="n">
        <v>46225</v>
      </c>
      <c r="B188" s="36" t="inlineStr">
        <is>
          <t>Anita</t>
        </is>
      </c>
      <c r="C188" s="36" t="inlineStr">
        <is>
          <t>T</t>
        </is>
      </c>
      <c r="D188" s="36" t="inlineStr">
        <is>
          <t>Topic 4. My motivation to become a pet sitter</t>
        </is>
      </c>
      <c r="E188" s="36" t="n"/>
      <c r="G188" s="36" t="n"/>
      <c r="H188" s="36" t="n"/>
      <c r="I188" s="36" t="n"/>
      <c r="J188" s="36" t="n"/>
      <c r="K188" s="36" t="n"/>
      <c r="L188" s="36" t="n"/>
      <c r="M188" s="36" t="n"/>
      <c r="N188" s="36" t="n"/>
      <c r="O188" s="36" t="n"/>
      <c r="P188" s="36" t="n"/>
      <c r="Q188" s="36" t="inlineStr">
        <is>
          <t>I love animals. Especially dogs and birds. 
My husband was in the military and we moved around a lot over the 20+ years. 
We did have the Internet during his years of service. 
So I started walking pets for my neighbor when they were in need. 
This developed into a life long passion. That has continued to today.</t>
        </is>
      </c>
      <c r="R188" s="36" t="inlineStr">
        <is>
          <t>No</t>
        </is>
      </c>
      <c r="S188" s="36" t="n"/>
      <c r="T188" s="36" t="n"/>
      <c r="U188" s="36" t="n"/>
      <c r="V188" s="34">
        <f>IF($A188="","",IF('⚙️ Settings'!$B$1="","",INT(($A188-'⚙️ Settings'!$B$1)/7)+1))</f>
        <v/>
      </c>
    </row>
    <row r="189" ht="15" customHeight="1" s="26">
      <c r="A189" s="38" t="n">
        <v>46212</v>
      </c>
      <c r="B189" s="33" t="inlineStr">
        <is>
          <t>Kristin</t>
        </is>
      </c>
      <c r="C189" s="33" t="inlineStr">
        <is>
          <t>T</t>
        </is>
      </c>
      <c r="D189" s="33" t="inlineStr">
        <is>
          <t>Topic 5. The beginning of Rover</t>
        </is>
      </c>
      <c r="E189" s="33" t="n"/>
      <c r="G189" s="33" t="n"/>
      <c r="H189" s="33" t="n"/>
      <c r="I189" s="33" t="n"/>
      <c r="J189" s="33" t="n"/>
      <c r="K189" s="33" t="n"/>
      <c r="L189" s="33" t="n"/>
      <c r="M189" s="33" t="n"/>
      <c r="N189" s="33" t="n"/>
      <c r="O189" s="33" t="n"/>
      <c r="P189" s="33" t="n"/>
      <c r="Q189" s="33" t="inlineStr">
        <is>
          <t>When did you start joining Rover?
2018
How did setting up your account and handling pricing work for you? What were your thoughts about that?
From what I remember,  it was very simple.
When you were figuring out how to do this work well — pricing, handling clients, managing your schedule, dealing with difficult situations — who or what did you turn to?
Pricing- median of petsitters in my area. 
Managing my schedule and dealing with difficult situations- previous experience from past work experience.
Walk us through how you learned what maybe wasn’t obvious right away on Rover - what was it, and where did you eventually learn it?
The only situations that i have run into are glitches with the application.  I have gone to the Facebook forum, if it's not already being discussed,  I report to rover and post on the forum.</t>
        </is>
      </c>
      <c r="R189" s="33" t="inlineStr">
        <is>
          <t>No</t>
        </is>
      </c>
      <c r="S189" s="33" t="n"/>
      <c r="T189" s="33" t="n"/>
      <c r="U189" s="33" t="n"/>
      <c r="V189" s="34">
        <f>IF($A189="","",IF('⚙️ Settings'!$B$1="","",INT(($A189-'⚙️ Settings'!$B$1)/7)+1))</f>
        <v/>
      </c>
    </row>
    <row r="190" ht="15" customHeight="1" s="26">
      <c r="A190" s="37" t="n">
        <v>46213</v>
      </c>
      <c r="B190" s="36" t="inlineStr">
        <is>
          <t>Tifany</t>
        </is>
      </c>
      <c r="C190" s="36" t="inlineStr">
        <is>
          <t>T</t>
        </is>
      </c>
      <c r="D190" s="36" t="inlineStr">
        <is>
          <t>Topic 5. The beginning of Rover</t>
        </is>
      </c>
      <c r="E190" s="36" t="n"/>
      <c r="G190" s="36" t="n"/>
      <c r="H190" s="36" t="n"/>
      <c r="I190" s="36" t="n"/>
      <c r="J190" s="36" t="n"/>
      <c r="K190" s="36" t="n"/>
      <c r="L190" s="36" t="n"/>
      <c r="M190" s="36" t="n"/>
      <c r="N190" s="36" t="n"/>
      <c r="O190" s="36" t="n"/>
      <c r="P190" s="36" t="n"/>
      <c r="Q190" s="36" t="inlineStr">
        <is>
          <t>When did you start joining Rover?
July or August of 2023 or so.
How did setting up your account and handling pricing work for you? What were your thoughts about that?
Setting up my account was easy! I do enjoy that the app is easy to use. I just don’t like how our messages are put in different folders — sometimes it makes them hard to find. 
But as far as pricing goes, I started low! I did get quite a few clients at that price, but as we continued, I was looking at the prices of other petsitters on the app and people I knew in my area and upped my prices by about $15 across the board per service. Now, I have a friend who charges $100 a night for housesitting and I only charge $65. I feel like my prices are fair and don’t feel like going up further. I did try to go to $75 for a while, but I got less clients; so I feel comfortable where I’m at now.
When you were figuring out how to do this work well — pricing, handling clients, managing your schedule, dealing with difficult situations — who or what did you turn to?
I turned to the Rover app and other sources near me like Facebook and Instagram, and just my plain old search engine. I wanted to see the going rates for the dog businesses near me. Even the kennels near me charge about $15-20 less than I do for overnight boarding, but I offer personalized care in the clients home, so I felt it was a fair price point. I do enjoy that we’re able to choose our price points in the Rover app. 
Managing my schedule, I just use my phone for that mostly. I appreciate the Rover sends me a reminder email, just in case I have somehow input the information incorrectly, it alerts me and I can correct my errors, but I just use a scheduler in my phone. 
Dealing with difficult situations, I just talk to the client themselves. I’ve had a dog who needed to be rushed to the vet; a dog who wouldn’t go to the bathroom because they were afraid of me; a dog who tried to bite me, and so on, and I just end up calling the client to see what they’d like me to do.
Walk us through how you learned what maybe wasn’t obvious right away on Rover - what was it, and where did you eventually learn it?
What wasn’t obvious on Rover for me just ended up being things I never knew to ask, such as how much the client expects me to be at their house for a housesitting appointment. I learned that client expectations are all different and some are super lax and others are super strict and micromanaging. So I learned I absolutely MUST asked clients certain questions during our meet and greets before I ever agree to a booking with them. Just because I may not be able to fulfill their expectations and I would hate for a client to be unsatisfied with my job. 
My questions differ between jobs. 
Housesitting questions: how often do you expect me to let your dog out throughout the day? Do you expect me to be here 24/7? I let them know that I have a job and can come and go throughout the day, but that I cannot stay 24/7 at their house with their pet. Those are the big ones for housesitting for me. 
Boarding in my home questions: how does your pet do with separation anxiety? Do they bark constantly when you’re gone? Do they destroy things when they’re angry that you left? Are they kennel trained? Are they potty trained? 
Big difference for me on whether or not I’ll housesit for someone or board their pet in my home. I couldn’t care less if their dog isn’t super potty trained if I’m housesitting in their home because, oh well, I can clean what I find, and if your dog destroys your home and your okay with that, that’s your business. But I rent and I have neighbors that live upstairs and next to me because I live in a triplex. I’ve had dogs before just freak out the moment I leave and bark incessantly until they drive my neighbors crazy. I’ve had dogs destroy the drywall on my front door trying to claw their way out. I’ve had dogs go absolutely crazy trying to claw out of a kennel. And a dog who would angry-pee on my couch (on my couch, of all things) because I left. 
So, I’ve just learned what I will and won’t accept in my home, and what I will and won’t accept at someone else’s.</t>
        </is>
      </c>
      <c r="R190" s="36" t="inlineStr">
        <is>
          <t>No</t>
        </is>
      </c>
      <c r="S190" s="36" t="n"/>
      <c r="T190" s="36" t="n"/>
      <c r="U190" s="36" t="n"/>
      <c r="V190" s="34">
        <f>IF($A190="","",IF('⚙️ Settings'!$B$1="","",INT(($A190-'⚙️ Settings'!$B$1)/7)+1))</f>
        <v/>
      </c>
    </row>
    <row r="191" ht="15" customHeight="1" s="26">
      <c r="A191" s="38" t="n">
        <v>46213</v>
      </c>
      <c r="B191" s="33" t="inlineStr">
        <is>
          <t>Becky</t>
        </is>
      </c>
      <c r="C191" s="33" t="inlineStr">
        <is>
          <t>T</t>
        </is>
      </c>
      <c r="D191" s="33" t="inlineStr">
        <is>
          <t>Topic 5. The beginning of Rover</t>
        </is>
      </c>
      <c r="E191" s="33" t="n"/>
      <c r="G191" s="33" t="n"/>
      <c r="H191" s="33" t="n"/>
      <c r="I191" s="33" t="n"/>
      <c r="J191" s="33" t="n"/>
      <c r="K191" s="33" t="n"/>
      <c r="L191" s="33" t="n"/>
      <c r="M191" s="33" t="n"/>
      <c r="N191" s="33" t="n"/>
      <c r="O191" s="33" t="n"/>
      <c r="P191" s="33" t="n"/>
      <c r="Q191" s="33" t="inlineStr">
        <is>
          <t>When did you start joining Rover?
May 2023
How did setting up your account and handling pricing work for you? What were your thoughts about that?
I originally set my price to what I used to pay for boarding my dog. As I got some positive reviews, I started raising my rates.
When you were figuring out how to do this work well — pricing, handling clients, managing your schedule, dealing with difficult situations — who or what did you turn to?
I looked at some other folks pricing on Rover to see what sitters were charging. Everything else is done easily on the app.
Walk us through how you learned what maybe wasn’t obvious right away on Rover - what was it, and where did you eventually learn it?
Nothing. Rover is very easy and straight forward to use.</t>
        </is>
      </c>
      <c r="R191" s="33" t="inlineStr">
        <is>
          <t>No</t>
        </is>
      </c>
      <c r="S191" s="33" t="n"/>
      <c r="T191" s="33" t="n"/>
      <c r="U191" s="33" t="n"/>
      <c r="V191" s="34">
        <f>IF($A191="","",IF('⚙️ Settings'!$B$1="","",INT(($A191-'⚙️ Settings'!$B$1)/7)+1))</f>
        <v/>
      </c>
    </row>
    <row r="192" ht="15" customHeight="1" s="26">
      <c r="A192" s="37" t="n">
        <v>46214</v>
      </c>
      <c r="B192" s="36" t="inlineStr">
        <is>
          <t>Joey</t>
        </is>
      </c>
      <c r="C192" s="36" t="inlineStr">
        <is>
          <t>M</t>
        </is>
      </c>
      <c r="D192" s="36" t="inlineStr">
        <is>
          <t>Topic 5. The beginning of Rover</t>
        </is>
      </c>
      <c r="E192" s="36" t="n"/>
      <c r="G192" s="36" t="n"/>
      <c r="H192" s="36" t="n"/>
      <c r="I192" s="36" t="n"/>
      <c r="J192" s="36" t="n"/>
      <c r="K192" s="36" t="n"/>
      <c r="L192" s="36" t="n"/>
      <c r="M192" s="36" t="n"/>
      <c r="N192" s="36" t="n"/>
      <c r="O192" s="36" t="n"/>
      <c r="P192" s="36" t="n"/>
      <c r="Q192" s="36" t="inlineStr">
        <is>
          <t>When did you start joining Rover?
July 2025.
How did setting up your account and handling pricing work for you? What were your thoughts about that?
Setting up my Rover account was fairly straightforward. The only challenge was that I didn’t have many photos of myself taking care of pets, so it took some time to find suitable pictures for my profile.
One of the biggest challenges was setting my pricing. It wasn’t until after my first three or four bookings that I started feeling confident about what to charge. Since I was completely new to pet sitting, I had no idea what a reasonable rate would be. Initially, I set a price that I felt fairly reflected the time and effort involved while also accounting for Rover’s 20% service fee and income tax. However, I didn’t receive a single booking for almost five months. It wasn’t until I lowered my rates just before the Christmas holidays that I landed my first booking.
Since then, I’ve gradually increased my prices to a level that I feel is both fair to clients and worthwhile for me. Finding that balance took time and required quite a bit of research. Another factor I had to learn was how to account for travel time. I live in a less populated area, so I generally have fewer potential clients than sitters in downtown or more densely populated neighbourhoods. On top of that, I often spend more time travelling between bookings, which is an important consideration when setting my rates.
When you were figuring out how to do this work well — pricing, handling clients, managing your schedule, dealing with difficult situations — who or what did you turn to?
I mainly look into other Rover sitters’ profile so see how much other sitters charge. I want to price my service just a bit lower than the more experienced ones.
I also go on Reddit and RedNote(Xiaohongshu) so learn from others experiences.
Walk us through how you learned what maybe wasn’t obvious right away on Rover - what was it, and where did you eventually learn it?
One thing I learned is that it’s very helpful to have an intake form for first-time clients. It allows me to collect all the essential information and care instructions in a systematic and organized way. It’s much more efficient than asking questions back and forth in the chat, and it also gives me a consistent format that I can refer back to whenever I need it.
Another thing I learned was how Rover’s search visibility actually works. At first, I was worried because every booking request includes a notice saying something like, “Until this request is booked or archived, you may not appear in search results.” That message made me think I needed to archive requests immediately whenever a client was no longer interested or I couldn’t accept the booking.
After reading discussions on Reddit, I realized that’s not exactly how it works. If you still have bookable availability, an open request doesn’t immediately remove you from search results. For example, if I have four available drop-in slots on July 11 and only one pending request for that day, I’ll still appear in search because I have remaining availability. It only starts affecting my visibility once the pending requests fill all of my available spots for that date or time period. Learning this made me much less anxious about archiving requests right away and gave me more flexibility when communicating with potential clients.</t>
        </is>
      </c>
      <c r="R192" s="36" t="inlineStr">
        <is>
          <t>No</t>
        </is>
      </c>
      <c r="S192" s="36" t="n"/>
      <c r="T192" s="36" t="n"/>
      <c r="U192" s="36" t="n"/>
      <c r="V192" s="34">
        <f>IF($A192="","",IF('⚙️ Settings'!$B$1="","",INT(($A192-'⚙️ Settings'!$B$1)/7)+1))</f>
        <v/>
      </c>
    </row>
    <row r="193" ht="15" customHeight="1" s="26">
      <c r="A193" s="38" t="n">
        <v>46216</v>
      </c>
      <c r="B193" s="33" t="inlineStr">
        <is>
          <t>Annabelle</t>
        </is>
      </c>
      <c r="C193" s="33" t="inlineStr">
        <is>
          <t>N</t>
        </is>
      </c>
      <c r="D193" s="33" t="inlineStr">
        <is>
          <t>Topic 5. The beginning of Rover</t>
        </is>
      </c>
      <c r="E193" s="33" t="n"/>
      <c r="G193" s="33" t="n"/>
      <c r="H193" s="33" t="n"/>
      <c r="I193" s="33" t="n"/>
      <c r="J193" s="33" t="n"/>
      <c r="K193" s="33" t="n"/>
      <c r="L193" s="33" t="n"/>
      <c r="M193" s="33" t="n"/>
      <c r="N193" s="33" t="n"/>
      <c r="O193" s="33" t="n"/>
      <c r="P193" s="33" t="n"/>
      <c r="Q193" s="33" t="inlineStr">
        <is>
          <t>When did you start joining Rover?
May/June 2026
How did setting up your account and handling pricing work for you? What were your thoughts about that?
Setting up my account was fairly easy and I thought that the fee to join and for the background check was quite high, but thought I would make it back very quickly though I have not.
When you were figuring out how to do this work well — pricing, handling clients, managing your schedule, dealing with difficult situations — who or what did you turn to?
I saw information from local dog, walking and dog, sitting Facebook groups, as well as Reddit posts and consulted Friends who own dogs.
Walk us through how you learned what maybe wasn’t obvious right away on Rover - what was it, and where did you eventually learn it?
After not securing any clients or interest after a while, I learned that securing clients was not obvious right away on Rover and that I had to market myself heavily</t>
        </is>
      </c>
      <c r="R193" s="33" t="inlineStr">
        <is>
          <t>No</t>
        </is>
      </c>
      <c r="S193" s="33" t="n"/>
      <c r="T193" s="33" t="n"/>
      <c r="U193" s="33" t="n"/>
      <c r="V193" s="34">
        <f>IF($A193="","",IF('⚙️ Settings'!$B$1="","",INT(($A193-'⚙️ Settings'!$B$1)/7)+1))</f>
        <v/>
      </c>
    </row>
    <row r="194" ht="15" customHeight="1" s="26">
      <c r="A194" s="37" t="n">
        <v>46216</v>
      </c>
      <c r="B194" s="36" t="inlineStr">
        <is>
          <t>Naomi</t>
        </is>
      </c>
      <c r="C194" s="36" t="inlineStr">
        <is>
          <t>M</t>
        </is>
      </c>
      <c r="D194" s="36" t="inlineStr">
        <is>
          <t>Topic 5. The beginning of Rover</t>
        </is>
      </c>
      <c r="E194" s="36" t="n"/>
      <c r="G194" s="36" t="n"/>
      <c r="H194" s="36" t="n"/>
      <c r="I194" s="36" t="n"/>
      <c r="J194" s="36" t="n"/>
      <c r="K194" s="36" t="n"/>
      <c r="L194" s="36" t="n"/>
      <c r="M194" s="36" t="n"/>
      <c r="N194" s="36" t="n"/>
      <c r="O194" s="36" t="n"/>
      <c r="P194" s="36" t="n"/>
      <c r="Q194" s="36" t="inlineStr">
        <is>
          <t>When did you start joining Rover?
About a year ago
How did setting up your account and handling pricing work for you? What were your thoughts about that?
Setting up the account was straightforward. I think the background check makes sense. I looked at what other people were charging and factored that in with what rover suggested I charge.
When you were figuring out how to do this work well — pricing, handling clients, managing your schedule, dealing with difficult situations — who or what did you turn to?
I have experience as a high level corporate manager in the Tech industry so these were all skills I had already built up.
Walk us through how you learned what maybe wasn’t obvious right away on Rover - what was it, and where did you eventually learn it?
It's been a while but I remember there being some less than ideal user flow in being able to see my profile after I set it up. Also, even now, the different info views for the dogs can be frustrating because sometimes the particular view doesn't have what i need and I have to go searching around for it in a different view.</t>
        </is>
      </c>
      <c r="R194" s="36" t="inlineStr">
        <is>
          <t>No</t>
        </is>
      </c>
      <c r="S194" s="36" t="n"/>
      <c r="T194" s="36" t="n"/>
      <c r="U194" s="36" t="n"/>
      <c r="V194" s="34">
        <f>IF($A194="","",IF('⚙️ Settings'!$B$1="","",INT(($A194-'⚙️ Settings'!$B$1)/7)+1))</f>
        <v/>
      </c>
    </row>
    <row r="195" ht="15" customHeight="1" s="26">
      <c r="A195" s="38" t="n">
        <v>46218</v>
      </c>
      <c r="B195" s="33" t="inlineStr">
        <is>
          <t>Deborah</t>
        </is>
      </c>
      <c r="C195" s="33" t="inlineStr">
        <is>
          <t>N</t>
        </is>
      </c>
      <c r="D195" s="33" t="inlineStr">
        <is>
          <t>Topic 5. The beginning of Rover</t>
        </is>
      </c>
      <c r="E195" s="33" t="n"/>
      <c r="G195" s="33" t="n"/>
      <c r="H195" s="33" t="n"/>
      <c r="I195" s="33" t="n"/>
      <c r="J195" s="33" t="n"/>
      <c r="K195" s="33" t="n"/>
      <c r="L195" s="33" t="n"/>
      <c r="M195" s="33" t="n"/>
      <c r="N195" s="33" t="n"/>
      <c r="O195" s="33" t="n"/>
      <c r="P195" s="33" t="n"/>
      <c r="Q195" s="33" t="inlineStr">
        <is>
          <t>When did you start joining Rover?
About 4 weeks ago
How did setting up your account and handling pricing work for you? What were your thoughts about that?
Set up was easy to follow and complete.
When you were figuring out how to do this work well — pricing, handling clients, managing your schedule, dealing with difficult situations — who or what did you turn to?
Before I retired I was a sales person, manager, and trainer. I have the expertise on all these topics and did not require any help.
Walk us through how you learned what maybe wasn’t obvious right away on Rover - what was it, and where did you eventually learn it?
Some of the back end processes were not obvisious. However within days I got emails that directed me to how to manage my business, get paid, and other questions. I think it would have been better if these were included in the final acceptance email after the background check was complete.</t>
        </is>
      </c>
      <c r="R195" s="33" t="inlineStr">
        <is>
          <t>No</t>
        </is>
      </c>
      <c r="S195" s="33" t="n"/>
      <c r="T195" s="33" t="n"/>
      <c r="U195" s="33" t="n"/>
      <c r="V195" s="34">
        <f>IF($A195="","",IF('⚙️ Settings'!$B$1="","",INT(($A195-'⚙️ Settings'!$B$1)/7)+1))</f>
        <v/>
      </c>
    </row>
    <row r="196" ht="15" customHeight="1" s="26">
      <c r="A196" s="37" t="n">
        <v>46218</v>
      </c>
      <c r="B196" s="36" t="inlineStr">
        <is>
          <t>Bruna</t>
        </is>
      </c>
      <c r="C196" s="36" t="inlineStr">
        <is>
          <t>T</t>
        </is>
      </c>
      <c r="D196" s="36" t="inlineStr">
        <is>
          <t>Topic 5. The beginning of Rover</t>
        </is>
      </c>
      <c r="E196" s="36" t="n"/>
      <c r="G196" s="36" t="n"/>
      <c r="H196" s="36" t="n"/>
      <c r="I196" s="36" t="n"/>
      <c r="J196" s="36" t="n"/>
      <c r="K196" s="36" t="n"/>
      <c r="L196" s="36" t="n"/>
      <c r="M196" s="36" t="n"/>
      <c r="N196" s="36" t="n"/>
      <c r="O196" s="36" t="n"/>
      <c r="P196" s="36" t="n"/>
      <c r="Q196" s="36" t="inlineStr">
        <is>
          <t>When did you start joining Rover?
In 2021
How did setting up your account and handling pricing work for you? What were your thoughts about that?
It was honestly very easy to understand how the platform worked and I found the process very intuitive. Never had any issues
When you were figuring out how to do this work well — pricing, handling clients, managing your schedule, dealing with difficult situations — who or what did you turn to?
Mostly through my own experience. I learned a lot by actually caring for different dogs, communicating with owners and figuring out what worked and what didn’t. For pricing, I would look at other sitters in my area on Rover to understand the local market and adjust my rates based on my experience and the type of care I offered. Over time, I became much more confident setting boundaries, asking clients the right questions and being selective about which bookings I accepted.
Walk us through how you learned what maybe wasn’t obvious right away on Rover - what was it, and where did you eventually learn it?
One thing that wasn’t obvious to me when I first started was how important compatibility is when deciding whether to accept a booking. At the beginning, I was mostly focused on whether I was available for the requested dates. Over time, I learned that being available doesn’t necessarily mean that a booking is a good fit.
Today, I pay a lot of attention to my compatibility with the owner and how we communicate, whether the dog’s normal routine is compatible with the routine and environment I can realistically provide, and the reviews previous Rover sitters have left about the dog. I find the sitter feedback particularly valuable because it can sometimes give me a better idea of what caring for the dog is actually like in a boarding environment.
I learned most of this through experience. After caring for many different dogs and working with different owners, I became much better at recognizing what information is important before accepting a booking and understanding that a good fit is important for me, the owner and, most importantly, the dog.</t>
        </is>
      </c>
      <c r="R196" s="36" t="inlineStr">
        <is>
          <t>No</t>
        </is>
      </c>
      <c r="S196" s="36" t="n"/>
      <c r="T196" s="36" t="n"/>
      <c r="U196" s="36" t="n"/>
      <c r="V196" s="34">
        <f>IF($A196="","",IF('⚙️ Settings'!$B$1="","",INT(($A196-'⚙️ Settings'!$B$1)/7)+1))</f>
        <v/>
      </c>
    </row>
    <row r="197" ht="15" customHeight="1" s="26">
      <c r="A197" s="38" t="n">
        <v>46218</v>
      </c>
      <c r="B197" s="33" t="inlineStr">
        <is>
          <t>Rachel</t>
        </is>
      </c>
      <c r="C197" s="33" t="inlineStr">
        <is>
          <t>N</t>
        </is>
      </c>
      <c r="D197" s="33" t="inlineStr">
        <is>
          <t>Topic 5. The beginning of Rover</t>
        </is>
      </c>
      <c r="E197" s="33" t="n"/>
      <c r="G197" s="33" t="n"/>
      <c r="H197" s="33" t="n"/>
      <c r="I197" s="33" t="n"/>
      <c r="J197" s="33" t="n"/>
      <c r="K197" s="33" t="n"/>
      <c r="L197" s="33" t="n"/>
      <c r="M197" s="33" t="n"/>
      <c r="N197" s="33" t="n"/>
      <c r="O197" s="33" t="n"/>
      <c r="P197" s="33" t="n"/>
      <c r="Q197" s="33" t="inlineStr">
        <is>
          <t>When did you start joining Rover?
Mid june 2026
How did setting up your account and handling pricing work for you? What were your thoughts about that?
My friend help me set my prices lower to get more clients. I thought it was a little confusing and 4 weeks rather than 2 to get my background check confirmed. I was disappointed by all of this because I wanted it to be way easier.
When you were figuring out how to do this work well — pricing, handling clients, managing your schedule, dealing with difficult situations — who or what did you turn to?
My friend who is a pet sitter on rover helped walk me through the process. She even set my prices for me because they had worked for her. I haven’t had to deal with managing schedule or handling clients since I haven’t had any clients yet.
Walk us through how you learned what maybe wasn’t obvious right away on Rover - what was it, and where did you eventually learn it?
Setting the right prices and maybe leveraging testimonials might be more important than I’ve realized to date.</t>
        </is>
      </c>
      <c r="R197" s="33" t="inlineStr">
        <is>
          <t>No</t>
        </is>
      </c>
      <c r="S197" s="33" t="n"/>
      <c r="T197" s="33" t="n"/>
      <c r="U197" s="33" t="n"/>
      <c r="V197" s="34">
        <f>IF($A197="","",IF('⚙️ Settings'!$B$1="","",INT(($A197-'⚙️ Settings'!$B$1)/7)+1))</f>
        <v/>
      </c>
    </row>
    <row r="198" ht="15" customHeight="1" s="26">
      <c r="A198" s="37" t="n">
        <v>46219</v>
      </c>
      <c r="B198" s="36" t="inlineStr">
        <is>
          <t>Jilian</t>
        </is>
      </c>
      <c r="C198" s="36" t="inlineStr">
        <is>
          <t>N</t>
        </is>
      </c>
      <c r="D198" s="36" t="inlineStr">
        <is>
          <t>Topic 5. The beginning of Rover</t>
        </is>
      </c>
      <c r="E198" s="36" t="n"/>
      <c r="G198" s="36" t="n"/>
      <c r="H198" s="36" t="n"/>
      <c r="I198" s="36" t="n"/>
      <c r="J198" s="36" t="n"/>
      <c r="K198" s="36" t="n"/>
      <c r="L198" s="36" t="n"/>
      <c r="M198" s="36" t="n"/>
      <c r="N198" s="36" t="n"/>
      <c r="O198" s="36" t="n"/>
      <c r="P198" s="36" t="n"/>
      <c r="Q198" s="36" t="inlineStr">
        <is>
          <t>When did you start joining Rover?
A month ago
How did setting up your account and handling pricing work for you? What were your thoughts about that?
It was easy to set up pricing but had dificulties getting approved bc of my profile photo.
When you were figuring out how to do this work well — pricing, handling clients, managing your schedule, dealing with difficult situations — who or what did you turn to?
I looked at what other sitters were pricing locally. I handled clients first hand.
Walk us through how you learned what maybe wasn’t obvious right away on Rover - what was it, and where did you eventually learn it?
It wasn’t obvious when I had a booking what the detailed instructions were for the dog.</t>
        </is>
      </c>
      <c r="R198" s="36" t="inlineStr">
        <is>
          <t>No</t>
        </is>
      </c>
      <c r="S198" s="36" t="n"/>
      <c r="T198" s="36" t="n"/>
      <c r="U198" s="36" t="n"/>
      <c r="V198" s="34">
        <f>IF($A198="","",IF('⚙️ Settings'!$B$1="","",INT(($A198-'⚙️ Settings'!$B$1)/7)+1))</f>
        <v/>
      </c>
    </row>
    <row r="199" ht="15" customHeight="1" s="26">
      <c r="A199" s="38" t="n">
        <v>46219</v>
      </c>
      <c r="B199" s="33" t="inlineStr">
        <is>
          <t>Megan</t>
        </is>
      </c>
      <c r="C199" s="33" t="inlineStr">
        <is>
          <t>M</t>
        </is>
      </c>
      <c r="D199" s="33" t="inlineStr">
        <is>
          <t>Topic 5. The beginning of Rover</t>
        </is>
      </c>
      <c r="E199" s="33" t="n"/>
      <c r="G199" s="33" t="n"/>
      <c r="H199" s="33" t="n"/>
      <c r="I199" s="33" t="n"/>
      <c r="J199" s="33" t="n"/>
      <c r="K199" s="33" t="n"/>
      <c r="L199" s="33" t="n"/>
      <c r="M199" s="33" t="n"/>
      <c r="N199" s="33" t="n"/>
      <c r="O199" s="33" t="n"/>
      <c r="P199" s="33" t="n"/>
      <c r="Q199" s="33" t="inlineStr">
        <is>
          <t>When did you start joining Rover?
June 7 2025
How did setting up your account and handling pricing work for you? What were your thoughts about that?
Setting up my account was pretty easy. Pricing was the part I struggled with because I had no idea what to charge at first. I looked at what other sitters in my area were charging and started there, then adjusted my prices as I got more experience and felt more confident.
When you were figuring out how to do this work well — pricing, handling clients, managing your schedule, dealing with difficult situations — who or what did you turn to?
I figured out a lot of it by watching other pet sitters on YouTube. I looked up videos about meet and greets, handling clients, and what makes an outstanding pet sitter. I also watched basic dog training videos and read articles and watched videos about dog/cat behaviour so I could better understand the pets I was caring for. Between that and learning from each booking, I gradually became more confident and found my own way of doing things. I also have a background in office work and scheduling, which has been helpful in managing my calendar    .
Walk us through how you learned what maybe wasn’t obvious right away on Rover - what was it, and where did you eventually learn it?
One of the biggest things I didn’t realize at first was how helpful it is to have a detailed list of questions for every meet and greet. In the beginning, I was trying to remember everything in my head, and I’d often think of another question after I had already left. Over time, I realized having a checklist of questions about the pet’s routine, behaviour, medications, emergency contacts, and anything else important made the whole process much easier. That’s something I learned through experience rather than from Rover.</t>
        </is>
      </c>
      <c r="R199" s="33" t="inlineStr">
        <is>
          <t>No</t>
        </is>
      </c>
      <c r="S199" s="33" t="n"/>
      <c r="T199" s="33" t="n"/>
      <c r="U199" s="33" t="n"/>
      <c r="V199" s="34">
        <f>IF($A199="","",IF('⚙️ Settings'!$B$1="","",INT(($A199-'⚙️ Settings'!$B$1)/7)+1))</f>
        <v/>
      </c>
    </row>
    <row r="200" ht="15" customHeight="1" s="26">
      <c r="A200" s="37" t="n">
        <v>46220</v>
      </c>
      <c r="B200" s="36" t="inlineStr">
        <is>
          <t>Julia</t>
        </is>
      </c>
      <c r="C200" s="36" t="inlineStr">
        <is>
          <t>N</t>
        </is>
      </c>
      <c r="D200" s="36" t="inlineStr">
        <is>
          <t>Topic 5. The beginning of Rover</t>
        </is>
      </c>
      <c r="E200" s="36" t="n"/>
      <c r="G200" s="36" t="n"/>
      <c r="H200" s="36" t="n"/>
      <c r="I200" s="36" t="n"/>
      <c r="J200" s="36" t="n"/>
      <c r="K200" s="36" t="n"/>
      <c r="L200" s="36" t="n"/>
      <c r="M200" s="36" t="n"/>
      <c r="N200" s="36" t="n"/>
      <c r="O200" s="36" t="n"/>
      <c r="P200" s="36" t="n"/>
      <c r="Q200" s="36" t="inlineStr">
        <is>
          <t>When did you start joining Rover?
I joined rover in June 2026.
How did setting up your account and handling pricing work for you? What were your thoughts about that?
Setting up account was easy to follow. Handling pricing was harder, I wish there was a different/better way to browse other sitters in your area to see what they are priced at so I can better price my own.
When you were figuring out how to do this work well — pricing, handling clients, managing your schedule, dealing with difficult situations — who or what did you turn to?
I did some Googling/research on my own to see if there was any good info or articles about dog sitting prices near me. As far as handling clients and/or difficult situations, I felt I had a good handle on that since I have done a lot of pet sitting in the past for neighbors and friends.
Walk us through how you learned what maybe wasn’t obvious right away on Rover - what was it, and where did you eventually learn it?
Pricing was not obvious to me. I did my own research online, which included looking at other Rover sitters in my area to make more of an educated guess as to what pricing I wanted to start at.</t>
        </is>
      </c>
      <c r="R200" s="36" t="inlineStr">
        <is>
          <t>No</t>
        </is>
      </c>
      <c r="S200" s="36" t="n"/>
      <c r="T200" s="36" t="n"/>
      <c r="U200" s="36" t="n"/>
      <c r="V200" s="34">
        <f>IF($A200="","",IF('⚙️ Settings'!$B$1="","",INT(($A200-'⚙️ Settings'!$B$1)/7)+1))</f>
        <v/>
      </c>
    </row>
    <row r="201" ht="15" customHeight="1" s="26">
      <c r="A201" s="38" t="n">
        <v>46220</v>
      </c>
      <c r="B201" s="33" t="inlineStr">
        <is>
          <t>Caroline</t>
        </is>
      </c>
      <c r="C201" s="33" t="inlineStr">
        <is>
          <t>M</t>
        </is>
      </c>
      <c r="D201" s="33" t="inlineStr">
        <is>
          <t>Topic 5. The beginning of Rover</t>
        </is>
      </c>
      <c r="E201" s="33" t="n"/>
      <c r="G201" s="33" t="n"/>
      <c r="H201" s="33" t="n"/>
      <c r="I201" s="33" t="n"/>
      <c r="J201" s="33" t="n"/>
      <c r="K201" s="33" t="n"/>
      <c r="L201" s="33" t="n"/>
      <c r="M201" s="33" t="n"/>
      <c r="N201" s="33" t="n"/>
      <c r="O201" s="33" t="n"/>
      <c r="P201" s="33" t="n"/>
      <c r="Q201" s="33" t="inlineStr">
        <is>
          <t>When did you start joining Rover?
July 2025
How did setting up your account and handling pricing work for you? What were your thoughts about that?
I paid the $50 for a background check and that seemed like a lot of money. I really had no idea what price to put up - I didn’t think to do a search to see what other people were charging in my area - would be nice to see what the range is for services in my area so that I could price accordingly. I priced myself way too low to begin with.
When you were figuring out how to do this work well — pricing, handling clients, managing your schedule, dealing with difficult situations — who or what did you turn to?
I asked my friend who was used to be on rover what her price was and what she thought. In regards to managing my schedule I have just figured it out as I go. I wish there was a way to set hours on the calander there is only how many spaces I can do a day not able to say only available after 10am. So don’t want to waste the clients time. Difficult situations like having to turn clients down after a meet and greet were hard and didn’t feel like I had anyone to turn to.
Walk us through how you learned what maybe wasn’t obvious right away on Rover - what was it, and where did you eventually learn it?
I didn’t quite understand the whole process of requests then both parties having to choose book. I also learned on my own how to edit for the client as 80% of the time the client has a wrong start time or end time. Also numerous clients have complained that if their booking has a holiday rate day in it that price gets applied to the whole booking every day. Two clients now have complained about that and I had to manually calaculate the difference of holiday rate vs normal rate and then subtract this amount from the booking for the days that we’re not the actual holiday so the client thought it was fair. Plus she said she could not see any of this information and I had to write all this out for her in a text. Then still she complained about how high my rate was staying she has another rover person that is $30 total compared to my $44. I ended up coming up with a reason she lives too far away to get out of the situation so I spent 3 hours of my time and got $0 and felt kind of bullied in a way.</t>
        </is>
      </c>
      <c r="R201" s="33" t="inlineStr">
        <is>
          <t>No</t>
        </is>
      </c>
      <c r="S201" s="33" t="n"/>
      <c r="T201" s="33" t="n"/>
      <c r="U201" s="33" t="n"/>
      <c r="V201" s="34">
        <f>IF($A201="","",IF('⚙️ Settings'!$B$1="","",INT(($A201-'⚙️ Settings'!$B$1)/7)+1))</f>
        <v/>
      </c>
    </row>
    <row r="202" ht="15" customHeight="1" s="26">
      <c r="A202" s="37" t="n">
        <v>46221</v>
      </c>
      <c r="B202" s="36" t="inlineStr">
        <is>
          <t>Melissa</t>
        </is>
      </c>
      <c r="C202" s="36" t="inlineStr">
        <is>
          <t>M</t>
        </is>
      </c>
      <c r="D202" s="36" t="inlineStr">
        <is>
          <t>Topic 5. The beginning of Rover</t>
        </is>
      </c>
      <c r="E202" s="36" t="n"/>
      <c r="G202" s="36" t="n"/>
      <c r="H202" s="36" t="n"/>
      <c r="I202" s="36" t="n"/>
      <c r="J202" s="36" t="n"/>
      <c r="K202" s="36" t="n"/>
      <c r="L202" s="36" t="n"/>
      <c r="M202" s="36" t="n"/>
      <c r="N202" s="36" t="n"/>
      <c r="O202" s="36" t="n"/>
      <c r="P202" s="36" t="n"/>
      <c r="Q202" s="36" t="inlineStr">
        <is>
          <t>When did you start joining Rover?
Joined in the winter 26 and starting working in spring 26
How did setting up your account and handling pricing work for you? What were your thoughts about that?
I was confused about the process, mine took a long time with little updates on the background check.
When you were figuring out how to do this work well — pricing, handling clients, managing your schedule, dealing with difficult situations — who or what did you turn to?
Ai to help with pricing in my area, calendar app for scheduling.
Walk us through how you learned what maybe wasn’t obvious right away on Rover - what was it, and where did you eventually learn it?
Nothing, just not much set up process transparency</t>
        </is>
      </c>
      <c r="R202" s="36" t="inlineStr">
        <is>
          <t>No</t>
        </is>
      </c>
      <c r="S202" s="36" t="n"/>
      <c r="T202" s="36" t="n"/>
      <c r="U202" s="36" t="n"/>
      <c r="V202" s="34">
        <f>IF($A202="","",IF('⚙️ Settings'!$B$1="","",INT(($A202-'⚙️ Settings'!$B$1)/7)+1))</f>
        <v/>
      </c>
    </row>
    <row r="203" ht="15" customHeight="1" s="26">
      <c r="A203" s="38" t="n">
        <v>46222</v>
      </c>
      <c r="B203" s="33" t="inlineStr">
        <is>
          <t>Shania</t>
        </is>
      </c>
      <c r="C203" s="33" t="inlineStr">
        <is>
          <t>T</t>
        </is>
      </c>
      <c r="D203" s="33" t="inlineStr">
        <is>
          <t>Topic 5. The beginning of Rover</t>
        </is>
      </c>
      <c r="E203" s="33" t="n"/>
      <c r="G203" s="33" t="n"/>
      <c r="H203" s="33" t="n"/>
      <c r="I203" s="33" t="n"/>
      <c r="J203" s="33" t="n"/>
      <c r="K203" s="33" t="n"/>
      <c r="L203" s="33" t="n"/>
      <c r="M203" s="33" t="n"/>
      <c r="N203" s="33" t="n"/>
      <c r="O203" s="33" t="n"/>
      <c r="P203" s="33" t="n"/>
      <c r="Q203" s="33" t="inlineStr">
        <is>
          <t>When did you start joining Rover?
In late 2022
How did setting up your account and handling pricing work for you? What were your thoughts about that?
Account setup was pretty smooth in the beginning. But now is a bit difficult sometimes when trying to update some information without updating my entire profile. Handling pricing is good too, as it shows the amount I would keep after Rover's cut.
When you were figuring out how to do this work well — pricing, handling clients, managing your schedule, dealing with difficult situations — who or what did you turn to?
I first started to manage this business well in 2025. That was the first year where I had booked something other than dog walks. I had to change the price of my drop-in visits about twice, as the volume of requests were getting high.
When encountering a new/difficult situation,  I turn to Reddit, and try to search up a similar situation to mine. Or else I go contact a Rover agent.
Walk us through how you learned what maybe wasn’t obvious right away on Rover - what was it, and where did you eventually learn it?
What wasn't obvious right away for me was how marketing myself was going to work. I realized that half of the marketing work is done through the profile and my service reviews, and not with the meet and greets where I was over-stressing my competencies instead of having a cool and calm conversation with the pet owner.</t>
        </is>
      </c>
      <c r="R203" s="33" t="inlineStr">
        <is>
          <t>No</t>
        </is>
      </c>
      <c r="S203" s="33" t="n"/>
      <c r="T203" s="33" t="n"/>
      <c r="U203" s="33" t="n"/>
      <c r="V203" s="34">
        <f>IF($A203="","",IF('⚙️ Settings'!$B$1="","",INT(($A203-'⚙️ Settings'!$B$1)/7)+1))</f>
        <v/>
      </c>
    </row>
    <row r="204" ht="15" customHeight="1" s="26">
      <c r="A204" s="37" t="n">
        <v>46222</v>
      </c>
      <c r="B204" s="36" t="inlineStr">
        <is>
          <t>Emma</t>
        </is>
      </c>
      <c r="C204" s="36" t="inlineStr">
        <is>
          <t>M</t>
        </is>
      </c>
      <c r="D204" s="36" t="inlineStr">
        <is>
          <t>Topic 5. The beginning of Rover</t>
        </is>
      </c>
      <c r="E204" s="36" t="n"/>
      <c r="G204" s="36" t="n"/>
      <c r="H204" s="36" t="n"/>
      <c r="I204" s="36" t="n"/>
      <c r="J204" s="36" t="n"/>
      <c r="K204" s="36" t="n"/>
      <c r="L204" s="36" t="n"/>
      <c r="M204" s="36" t="n"/>
      <c r="N204" s="36" t="n"/>
      <c r="O204" s="36" t="n"/>
      <c r="P204" s="36" t="n"/>
      <c r="Q204" s="36" t="inlineStr">
        <is>
          <t>When did you start joining Rover?
April-May of this year.
How did setting up your account and handling pricing work for you? What were your thoughts about that?
Setting up my account was easy. Doing the background check and getting testimonials took time, but was simple. Pricing was difficult, it was hard to value my own work, and the fees they take from your earnings made it hard too. I didn’t want to charge too high so I could get my foot in the door and start getting clients, but I also didn’t want to go too low and undervalue myself.
When you were figuring out how to do this work well — pricing, handling clients, managing your schedule, dealing with difficult situations — who or what did you turn to?
The Rover community on Reddit, FAQ posts on Rover’s website, friends, parents, Rover support
Walk us through how you learned what maybe wasn’t obvious right away on Rover - what was it, and where did you eventually learn it?
How to schedule a meet and greet directly in the app. It pops up below the chat box.</t>
        </is>
      </c>
      <c r="R204" s="36" t="inlineStr">
        <is>
          <t>No</t>
        </is>
      </c>
      <c r="S204" s="36" t="n"/>
      <c r="T204" s="36" t="n"/>
      <c r="U204" s="36" t="n"/>
      <c r="V204" s="34">
        <f>IF($A204="","",IF('⚙️ Settings'!$B$1="","",INT(($A204-'⚙️ Settings'!$B$1)/7)+1))</f>
        <v/>
      </c>
    </row>
    <row r="205" ht="15" customHeight="1" s="26">
      <c r="A205" s="38" t="n">
        <v>46223</v>
      </c>
      <c r="B205" s="33" t="inlineStr">
        <is>
          <t>TR</t>
        </is>
      </c>
      <c r="C205" s="33" t="inlineStr">
        <is>
          <t>T</t>
        </is>
      </c>
      <c r="D205" s="33" t="inlineStr">
        <is>
          <t>Topic 5. The beginning of Rover</t>
        </is>
      </c>
      <c r="E205" s="33" t="n"/>
      <c r="G205" s="33" t="n"/>
      <c r="H205" s="33" t="n"/>
      <c r="I205" s="33" t="n"/>
      <c r="J205" s="33" t="n"/>
      <c r="K205" s="33" t="n"/>
      <c r="L205" s="33" t="n"/>
      <c r="M205" s="33" t="n"/>
      <c r="N205" s="33" t="n"/>
      <c r="O205" s="33" t="n"/>
      <c r="P205" s="33" t="n"/>
      <c r="Q205" s="33" t="inlineStr">
        <is>
          <t>When did you start joining Rover?
2024
How did setting up your account and handling pricing work for you? What were your thoughts about that?
It asked for lots of information and at first I accidentally set it up to be a joint account, so the instructions back then were not the clearest.
When you were figuring out how to do this work well — pricing, handling clients, managing your schedule, dealing with difficult situations — who or what did you turn to?
I looked for sitters in my area and set my price slightly lower than them. I also looked for Reddit and rednotes as both platforms have  a pretty big sitter community.
Walk us through how you learned what maybe wasn’t obvious right away on Rover - what was it, and where did you eventually learn it?
Give your first-timed clients some discounts for leaving your a good review so you’ll look in one more repeat and one 5 star review. Figured it out myself after I found out my community didn’t like to rate sitters.</t>
        </is>
      </c>
      <c r="R205" s="33" t="inlineStr">
        <is>
          <t>No</t>
        </is>
      </c>
      <c r="S205" s="33" t="n"/>
      <c r="T205" s="33" t="n"/>
      <c r="U205" s="33" t="n"/>
      <c r="V205" s="34">
        <f>IF($A205="","",IF('⚙️ Settings'!$B$1="","",INT(($A205-'⚙️ Settings'!$B$1)/7)+1))</f>
        <v/>
      </c>
    </row>
    <row r="206" ht="15" customHeight="1" s="26">
      <c r="A206" s="37" t="n">
        <v>46223</v>
      </c>
      <c r="B206" s="36" t="inlineStr">
        <is>
          <t>Desiree</t>
        </is>
      </c>
      <c r="C206" s="36" t="inlineStr">
        <is>
          <t>N</t>
        </is>
      </c>
      <c r="D206" s="36" t="inlineStr">
        <is>
          <t>Topic 5. The beginning of Rover</t>
        </is>
      </c>
      <c r="E206" s="36" t="n"/>
      <c r="G206" s="36" t="n"/>
      <c r="H206" s="36" t="n"/>
      <c r="I206" s="36" t="n"/>
      <c r="J206" s="36" t="n"/>
      <c r="K206" s="36" t="n"/>
      <c r="L206" s="36" t="n"/>
      <c r="M206" s="36" t="n"/>
      <c r="N206" s="36" t="n"/>
      <c r="O206" s="36" t="n"/>
      <c r="P206" s="36" t="n"/>
      <c r="Q206" s="36" t="inlineStr">
        <is>
          <t>When did you start joining Rover?
April 2026
How did setting up your account and handling pricing work for you? What were your thoughts about that?
The account set up was pretty intuitive overall. Navigating the service settings, calendar and pricing was a little complicated but I figured it out. Also figuring out the basic info address vs. service area address was a little tricky. At first I wanted to offer services in IL for the month I returned, and then needed to change it to Asheville when I traveled here (where I'll be for the summer). Again, I figured it out, but there were some elements that had a decent learning curve in order to find the levers on the back end.
When you were figuring out how to do this work well — pricing, handling clients, managing your schedule, dealing with difficult situations — who or what did you turn to?
I checked the pricing of others offering services in my area in order to set my pricing. I was confused by all the add ons and upgrades offered (i.e. puppies, extra pets, drop in visit extended time, etc.) - it's a lot to tweak for each offer. I had to set it, and check it from the customer view a number of times before I got it right. I had an inquiry come in that was way too low based on my incorect price settings, sot hat triggered me to look very closely again at my settings. Managing the schedule took some trial and error - I had to set it, then check it from the customer facing view, and then tweak it.
Walk us through how you learned what maybe wasn’t obvious right away on Rover - what was it, and where did you eventually learn it?
As described above, some trial and error. A lot of testing my own profile.</t>
        </is>
      </c>
      <c r="R206" s="36" t="inlineStr">
        <is>
          <t>No</t>
        </is>
      </c>
      <c r="S206" s="36" t="n"/>
      <c r="T206" s="36" t="n"/>
      <c r="U206" s="36" t="n"/>
      <c r="V206" s="34">
        <f>IF($A206="","",IF('⚙️ Settings'!$B$1="","",INT(($A206-'⚙️ Settings'!$B$1)/7)+1))</f>
        <v/>
      </c>
    </row>
    <row r="207" ht="15" customHeight="1" s="26">
      <c r="A207" s="38" t="n">
        <v>46224</v>
      </c>
      <c r="B207" s="33" t="inlineStr">
        <is>
          <t>Amy</t>
        </is>
      </c>
      <c r="C207" s="33" t="inlineStr">
        <is>
          <t>T</t>
        </is>
      </c>
      <c r="D207" s="33" t="inlineStr">
        <is>
          <t>Topic 5. The beginning of Rover</t>
        </is>
      </c>
      <c r="E207" s="33" t="n"/>
      <c r="G207" s="33" t="n"/>
      <c r="H207" s="33" t="n"/>
      <c r="I207" s="33" t="n"/>
      <c r="J207" s="33" t="n"/>
      <c r="K207" s="33" t="n"/>
      <c r="L207" s="33" t="n"/>
      <c r="M207" s="33" t="n"/>
      <c r="N207" s="33" t="n"/>
      <c r="O207" s="33" t="n"/>
      <c r="P207" s="33" t="n"/>
      <c r="Q207" s="33" t="inlineStr">
        <is>
          <t>When did you start joining Rover?
August 2025
How did setting up your account and handling pricing work for you? What were your thoughts about that?
Setting up the account was pretty easy. As far as pricing, I looked at what other providers in my area were charging.
When you were figuring out how to do this work well — pricing, handling clients, managing your schedule, dealing with difficult situations — who or what did you turn to?
Pricing I researched. Handling clients I handled much as I did while teaching- I always respond to emails/requests within 24 hours or sooner. Managing schedule- I set up my availability based on how many services I could reasonably provide in a day. I also had my Google Calendar open to check for conflicts.
Dealing with difficult situations - with human clients I rely on good communication and asking questions if there is even a slight doubt. With animals- I rely on experience and training at the shelter where I volunteer- being aware of signs of stress, not pushing an animal into a behavior and accepting their choices.
Walk us through how you learned what maybe wasn’t obvious right away on Rover - what was it, and where did you eventually learn it?
I didn't really look at tax information when I first started- I just wanted o get started. I did look into it in January while preparing taxes. There is information on Rover under "Payments"</t>
        </is>
      </c>
      <c r="R207" s="33" t="inlineStr">
        <is>
          <t>No</t>
        </is>
      </c>
      <c r="S207" s="33" t="n"/>
      <c r="T207" s="33" t="n"/>
      <c r="U207" s="33" t="n"/>
      <c r="V207" s="34">
        <f>IF($A207="","",IF('⚙️ Settings'!$B$1="","",INT(($A207-'⚙️ Settings'!$B$1)/7)+1))</f>
        <v/>
      </c>
    </row>
    <row r="208" ht="15" customHeight="1" s="26">
      <c r="A208" s="37" t="n">
        <v>46224</v>
      </c>
      <c r="B208" s="36" t="inlineStr">
        <is>
          <t>Colin</t>
        </is>
      </c>
      <c r="C208" s="36" t="inlineStr">
        <is>
          <t>T</t>
        </is>
      </c>
      <c r="D208" s="36" t="inlineStr">
        <is>
          <t>Topic 5. The beginning of Rover</t>
        </is>
      </c>
      <c r="E208" s="36" t="n"/>
      <c r="G208" s="36" t="n"/>
      <c r="H208" s="36" t="n"/>
      <c r="I208" s="36" t="n"/>
      <c r="J208" s="36" t="n"/>
      <c r="K208" s="36" t="n"/>
      <c r="L208" s="36" t="n"/>
      <c r="M208" s="36" t="n"/>
      <c r="N208" s="36" t="n"/>
      <c r="O208" s="36" t="n"/>
      <c r="P208" s="36" t="n"/>
      <c r="Q208" s="36" t="inlineStr">
        <is>
          <t>When did you start joining Rover?
I joined Rover in February 2025
How did setting up your account and handling pricing work for you? What were your thoughts about that?
When setting out rates, we decided to search current Rover sitters in Toronto and see what the going rate would be for each service. Then we reduced ours by a small percentage in the hopes of attracting our first clients based solely on our profile, location, and slightly lower rates… As time went on and we received more requests and got positive reviews, we slowly increased our rates on all services.
When you were figuring out how to do this work well — pricing, handling clients, managing your schedule, dealing with difficult situations — who or what did you turn to?
Luckily my wife and I worked together in managing our Rover app. We would discuss each request and if it would work for us and our life. We discuss every price increase, every job request, client communications, etc. we exported our Rover calendar to be synced with other apps as well so we never forgot a walk or meet and greet or anything like that. For the most part, my wife likes communicating with the owners and being available to them more than I do, so it’s kind of like she is the Executive and I am the laborer!
Walk us through how you learned what maybe wasn’t obvious right away on Rover - what was it, and where did you eventually learn it?
At the beginning we had several issues with our location bubble seemingly moving around the city. Even though we set our distance limit as 1-2km from our home, we received several requests from owners all across Toronto and wouldn’t realize our distance until later… we also have experienced some issues with client photos not loading during requests. We have limits to the size and breeds we allow into our home so it’s important we know about the dog before agreeing to meet. This seems to be an ongoing and unpredictable issue with new requests especially.</t>
        </is>
      </c>
      <c r="R208" s="36" t="inlineStr">
        <is>
          <t>No</t>
        </is>
      </c>
      <c r="S208" s="36" t="n"/>
      <c r="T208" s="36" t="n"/>
      <c r="U208" s="36" t="n"/>
      <c r="V208" s="34">
        <f>IF($A208="","",IF('⚙️ Settings'!$B$1="","",INT(($A208-'⚙️ Settings'!$B$1)/7)+1))</f>
        <v/>
      </c>
    </row>
    <row r="209" ht="15" customHeight="1" s="26">
      <c r="A209" s="38" t="n">
        <v>46225</v>
      </c>
      <c r="B209" s="33" t="inlineStr">
        <is>
          <t>Alexia</t>
        </is>
      </c>
      <c r="C209" s="33" t="inlineStr">
        <is>
          <t>M</t>
        </is>
      </c>
      <c r="D209" s="33" t="inlineStr">
        <is>
          <t>Topic 5. The beginning of Rover</t>
        </is>
      </c>
      <c r="E209" s="33" t="n"/>
      <c r="G209" s="33" t="n"/>
      <c r="H209" s="33" t="n"/>
      <c r="I209" s="33" t="n"/>
      <c r="J209" s="33" t="n"/>
      <c r="K209" s="33" t="n"/>
      <c r="L209" s="33" t="n"/>
      <c r="M209" s="33" t="n"/>
      <c r="N209" s="33" t="n"/>
      <c r="O209" s="33" t="n"/>
      <c r="P209" s="33" t="n"/>
      <c r="Q209" s="33" t="inlineStr">
        <is>
          <t>When did you start joining Rover?
I started a few months ago, this year.
How did setting up your account and handling pricing work for you? What were your thoughts about that?
Setting up my account was easy. I fear that I low bald myself on the pricing. I am worried that people would not book me if I cost more money.
When you were figuring out how to do this work well — pricing, handling clients, managing your schedule, dealing with difficult situations — who or what did you turn to?
I will often confine in family members to get there Opinions on certain issues.
Walk us through how you learned what maybe wasn’t obvious right away on Rover - what was it, and where did you eventually learn it?
How slow of a start It would be. But once you get your first client the others follow.</t>
        </is>
      </c>
      <c r="R209" s="33" t="inlineStr">
        <is>
          <t>No</t>
        </is>
      </c>
      <c r="S209" s="33" t="n"/>
      <c r="T209" s="33" t="n"/>
      <c r="U209" s="33" t="n"/>
      <c r="V209" s="34">
        <f>IF($A209="","",IF('⚙️ Settings'!$B$1="","",INT(($A209-'⚙️ Settings'!$B$1)/7)+1))</f>
        <v/>
      </c>
    </row>
    <row r="210" ht="15" customHeight="1" s="26">
      <c r="A210" s="37" t="n">
        <v>46225</v>
      </c>
      <c r="B210" s="36" t="inlineStr">
        <is>
          <t>Cate</t>
        </is>
      </c>
      <c r="C210" s="36" t="inlineStr">
        <is>
          <t>M</t>
        </is>
      </c>
      <c r="D210" s="36" t="inlineStr">
        <is>
          <t>Topic 5. The beginning of Rover</t>
        </is>
      </c>
      <c r="E210" s="36" t="n"/>
      <c r="G210" s="36" t="n"/>
      <c r="H210" s="36" t="n"/>
      <c r="I210" s="36" t="n"/>
      <c r="J210" s="36" t="n"/>
      <c r="K210" s="36" t="n"/>
      <c r="L210" s="36" t="n"/>
      <c r="M210" s="36" t="n"/>
      <c r="N210" s="36" t="n"/>
      <c r="O210" s="36" t="n"/>
      <c r="P210" s="36" t="n"/>
      <c r="Q210" s="36" t="inlineStr">
        <is>
          <t>When did you start joining Rover?
We first applied for Rover in March 2026 and we’re accepted in April 2026
How did setting up your account and handling pricing work for you? What were your thoughts about that?
Setting up the account was a simple process. We did run into delays and me needing to reach out to customer service a couple of times because both my husband and I needed to have background checks on file. That wasn’t clear in the set up instructions and there was a delay in him receiving what he needed for his background check to be processed. 
At the time we set up our account, I was surprised that Rover took 20% especially considering the amount of taxes will need to pay as independent contractors and not employees of Rover. Rover does emphasize that part of the cost is them providing insurance to caregivers however, when reading the insurance plan, it is not a comprehensive plan. I can buy insurance out-of-pocket for a very affordable price. The way I see it, we’d be better off for Rover to take less of a fee for each booking and to buy the insurance ourselves.
When you were figuring out how to do this work well — pricing, handling clients, managing your schedule, dealing with difficult situations — who or what did you turn to?
Talking to others who are in the pet sitting business doing fee comparisons of other pet services in our area, using my organizational skills when it comes to scheduling from my other full-time job, same with difficult situations when it comes to human interactions. In terms of how to care for pets, we rely on our past experience prior to joining Rover.
Walk us through how you learned what maybe wasn’t obvious right away on Rover - what was it, and where did you eventually learn it?
One thing that stands out is the pricing structure. I did not realize all of the holidays that were considered holidays on Rover and that holiday pay applies to the full booking not just the holiday or days near the holiday. I learned that by closely looking at the fee structure for each booking. 
I’ve also come to realize that I would like more autonomy in setting my fees. For example, determining what I consider a holiday and the ability to book half day daycare.</t>
        </is>
      </c>
      <c r="R210" s="36" t="inlineStr">
        <is>
          <t>No</t>
        </is>
      </c>
      <c r="S210" s="36" t="n"/>
      <c r="T210" s="36" t="n"/>
      <c r="U210" s="36" t="n"/>
      <c r="V210" s="34">
        <f>IF($A210="","",IF('⚙️ Settings'!$B$1="","",INT(($A210-'⚙️ Settings'!$B$1)/7)+1))</f>
        <v/>
      </c>
    </row>
    <row r="211" ht="15" customHeight="1" s="26">
      <c r="A211" s="38" t="n">
        <v>46225</v>
      </c>
      <c r="B211" s="33" t="inlineStr">
        <is>
          <t>Erica</t>
        </is>
      </c>
      <c r="C211" s="33" t="inlineStr">
        <is>
          <t>M</t>
        </is>
      </c>
      <c r="D211" s="33" t="inlineStr">
        <is>
          <t>Topic 5. The beginning of Rover</t>
        </is>
      </c>
      <c r="E211" s="33" t="n"/>
      <c r="G211" s="33" t="n"/>
      <c r="H211" s="33" t="n"/>
      <c r="I211" s="33" t="n"/>
      <c r="J211" s="33" t="n"/>
      <c r="K211" s="33" t="n"/>
      <c r="L211" s="33" t="n"/>
      <c r="M211" s="33" t="n"/>
      <c r="N211" s="33" t="n"/>
      <c r="O211" s="33" t="n"/>
      <c r="P211" s="33" t="n"/>
      <c r="Q211" s="33" t="inlineStr">
        <is>
          <t>When did you start joining Rover?
Like 2025
How did setting up your account and handling pricing work for you? What were your thoughts about that?
Fine.  I ised suggested pricy, it's fine.
When you were figuring out how to do this work well — pricing, handling clients, managing your schedule, dealing with difficult situations — who or what did you turn to?
Me. It's straightforward and I'm self sufficient
Walk us through how you learned what maybe wasn’t obvious right away on Rover - what was it, and where did you eventually learn it?
I did not realize the rover card was a thing.</t>
        </is>
      </c>
      <c r="R211" s="33" t="inlineStr">
        <is>
          <t>No</t>
        </is>
      </c>
      <c r="S211" s="33" t="n"/>
      <c r="T211" s="33" t="n"/>
      <c r="U211" s="33" t="n"/>
      <c r="V211" s="34">
        <f>IF($A211="","",IF('⚙️ Settings'!$B$1="","",INT(($A211-'⚙️ Settings'!$B$1)/7)+1))</f>
        <v/>
      </c>
    </row>
    <row r="212" ht="15" customHeight="1" s="26">
      <c r="A212" s="37" t="n">
        <v>46225</v>
      </c>
      <c r="B212" s="36" t="inlineStr">
        <is>
          <t>Anita</t>
        </is>
      </c>
      <c r="C212" s="36" t="inlineStr">
        <is>
          <t>T</t>
        </is>
      </c>
      <c r="D212" s="36" t="inlineStr">
        <is>
          <t>Topic 5. The beginning of Rover</t>
        </is>
      </c>
      <c r="E212" s="36" t="n"/>
      <c r="G212" s="36" t="n"/>
      <c r="H212" s="36" t="n"/>
      <c r="I212" s="36" t="n"/>
      <c r="J212" s="36" t="n"/>
      <c r="K212" s="36" t="n"/>
      <c r="L212" s="36" t="n"/>
      <c r="M212" s="36" t="n"/>
      <c r="N212" s="36" t="n"/>
      <c r="O212" s="36" t="n"/>
      <c r="P212" s="36" t="n"/>
      <c r="Q212" s="36" t="inlineStr">
        <is>
          <t>When did you start joining Rover?
About seven years ago
How did setting up your account and handling pricing work for you? What were your thoughts about that?
It was fairly easy once the background check was finalized. 
I was really excited to join as a means to continue walking dogs and taking care of people's pets. Which have included dogs, cats, birds, hampsters, and rabbits.
When you were figuring out how to do this work well — pricing, handling clients, managing your schedule, dealing with difficult situations — who or what did you turn to?
This is the part that I find difficult. I don't want to over charge, nor do I want to not get paid a reasonable fee. 
I let Rover determine the base fees.
Walk us through how you learned what maybe wasn’t obvious right away on Rover - what was it, and where did you eventually learn it?
Meeting and greet is the best option for gaining insight into the owners and the pets. 
Over the years I have only met three difficult dogs. 
Owners can be very particular about their pets. Getting to understand each owner is the primary solution to having a good relationship with both owner and pet.</t>
        </is>
      </c>
      <c r="R212" s="36" t="inlineStr">
        <is>
          <t>No</t>
        </is>
      </c>
      <c r="S212" s="36" t="n"/>
      <c r="T212" s="36" t="n"/>
      <c r="U212" s="36" t="n"/>
      <c r="V212" s="34">
        <f>IF($A212="","",IF('⚙️ Settings'!$B$1="","",INT(($A212-'⚙️ Settings'!$B$1)/7)+1))</f>
        <v/>
      </c>
    </row>
    <row r="213" ht="15" customHeight="1" s="26">
      <c r="A213" s="38" t="n">
        <v>46226</v>
      </c>
      <c r="B213" s="33" t="inlineStr">
        <is>
          <t>Emily</t>
        </is>
      </c>
      <c r="C213" s="33" t="inlineStr">
        <is>
          <t>N</t>
        </is>
      </c>
      <c r="D213" s="33" t="inlineStr">
        <is>
          <t>Topic 5. The beginning of Rover</t>
        </is>
      </c>
      <c r="E213" s="33" t="n"/>
      <c r="G213" s="33" t="n"/>
      <c r="H213" s="33" t="n"/>
      <c r="I213" s="33" t="n"/>
      <c r="J213" s="33" t="n"/>
      <c r="K213" s="33" t="n"/>
      <c r="L213" s="33" t="n"/>
      <c r="M213" s="33" t="n"/>
      <c r="N213" s="33" t="n"/>
      <c r="O213" s="33" t="n"/>
      <c r="P213" s="33" t="n"/>
      <c r="Q213" s="33" t="inlineStr">
        <is>
          <t>When did you start joining Rover?
Buisiness account was set up 4 months ago
How did setting up your account and handling pricing work for you? What were your thoughts about that?
Was pretty straightforward. I stayed roughly within suggested prices but just slightly higher.
When you were figuring out how to do this work well — pricing, handling clients, managing your schedule, dealing with difficult situations — who or what did you turn to?
Googled suggestions and read forums (Reddit) to figure out how to set up my business
Walk us through how you learned what maybe wasn’t obvious right away on Rover - what was it, and where did you eventually learn it?
Updating my availability was confusing. I would go to the page but there wasn’t a clear action. I had to look that up. I’ve also been struggling to get bookings and still navigating how to get more eyes and conversions on my profile.</t>
        </is>
      </c>
      <c r="R213" s="33" t="inlineStr">
        <is>
          <t>No</t>
        </is>
      </c>
      <c r="S213" s="33" t="n"/>
      <c r="T213" s="33" t="n"/>
      <c r="U213" s="33" t="n"/>
      <c r="V213" s="34">
        <f>IF($A213="","",IF('⚙️ Settings'!$B$1="","",INT(($A213-'⚙️ Settings'!$B$1)/7)+1))</f>
        <v/>
      </c>
    </row>
    <row r="214" ht="15" customHeight="1" s="26">
      <c r="A214" s="37" t="n">
        <v>46213</v>
      </c>
      <c r="B214" s="36" t="inlineStr">
        <is>
          <t>Becky</t>
        </is>
      </c>
      <c r="C214" s="36" t="inlineStr">
        <is>
          <t>T</t>
        </is>
      </c>
      <c r="D214" s="36" t="inlineStr">
        <is>
          <t>Topic 6. Potential Changes</t>
        </is>
      </c>
      <c r="E214" s="36" t="n"/>
      <c r="G214" s="36" t="n"/>
      <c r="H214" s="36" t="n"/>
      <c r="I214" s="36" t="n"/>
      <c r="J214" s="36" t="n"/>
      <c r="K214" s="36" t="n"/>
      <c r="L214" s="36" t="n"/>
      <c r="M214" s="36" t="n"/>
      <c r="N214" s="36" t="n"/>
      <c r="O214" s="36" t="n"/>
      <c r="P214" s="36" t="n"/>
      <c r="Q214" s="36" t="inlineStr">
        <is>
          <t>How has the way you use Rover changed since you first started? Be specific — what do you use it for now that you didn't before, or stopped using it for? Rover use in the beginning:
I use Rover the same as I always have.
Rover use now:
I use Rover the same as I always have.
How has your sense of Rovers value changed since you first started? Think about what the platform gives you now versus when you began — and whether the fees feel different adequate to you for this stage of your work. Rover value in the beginning:
No changes
Rover value now:
No changes</t>
        </is>
      </c>
      <c r="R214" s="36" t="inlineStr">
        <is>
          <t>No</t>
        </is>
      </c>
      <c r="S214" s="36" t="n"/>
      <c r="T214" s="36" t="n"/>
      <c r="U214" s="36" t="n"/>
      <c r="V214" s="34">
        <f>IF($A214="","",IF('⚙️ Settings'!$B$1="","",INT(($A214-'⚙️ Settings'!$B$1)/7)+1))</f>
        <v/>
      </c>
    </row>
    <row r="215" ht="15" customHeight="1" s="26">
      <c r="A215" s="38" t="n">
        <v>46213</v>
      </c>
      <c r="B215" s="33" t="inlineStr">
        <is>
          <t>Tifany</t>
        </is>
      </c>
      <c r="C215" s="33" t="inlineStr">
        <is>
          <t>T</t>
        </is>
      </c>
      <c r="D215" s="33" t="inlineStr">
        <is>
          <t>Topic 6. Potential Changes</t>
        </is>
      </c>
      <c r="E215" s="33" t="n"/>
      <c r="G215" s="33" t="n"/>
      <c r="H215" s="33" t="n"/>
      <c r="I215" s="33" t="n"/>
      <c r="J215" s="33" t="n"/>
      <c r="K215" s="33" t="n"/>
      <c r="L215" s="33" t="n"/>
      <c r="M215" s="33" t="n"/>
      <c r="N215" s="33" t="n"/>
      <c r="O215" s="33" t="n"/>
      <c r="P215" s="33" t="n"/>
      <c r="Q215" s="33" t="inlineStr">
        <is>
          <t>How has the way you use Rover changed since you first started? Be specific — what do you use it for now that you didn't before, or stopped using it for? Rover use in the beginning:
I used Rover when I began by hoping to advertise that I was available for Petsitting and to find clients. It was most beneficial when Rover used to really push clients to leave a review, and that’s how I got so many! Even after repeat clients, Rover would really nudge us to leave reviews on one another. Somewhere along the way though, that stopped. I hardly ever get a review now and it’s not getting me as much business as before. A lot of clients have chosen me because of my great reviews on Rover.
Rover use now:
I use Rover much the same as I do before, for advertising and to find clients — but now that I have a lot of repeat clients who go through my personal business, I don’t get as many Rover clients. But also, that’s because clients have said that they see my reviews, but the reviews aren’t as current as a couple of years ago. I wish Rover continued to try to nudge clients to leave reviews so it would keep updating my results to gain new clients.
How has your sense of Rovers value changed since you first started? Think about what the platform gives you now versus when you began — and whether the fees feel different adequate to you for this stage of your work. Rover value in the beginning:
The value of Rover in the beginning was better to me than now, that’s true. Now I have advertising on other platforms to enhance my clientele off of Rover, so I don’t rely on Rover to generate business for me as I did in the beginning. And yes, 20% seems pretty steep sometimes when the money comes in. Like right now, I finish a Rover job of Housesitting from July 2-July 11. I would have gotten $675 if I would have gone through my own business, but I’m only getting $540 through Rover because of their cut. I’m fine with it, really, I mean we all have to make money and Rover supplies the platform to find clients, but I prefer when clients find my own business now, of course, just so I don’t have to share my income.
Rover value now:
The value of Rover to me now is still quite high! I mean, I would cancel my Rover account if I didn’t feel it was worth it. I just accept that Rover needs their share and that I’m finding many clients through Rover that I wouldn’t find otherwise. I think it’s a super important resource for all of us— the pet owners and us pet sitters. So many people for the pet owners to choose from and I’m not going to be the right pet sitter for everyone. I love that there are many different options for us all to choose what works for us. And even that I don’t have to say yes to everyone and I have perfect peace in knowing that another pet sitter will say yes and they’ll find someone to cover them. 
I don’t mind paying the 20% enough to complain. It’s just a fact of being in this business and I’m happy to be a part of the team!</t>
        </is>
      </c>
      <c r="R215" s="33" t="inlineStr">
        <is>
          <t>No</t>
        </is>
      </c>
      <c r="S215" s="33" t="n"/>
      <c r="T215" s="33" t="n"/>
      <c r="U215" s="33" t="n"/>
      <c r="V215" s="34">
        <f>IF($A215="","",IF('⚙️ Settings'!$B$1="","",INT(($A215-'⚙️ Settings'!$B$1)/7)+1))</f>
        <v/>
      </c>
    </row>
    <row r="216" ht="15" customHeight="1" s="26">
      <c r="A216" s="37" t="n">
        <v>46216</v>
      </c>
      <c r="B216" s="36" t="inlineStr">
        <is>
          <t>Kristin</t>
        </is>
      </c>
      <c r="C216" s="36" t="inlineStr">
        <is>
          <t>T</t>
        </is>
      </c>
      <c r="D216" s="36" t="inlineStr">
        <is>
          <t>Topic 6. Potential Changes</t>
        </is>
      </c>
      <c r="E216" s="36" t="n"/>
      <c r="G216" s="36" t="n"/>
      <c r="H216" s="36" t="n"/>
      <c r="I216" s="36" t="n"/>
      <c r="J216" s="36" t="n"/>
      <c r="K216" s="36" t="n"/>
      <c r="L216" s="36" t="n"/>
      <c r="M216" s="36" t="n"/>
      <c r="N216" s="36" t="n"/>
      <c r="O216" s="36" t="n"/>
      <c r="P216" s="36" t="n"/>
      <c r="Q216" s="36" t="inlineStr">
        <is>
          <t>How has the way you use Rover changed since you first started? Be specific — what do you use it for now that you didn't before, or stopped using it for? Rover use in the beginning:
I use Rover for many of the same things now as I did in the beginning.  The only things that i can remember changing is in the beginning I offered day care and boarding.
Rover use now:
My use of rover now looks very similar to the beginning.  I no longer offer boarding and daycare.
How has your sense of Rovers value changed since you first started? Think about what the platform gives you now versus when you began — and whether the fees feel different adequate to you for this stage of your work. Rover value in the beginning:
Rover's value has remained the same and is consistent and worth the fees.  They offer advertisement,  client base,  and pairing clients to sitters.  Fees are tax deductible and worth the cost.
Rover value now:
Rover's value has remained the same and is consistent and worth the fees.  They offer advertisement,  client base,  and pairing clients to sitters.  Fees are tax deductible and worth the cost.</t>
        </is>
      </c>
      <c r="R216" s="36" t="inlineStr">
        <is>
          <t>No</t>
        </is>
      </c>
      <c r="S216" s="36" t="n"/>
      <c r="T216" s="36" t="n"/>
      <c r="U216" s="36" t="n"/>
      <c r="V216" s="34">
        <f>IF($A216="","",IF('⚙️ Settings'!$B$1="","",INT(($A216-'⚙️ Settings'!$B$1)/7)+1))</f>
        <v/>
      </c>
    </row>
    <row r="217" ht="15" customHeight="1" s="26">
      <c r="A217" s="38" t="n">
        <v>46216</v>
      </c>
      <c r="B217" s="33" t="inlineStr">
        <is>
          <t>Annabelle</t>
        </is>
      </c>
      <c r="C217" s="33" t="inlineStr">
        <is>
          <t>N</t>
        </is>
      </c>
      <c r="D217" s="33" t="inlineStr">
        <is>
          <t>Topic 6. Potential Changes</t>
        </is>
      </c>
      <c r="E217" s="33" t="n"/>
      <c r="G217" s="33" t="n"/>
      <c r="H217" s="33" t="n"/>
      <c r="I217" s="33" t="n"/>
      <c r="J217" s="33" t="n"/>
      <c r="K217" s="33" t="n"/>
      <c r="L217" s="33" t="n"/>
      <c r="M217" s="33" t="n"/>
      <c r="N217" s="33" t="n"/>
      <c r="O217" s="33" t="n"/>
      <c r="P217" s="33" t="n"/>
      <c r="Q217" s="33" t="inlineStr">
        <is>
          <t>How has the way you use Rover changed since you first started? Be specific — what do you use it for now that you didn't before, or stopped using it for? Rover use in the beginning:
I intended to use Rover for consistent and recurring dog walking client services
Rover use now:
I do not have any clients at the moment
How has your sense of Rovers value changed since you first started? Think about what the platform gives you now versus when you began — and whether the fees feel different adequate to you for this stage of your work. Rover value in the beginning:
I anticipated earning back the fee that I had to pay when I initially started
Rover value now:
I have not earned back that fee, and I feel that I am now at a financial Deficit</t>
        </is>
      </c>
      <c r="R217" s="33" t="inlineStr">
        <is>
          <t>No</t>
        </is>
      </c>
      <c r="S217" s="33" t="n"/>
      <c r="T217" s="33" t="n"/>
      <c r="U217" s="33" t="n"/>
      <c r="V217" s="34">
        <f>IF($A217="","",IF('⚙️ Settings'!$B$1="","",INT(($A217-'⚙️ Settings'!$B$1)/7)+1))</f>
        <v/>
      </c>
    </row>
    <row r="218" ht="15" customHeight="1" s="26">
      <c r="A218" s="37" t="n">
        <v>46216</v>
      </c>
      <c r="B218" s="36" t="inlineStr">
        <is>
          <t>Naomi</t>
        </is>
      </c>
      <c r="C218" s="36" t="inlineStr">
        <is>
          <t>M</t>
        </is>
      </c>
      <c r="D218" s="36" t="inlineStr">
        <is>
          <t>Topic 6. Potential Changes</t>
        </is>
      </c>
      <c r="E218" s="36" t="n"/>
      <c r="G218" s="36" t="n"/>
      <c r="H218" s="36" t="n"/>
      <c r="I218" s="36" t="n"/>
      <c r="J218" s="36" t="n"/>
      <c r="K218" s="36" t="n"/>
      <c r="L218" s="36" t="n"/>
      <c r="M218" s="36" t="n"/>
      <c r="N218" s="36" t="n"/>
      <c r="O218" s="36" t="n"/>
      <c r="P218" s="36" t="n"/>
      <c r="Q218" s="36" t="inlineStr">
        <is>
          <t>How has the way you use Rover changed since you first started? Be specific — what do you use it for now that you didn't before, or stopped using it for? Rover use in the beginning:
I would take any dog that came my way.
Rover use now:
I am more selective now, though still keep a pretty open mind.
How has your sense of Rovers value changed since you first started? Think about what the platform gives you now versus when you began — and whether the fees feel different adequate to you for this stage of your work. Rover value in the beginning:
High value for what I was looking for.
Rover value now:
Mid level value. From seeing they type of dogs that my tenant was able to get from sourcing in Manhattan, I believe that the clients I would get on my own might be easier dogs to manage than Rover dogs but I'm not at a place right now where I want to put in full effort to build my business online through tools like Google maps, yelp, Instagram and Facebook.</t>
        </is>
      </c>
      <c r="R218" s="36" t="inlineStr">
        <is>
          <t>No</t>
        </is>
      </c>
      <c r="S218" s="36" t="n"/>
      <c r="T218" s="36" t="n"/>
      <c r="U218" s="36" t="n"/>
      <c r="V218" s="34">
        <f>IF($A218="","",IF('⚙️ Settings'!$B$1="","",INT(($A218-'⚙️ Settings'!$B$1)/7)+1))</f>
        <v/>
      </c>
    </row>
    <row r="219" ht="15" customHeight="1" s="26">
      <c r="A219" s="38" t="n">
        <v>46217</v>
      </c>
      <c r="B219" s="33" t="inlineStr">
        <is>
          <t>Joey</t>
        </is>
      </c>
      <c r="C219" s="33" t="inlineStr">
        <is>
          <t>M</t>
        </is>
      </c>
      <c r="D219" s="33" t="inlineStr">
        <is>
          <t>Topic 6. Potential Changes</t>
        </is>
      </c>
      <c r="E219" s="33" t="n"/>
      <c r="G219" s="33" t="n"/>
      <c r="H219" s="33" t="n"/>
      <c r="I219" s="33" t="n"/>
      <c r="J219" s="33" t="n"/>
      <c r="K219" s="33" t="n"/>
      <c r="L219" s="33" t="n"/>
      <c r="M219" s="33" t="n"/>
      <c r="N219" s="33" t="n"/>
      <c r="O219" s="33" t="n"/>
      <c r="P219" s="33" t="n"/>
      <c r="Q219" s="33" t="inlineStr">
        <is>
          <t>How has the way you use Rover changed since you first started? Be specific — what do you use it for now that you didn't before, or stopped using it for? Rover use in the beginning:
I mainly use Rover as a platform to promote myself and reach out to potential client. I also use it as a marketing  research tool to get know how other prices their services.
Rover use now:
Same as above. Nothing changed.
How has your sense of Rovers value changed since you first started? Think about what the platform gives you now versus when you began — and whether the fees feel different adequate to you for this stage of your work. Rover value in the beginning:
Rover was able to bring in new customers that I wouldn’t be able to reach if I were a personal pet sitter. It also allows be to manage bookings easily in a systematic way.
Rover value now:
Same, no change. I feel like Rover’s support is enough for now.</t>
        </is>
      </c>
      <c r="R219" s="33" t="inlineStr">
        <is>
          <t>No</t>
        </is>
      </c>
      <c r="S219" s="33" t="n"/>
      <c r="T219" s="33" t="n"/>
      <c r="U219" s="33" t="n"/>
      <c r="V219" s="34">
        <f>IF($A219="","",IF('⚙️ Settings'!$B$1="","",INT(($A219-'⚙️ Settings'!$B$1)/7)+1))</f>
        <v/>
      </c>
    </row>
    <row r="220" ht="15" customHeight="1" s="26">
      <c r="A220" s="37" t="n">
        <v>46218</v>
      </c>
      <c r="B220" s="36" t="inlineStr">
        <is>
          <t>Deborah</t>
        </is>
      </c>
      <c r="C220" s="36" t="inlineStr">
        <is>
          <t>N</t>
        </is>
      </c>
      <c r="D220" s="36" t="inlineStr">
        <is>
          <t>Topic 6. Potential Changes</t>
        </is>
      </c>
      <c r="E220" s="36" t="n"/>
      <c r="G220" s="36" t="n"/>
      <c r="H220" s="36" t="n"/>
      <c r="I220" s="36" t="n"/>
      <c r="J220" s="36" t="n"/>
      <c r="K220" s="36" t="n"/>
      <c r="L220" s="36" t="n"/>
      <c r="M220" s="36" t="n"/>
      <c r="N220" s="36" t="n"/>
      <c r="O220" s="36" t="n"/>
      <c r="P220" s="36" t="n"/>
      <c r="Q220" s="36" t="inlineStr">
        <is>
          <t>How has the way you use Rover changed since you first started? Be specific — what do you use it for now that you didn't before, or stopped using it for? Rover use in the beginning:
I think I am too new to Rover to answer this question well. I'm using all the tools as each person sends a request.
Rover use now:
Calendar, booking, payments
How has your sense of Rovers value changed since you first started? Think about what the platform gives you now versus when you began — and whether the fees feel different adequate to you for this stage of your work. Rover value in the beginning:
I think I am too new to Rover to answer this question well. I'm using all the tools as each person sends a request.
Rover value now:
I'm still exploring the site and making sure I understand all the features well.</t>
        </is>
      </c>
      <c r="R220" s="36" t="inlineStr">
        <is>
          <t>No</t>
        </is>
      </c>
      <c r="S220" s="36" t="n"/>
      <c r="T220" s="36" t="n"/>
      <c r="U220" s="36" t="n"/>
      <c r="V220" s="34">
        <f>IF($A220="","",IF('⚙️ Settings'!$B$1="","",INT(($A220-'⚙️ Settings'!$B$1)/7)+1))</f>
        <v/>
      </c>
    </row>
    <row r="221" ht="15" customHeight="1" s="26">
      <c r="A221" s="38" t="n">
        <v>46218</v>
      </c>
      <c r="B221" s="33" t="inlineStr">
        <is>
          <t>Deborah</t>
        </is>
      </c>
      <c r="C221" s="33" t="inlineStr">
        <is>
          <t>N</t>
        </is>
      </c>
      <c r="D221" s="33" t="inlineStr">
        <is>
          <t>Topic 6. Potential Changes</t>
        </is>
      </c>
      <c r="E221" s="33" t="n"/>
      <c r="G221" s="33" t="n"/>
      <c r="H221" s="33" t="n"/>
      <c r="I221" s="33" t="n"/>
      <c r="J221" s="33" t="n"/>
      <c r="K221" s="33" t="n"/>
      <c r="L221" s="33" t="n"/>
      <c r="M221" s="33" t="n"/>
      <c r="N221" s="33" t="n"/>
      <c r="O221" s="33" t="n"/>
      <c r="P221" s="33" t="n"/>
      <c r="Q221" s="33" t="inlineStr">
        <is>
          <t>How has the way you use Rover changed since you first started? Be specific — what do you use it for now that you didn't before, or stopped using it for? Rover use in the beginning:
I am using Rover to manage my requests and bookings. I'm too new to make additional suggestions
Rover use now:
Archive: I had my daughter do a test request to see how Rover works. When we were done, I archived her request.  I have a "live" request to sit in May of 2027. We had our meet and greet today 7/14/2026. It's too early for them to book and pay, so I archievd their request. I am assuming I can change the dates and select BOOK when they are ready to pay.
How has your sense of Rovers value changed since you first started? Think about what the platform gives you now versus when you began — and whether the fees feel different adequate to you for this stage of your work. Rover value in the beginning:
Getting the first booking had me doubting how effective Rover would be. I was please to get and secure my first booking within 1 day of being on the site.
Rover value now:
I have 3 more requests that came in within the first 2 weeks. I feel confident that Rover will provide the supplemental income I'm looking for,</t>
        </is>
      </c>
      <c r="R221" s="33" t="inlineStr">
        <is>
          <t>No</t>
        </is>
      </c>
      <c r="S221" s="33" t="n"/>
      <c r="T221" s="33" t="n"/>
      <c r="U221" s="33" t="n"/>
      <c r="V221" s="34">
        <f>IF($A221="","",IF('⚙️ Settings'!$B$1="","",INT(($A221-'⚙️ Settings'!$B$1)/7)+1))</f>
        <v/>
      </c>
    </row>
    <row r="222" ht="15" customHeight="1" s="26">
      <c r="A222" s="37" t="n">
        <v>46218</v>
      </c>
      <c r="B222" s="36" t="inlineStr">
        <is>
          <t>Deborah</t>
        </is>
      </c>
      <c r="C222" s="36" t="inlineStr">
        <is>
          <t>N</t>
        </is>
      </c>
      <c r="D222" s="36" t="inlineStr">
        <is>
          <t>Topic 6. Potential Changes</t>
        </is>
      </c>
      <c r="E222" s="36" t="n"/>
      <c r="G222" s="36" t="n"/>
      <c r="H222" s="36" t="n"/>
      <c r="I222" s="36" t="n"/>
      <c r="J222" s="36" t="n"/>
      <c r="K222" s="36" t="n"/>
      <c r="L222" s="36" t="n"/>
      <c r="M222" s="36" t="n"/>
      <c r="N222" s="36" t="n"/>
      <c r="O222" s="36" t="n"/>
      <c r="P222" s="36" t="n"/>
      <c r="Q222" s="36" t="inlineStr">
        <is>
          <t>How has the way you use Rover changed since you first started? Be specific — what do you use it for now that you didn't before, or stopped using it for? Rover use in the beginning:
Being new I didn't know what to expect.
Rover use now:
I use it for all my requests and communication regarding that request.
How has your sense of Rovers value changed since you first started? Think about what the platform gives you now versus when you began — and whether the fees feel different adequate to you for this stage of your work. Rover value in the beginning:
I found that I can not type in the clients address to set a meet and greet because I don't know it. Customers told me they can't find the Propose Meet and Greet button. I give them my email address so we can exchange addresses and phone numbers.
Rover value now:
I'm still using this work around to set meet and greet dates.</t>
        </is>
      </c>
      <c r="R222" s="36" t="inlineStr">
        <is>
          <t>No</t>
        </is>
      </c>
      <c r="S222" s="36" t="n"/>
      <c r="T222" s="36" t="n"/>
      <c r="U222" s="36" t="n"/>
      <c r="V222" s="34">
        <f>IF($A222="","",IF('⚙️ Settings'!$B$1="","",INT(($A222-'⚙️ Settings'!$B$1)/7)+1))</f>
        <v/>
      </c>
    </row>
    <row r="223" ht="15" customHeight="1" s="26">
      <c r="A223" s="38" t="n">
        <v>46218</v>
      </c>
      <c r="B223" s="33" t="inlineStr">
        <is>
          <t>Rachel</t>
        </is>
      </c>
      <c r="C223" s="33" t="inlineStr">
        <is>
          <t>N</t>
        </is>
      </c>
      <c r="D223" s="33" t="inlineStr">
        <is>
          <t>Topic 6. Potential Changes</t>
        </is>
      </c>
      <c r="E223" s="33" t="n"/>
      <c r="G223" s="33" t="n"/>
      <c r="H223" s="33" t="n"/>
      <c r="I223" s="33" t="n"/>
      <c r="J223" s="33" t="n"/>
      <c r="K223" s="33" t="n"/>
      <c r="L223" s="33" t="n"/>
      <c r="M223" s="33" t="n"/>
      <c r="N223" s="33" t="n"/>
      <c r="O223" s="33" t="n"/>
      <c r="P223" s="33" t="n"/>
      <c r="Q223" s="33" t="inlineStr">
        <is>
          <t>How has the way you use Rover changed since you first started? Be specific — what do you use it for now that you didn't before, or stopped using it for? Rover use in the beginning:
I haven’t used rover at all
Rover use now:
I still haven’t used rover at all
How has your sense of Rovers value changed since you first started? Think about what the platform gives you now versus when you began — and whether the fees feel different adequate to you for this stage of your work. Rover value in the beginning:
I just got on the app and haven’t used it
Rover value now:
I just got on the app and haven’t used it</t>
        </is>
      </c>
      <c r="R223" s="33" t="inlineStr">
        <is>
          <t>No</t>
        </is>
      </c>
      <c r="S223" s="33" t="n"/>
      <c r="T223" s="33" t="n"/>
      <c r="U223" s="33" t="n"/>
      <c r="V223" s="34">
        <f>IF($A223="","",IF('⚙️ Settings'!$B$1="","",INT(($A223-'⚙️ Settings'!$B$1)/7)+1))</f>
        <v/>
      </c>
    </row>
    <row r="224" ht="15" customHeight="1" s="26">
      <c r="A224" s="37" t="n">
        <v>46219</v>
      </c>
      <c r="B224" s="36" t="inlineStr">
        <is>
          <t>Jilian</t>
        </is>
      </c>
      <c r="C224" s="36" t="inlineStr">
        <is>
          <t>N</t>
        </is>
      </c>
      <c r="D224" s="36" t="inlineStr">
        <is>
          <t>Topic 6. Potential Changes</t>
        </is>
      </c>
      <c r="E224" s="36" t="n"/>
      <c r="G224" s="36" t="n"/>
      <c r="H224" s="36" t="n"/>
      <c r="I224" s="36" t="n"/>
      <c r="J224" s="36" t="n"/>
      <c r="K224" s="36" t="n"/>
      <c r="L224" s="36" t="n"/>
      <c r="M224" s="36" t="n"/>
      <c r="N224" s="36" t="n"/>
      <c r="O224" s="36" t="n"/>
      <c r="P224" s="36" t="n"/>
      <c r="Q224" s="36" t="inlineStr">
        <is>
          <t>How has the way you use Rover changed since you first started? Be specific — what do you use it for now that you didn't before, or stopped using it for? Rover use in the beginning:
Difficult, didn’t get accepted for a while and didn’t know why.
Rover use now:
Getting more inquiries and bookings now that I’ve been accepted.
How has your sense of Rovers value changed since you first started? Think about what the platform gives you now versus when you began — and whether the fees feel different adequate to you for this stage of your work. Rover value in the beginning:
Not very valuable
Rover value now:
Pretty valuable</t>
        </is>
      </c>
      <c r="R224" s="36" t="inlineStr">
        <is>
          <t>No</t>
        </is>
      </c>
      <c r="S224" s="36" t="n"/>
      <c r="T224" s="36" t="n"/>
      <c r="U224" s="36" t="n"/>
      <c r="V224" s="34">
        <f>IF($A224="","",IF('⚙️ Settings'!$B$1="","",INT(($A224-'⚙️ Settings'!$B$1)/7)+1))</f>
        <v/>
      </c>
    </row>
    <row r="225" ht="15" customHeight="1" s="26">
      <c r="A225" s="38" t="n">
        <v>46220</v>
      </c>
      <c r="B225" s="33" t="inlineStr">
        <is>
          <t>Julia</t>
        </is>
      </c>
      <c r="C225" s="33" t="inlineStr">
        <is>
          <t>N</t>
        </is>
      </c>
      <c r="D225" s="33" t="inlineStr">
        <is>
          <t>Topic 6. Potential Changes</t>
        </is>
      </c>
      <c r="E225" s="33" t="n"/>
      <c r="G225" s="33" t="n"/>
      <c r="H225" s="33" t="n"/>
      <c r="I225" s="33" t="n"/>
      <c r="J225" s="33" t="n"/>
      <c r="K225" s="33" t="n"/>
      <c r="L225" s="33" t="n"/>
      <c r="M225" s="33" t="n"/>
      <c r="N225" s="33" t="n"/>
      <c r="O225" s="33" t="n"/>
      <c r="P225" s="33" t="n"/>
      <c r="Q225" s="33" t="inlineStr">
        <is>
          <t>How has the way you use Rover changed since you first started? Be specific — what do you use it for now that you didn't before, or stopped using it for? Rover use in the beginning:
Since I am new to Rover, I have been using every feature they offer so far. I haven’t stopped using any feature specifically as of yet.
Rover use now:
Same answer as above.
How has your sense of Rovers value changed since you first started? Think about what the platform gives you now versus when you began — and whether the fees feel different adequate to you for this stage of your work. Rover value in the beginning:
Minimum value changes since I am new to the platform. Hoping to get good reviews with my first few pet sittings to boost up my profile and potentially my prices.
Rover value now:
Same answer as above.</t>
        </is>
      </c>
      <c r="R225" s="33" t="inlineStr">
        <is>
          <t>No</t>
        </is>
      </c>
      <c r="S225" s="33" t="n"/>
      <c r="T225" s="33" t="n"/>
      <c r="U225" s="33" t="n"/>
      <c r="V225" s="34">
        <f>IF($A225="","",IF('⚙️ Settings'!$B$1="","",INT(($A225-'⚙️ Settings'!$B$1)/7)+1))</f>
        <v/>
      </c>
    </row>
    <row r="226" ht="15" customHeight="1" s="26">
      <c r="A226" s="37" t="n">
        <v>46220</v>
      </c>
      <c r="B226" s="36" t="inlineStr">
        <is>
          <t>Megan</t>
        </is>
      </c>
      <c r="C226" s="36" t="inlineStr">
        <is>
          <t>M</t>
        </is>
      </c>
      <c r="D226" s="36" t="inlineStr">
        <is>
          <t>Topic 6. Potential Changes</t>
        </is>
      </c>
      <c r="E226" s="36" t="n"/>
      <c r="G226" s="36" t="n"/>
      <c r="H226" s="36" t="n"/>
      <c r="I226" s="36" t="n"/>
      <c r="J226" s="36" t="n"/>
      <c r="K226" s="36" t="n"/>
      <c r="L226" s="36" t="n"/>
      <c r="M226" s="36" t="n"/>
      <c r="N226" s="36" t="n"/>
      <c r="O226" s="36" t="n"/>
      <c r="P226" s="36" t="n"/>
      <c r="Q226" s="36" t="inlineStr">
        <is>
          <t>How has the way you use Rover changed since you first started? Be specific — what do you use it for now that you didn't before, or stopped using it for? Rover use in the beginning:
When I first joined Rover, I offered house sitting, dog walking, and drop-in visits because I wanted to see what I enjoyed most. I accepted a variety of bookings while I was learning how the platform worked and building up reviews.
Rover use now:
Now I mainly use Rover for house sitting and the occasional dropin visit. I stopped offering dog walking because I realized it wasn’t something I enjoyed. I prefer overnight house sits because I like getting to know the pets and keeping them in their normal routine while their owners are away.
How has your sense of Rovers value changed since you first started? Think about what the platform gives you now versus when you began — and whether the fees feel different adequate to you for this stage of your work. Rover value in the beginning:
When I first started, Rover was a great way to get clients and build up reviews. Since I was new, I didn’t mind paying the fees because it helped me get my name out there and made booking and payments easy.
Rover value now:
I still like using Rover because it brings me clients I probably wouldn’t have found otherwise, and it’s easy to keep everything in one place. But I don’t really like that Rover takes a fee from every single booking. They say it’s for safety and support, but it definitely adds up. I also wish they made it clearer that house sitting is based on 8 hours, and if a client needs you there longer, they can be charged an extended care fee. I’ve had clients confused by that, and at first I was too because it wasn’t explained very clearly.</t>
        </is>
      </c>
      <c r="R226" s="36" t="inlineStr">
        <is>
          <t>No</t>
        </is>
      </c>
      <c r="S226" s="36" t="n"/>
      <c r="T226" s="36" t="n"/>
      <c r="U226" s="36" t="n"/>
      <c r="V226" s="34">
        <f>IF($A226="","",IF('⚙️ Settings'!$B$1="","",INT(($A226-'⚙️ Settings'!$B$1)/7)+1))</f>
        <v/>
      </c>
    </row>
    <row r="227" ht="15" customHeight="1" s="26">
      <c r="A227" s="38" t="n">
        <v>46220</v>
      </c>
      <c r="B227" s="33" t="inlineStr">
        <is>
          <t>Caroline</t>
        </is>
      </c>
      <c r="C227" s="33" t="inlineStr">
        <is>
          <t>M</t>
        </is>
      </c>
      <c r="D227" s="33" t="inlineStr">
        <is>
          <t>Topic 6. Potential Changes</t>
        </is>
      </c>
      <c r="E227" s="33" t="n"/>
      <c r="G227" s="33" t="n"/>
      <c r="H227" s="33" t="n"/>
      <c r="I227" s="33" t="n"/>
      <c r="J227" s="33" t="n"/>
      <c r="K227" s="33" t="n"/>
      <c r="L227" s="33" t="n"/>
      <c r="M227" s="33" t="n"/>
      <c r="N227" s="33" t="n"/>
      <c r="O227" s="33" t="n"/>
      <c r="P227" s="33" t="n"/>
      <c r="Q227" s="33" t="inlineStr">
        <is>
          <t>How has the way you use Rover changed since you first started? Be specific — what do you use it for now that you didn't before, or stopped using it for? Rover use in the beginning:
Had just dog walking and drop in services. Kind of set it up and forgot about it as I didn’t hear anything. Didn’t really update my calander as was not getting any bookings.
Rover use now:
I have added a new service house sitting since my dog passed over. I now go farther out in the calander and block off dates where I have appointments  or vacations or anything where I need to be near home as some of the house sitting I have a large radius and can be an hour away. I update and check my calendar compared to my paper calander on the regular now that I am getting more bookings. I know now May is the biggest request time as so many people are scheduling for their summer vacations. I try not to plan anything around Holidays as the holiday rate is worth it to be available. I have notifications turned on (only app I have this for - don’t even have this for text messages) to make sure I respond as fast as possible to the potential client. I am now more empowered and don’t jump to accepting the client always do a meet and greet first and am way more not apt to act like I am going to take the job - have a real attitude of interviewing them not just jumping to have a client. More discerning and higher rates to get clientele that are not going to nickel and dime me.
How has your sense of Rovers value changed since you first started? Think about what the platform gives you now versus when you began — and whether the fees feel different adequate to you for this stage of your work. Rover value in the beginning:
The value is really in the access to people looking for pet-sitters. It is the number one platform so your exposure to potential clients is the biggest value. Value is other than the background check doesn’t cost me anything to put it out there and see if I get anyone interested.
Rover value now:
After having numerous bookings the fees do seem pretty high and a big chunk of the fee but again the exposure is the real value. I have not joined any other pet sitting platforms as rover feels like the majority of the market share and big kahuna of where people go to look for a pet-sitter.</t>
        </is>
      </c>
      <c r="R227" s="33" t="inlineStr">
        <is>
          <t>No</t>
        </is>
      </c>
      <c r="S227" s="33" t="n"/>
      <c r="T227" s="33" t="n"/>
      <c r="U227" s="33" t="n"/>
      <c r="V227" s="34">
        <f>IF($A227="","",IF('⚙️ Settings'!$B$1="","",INT(($A227-'⚙️ Settings'!$B$1)/7)+1))</f>
        <v/>
      </c>
    </row>
    <row r="228" ht="15" customHeight="1" s="26">
      <c r="A228" s="37" t="n">
        <v>46221</v>
      </c>
      <c r="B228" s="36" t="inlineStr">
        <is>
          <t>Melissa</t>
        </is>
      </c>
      <c r="C228" s="36" t="inlineStr">
        <is>
          <t>M</t>
        </is>
      </c>
      <c r="D228" s="36" t="inlineStr">
        <is>
          <t>Topic 6. Potential Changes</t>
        </is>
      </c>
      <c r="E228" s="36" t="n"/>
      <c r="G228" s="36" t="n"/>
      <c r="H228" s="36" t="n"/>
      <c r="I228" s="36" t="n"/>
      <c r="J228" s="36" t="n"/>
      <c r="K228" s="36" t="n"/>
      <c r="L228" s="36" t="n"/>
      <c r="M228" s="36" t="n"/>
      <c r="N228" s="36" t="n"/>
      <c r="O228" s="36" t="n"/>
      <c r="P228" s="36" t="n"/>
      <c r="Q228" s="36" t="inlineStr">
        <is>
          <t>How has the way you use Rover changed since you first started? Be specific — what do you use it for now that you didn't before, or stopped using it for? Rover use in the beginning:
I used it to find pet sitters for my dog
Rover use now:
I am a pet sitter
How has your sense of Rovers value changed since you first started? Think about what the platform gives you now versus when you began — and whether the fees feel different adequate to you for this stage of your work. Rover value in the beginning:
Great as a pet owner
Rover value now:
Valuable as a pet sitter with some caveats</t>
        </is>
      </c>
      <c r="R228" s="36" t="inlineStr">
        <is>
          <t>No</t>
        </is>
      </c>
      <c r="S228" s="36" t="n"/>
      <c r="T228" s="36" t="n"/>
      <c r="U228" s="36" t="n"/>
      <c r="V228" s="34">
        <f>IF($A228="","",IF('⚙️ Settings'!$B$1="","",INT(($A228-'⚙️ Settings'!$B$1)/7)+1))</f>
        <v/>
      </c>
    </row>
    <row r="229" ht="15" customHeight="1" s="26">
      <c r="A229" s="38" t="n">
        <v>46222</v>
      </c>
      <c r="B229" s="33" t="inlineStr">
        <is>
          <t>Emma</t>
        </is>
      </c>
      <c r="C229" s="33" t="inlineStr">
        <is>
          <t>M</t>
        </is>
      </c>
      <c r="D229" s="33" t="inlineStr">
        <is>
          <t>Topic 6. Potential Changes</t>
        </is>
      </c>
      <c r="E229" s="33" t="n"/>
      <c r="G229" s="33" t="n"/>
      <c r="H229" s="33" t="n"/>
      <c r="I229" s="33" t="n"/>
      <c r="J229" s="33" t="n"/>
      <c r="K229" s="33" t="n"/>
      <c r="L229" s="33" t="n"/>
      <c r="M229" s="33" t="n"/>
      <c r="N229" s="33" t="n"/>
      <c r="O229" s="33" t="n"/>
      <c r="P229" s="33" t="n"/>
      <c r="Q229" s="33" t="inlineStr">
        <is>
          <t>How has the way you use Rover changed since you first started? Be specific — what do you use it for now that you didn't before, or stopped using it for? Rover use in the beginning:
Drop in visits and house sitting, just adult dogs and cats.
Rover use now:
I’ve expanded to dog walking, and I feel comfortable looking after kittens and puppies.
How has your sense of Rovers value changed since you first started? Think about what the platform gives you now versus when you began — and whether the fees feel different adequate to you for this stage of your work. Rover value in the beginning:
My rates were pretty low at the start, and even with fees, I was happy to be getting anything at all.
Rover value now:
I’ve increased my rates, especially for house sitting, because it’s a lot of work. I understand why the fees exist, but it is frustrating they take part of your earnings, especially since you have to put aside money for taxes.</t>
        </is>
      </c>
      <c r="R229" s="33" t="inlineStr">
        <is>
          <t>No</t>
        </is>
      </c>
      <c r="S229" s="33" t="n"/>
      <c r="T229" s="33" t="n"/>
      <c r="U229" s="33" t="n"/>
      <c r="V229" s="34">
        <f>IF($A229="","",IF('⚙️ Settings'!$B$1="","",INT(($A229-'⚙️ Settings'!$B$1)/7)+1))</f>
        <v/>
      </c>
    </row>
    <row r="230" ht="15" customHeight="1" s="26">
      <c r="A230" s="37" t="n">
        <v>46223</v>
      </c>
      <c r="B230" s="36" t="inlineStr">
        <is>
          <t>Desiree</t>
        </is>
      </c>
      <c r="C230" s="36" t="inlineStr">
        <is>
          <t>N</t>
        </is>
      </c>
      <c r="D230" s="36" t="inlineStr">
        <is>
          <t>Topic 6. Potential Changes</t>
        </is>
      </c>
      <c r="E230" s="36" t="n"/>
      <c r="G230" s="36" t="n"/>
      <c r="H230" s="36" t="n"/>
      <c r="I230" s="36" t="n"/>
      <c r="J230" s="36" t="n"/>
      <c r="K230" s="36" t="n"/>
      <c r="L230" s="36" t="n"/>
      <c r="M230" s="36" t="n"/>
      <c r="N230" s="36" t="n"/>
      <c r="O230" s="36" t="n"/>
      <c r="P230" s="36" t="n"/>
      <c r="Q230" s="36" t="inlineStr">
        <is>
          <t>How has the way you use Rover changed since you first started? Be specific — what do you use it for now that you didn't before, or stopped using it for? Rover use in the beginning:
At first, I was open to any an all - housesits, walks, drop ins. Within a radius that I thought was reasonable.
Rover use now:
Now, I have to be more dialed in about what time/availability I can offer because I can't spend a bunch of time traveling all over town. If it is a walk or drop in, it needs to be right near where I am and a big enough commitment to make it worth my time. If it is a sit, it needs to be long enough and the right location to align with what I'm trying to accomplish for that time period.
How has your sense of Rovers value changed since you first started? Think about what the platform gives you now versus when you began — and whether the fees feel different adequate to you for this stage of your work. Rover value in the beginning:
Making income while doing what I'm doing anyway - house/dogsitting. And the opportunity to make extra income in free time walking or dropping in.
Rover value now:
Beause I haven't recieved any drop-in requests, and the walking requests are sporadic and unpredictable with schedule and location, I'm narrowed in on house/dog-sitting opportunities AND walking with a customer who is ready for consistency. I think Rover brings some solid inquiries my way and allows me to choose what I take on or not according to my availability.</t>
        </is>
      </c>
      <c r="R230" s="36" t="inlineStr">
        <is>
          <t>No</t>
        </is>
      </c>
      <c r="S230" s="36" t="n"/>
      <c r="T230" s="36" t="n"/>
      <c r="U230" s="36" t="n"/>
      <c r="V230" s="34">
        <f>IF($A230="","",IF('⚙️ Settings'!$B$1="","",INT(($A230-'⚙️ Settings'!$B$1)/7)+1))</f>
        <v/>
      </c>
    </row>
    <row r="231" ht="15" customHeight="1" s="26">
      <c r="A231" s="38" t="n">
        <v>46223</v>
      </c>
      <c r="B231" s="33" t="inlineStr">
        <is>
          <t>TR</t>
        </is>
      </c>
      <c r="C231" s="33" t="inlineStr">
        <is>
          <t>T</t>
        </is>
      </c>
      <c r="D231" s="33" t="inlineStr">
        <is>
          <t>Topic 6. Potential Changes</t>
        </is>
      </c>
      <c r="E231" s="33" t="n"/>
      <c r="G231" s="33" t="n"/>
      <c r="H231" s="33" t="n"/>
      <c r="I231" s="33" t="n"/>
      <c r="J231" s="33" t="n"/>
      <c r="K231" s="33" t="n"/>
      <c r="L231" s="33" t="n"/>
      <c r="M231" s="33" t="n"/>
      <c r="N231" s="33" t="n"/>
      <c r="O231" s="33" t="n"/>
      <c r="P231" s="33" t="n"/>
      <c r="Q231" s="33" t="inlineStr">
        <is>
          <t>How has the way you use Rover changed since you first started? Be specific — what do you use it for now that you didn't before, or stopped using it for? Rover use in the beginning:
Only used for cat boarding with lower price ($24-$30 per night). Based in San Diego.
Rover use now:
Offer services in dog boarding, drop-ins and increased my price on cat boarding (~$40 per night). Relocated to San Jose.
How has your sense of Rovers value changed since you first started? Think about what the platform gives you now versus when you began — and whether the fees feel different adequate to you for this stage of your work. Rover value in the beginning:
Initially Rover felt like just slightly bit more extra money for me, and it felt more free form. The efforts I put in were so small that I didn’t really think about it for most parts.
Rover value now:
Currently Rover feels like an actual side gig, and I need to devote slightly more energy to make my Rover career more organized. I need to actively think about my daily schedules and if Rover can work well with that. For example, if I have heavy study schedule this week, I won’t take any drop ins, as they actually take more time from me and tend to disrupt my schedule. This level of business and organization overall work well with my life stage, and I enjoy planning things around.</t>
        </is>
      </c>
      <c r="R231" s="33" t="inlineStr">
        <is>
          <t>No</t>
        </is>
      </c>
      <c r="S231" s="33" t="n"/>
      <c r="T231" s="33" t="n"/>
      <c r="U231" s="33" t="n"/>
      <c r="V231" s="34">
        <f>IF($A231="","",IF('⚙️ Settings'!$B$1="","",INT(($A231-'⚙️ Settings'!$B$1)/7)+1))</f>
        <v/>
      </c>
    </row>
    <row r="232" ht="15" customHeight="1" s="26">
      <c r="A232" s="37" t="n">
        <v>46224</v>
      </c>
      <c r="B232" s="36" t="inlineStr">
        <is>
          <t>Shania</t>
        </is>
      </c>
      <c r="C232" s="36" t="inlineStr">
        <is>
          <t>T</t>
        </is>
      </c>
      <c r="D232" s="36" t="inlineStr">
        <is>
          <t>Topic 6. Potential Changes</t>
        </is>
      </c>
      <c r="E232" s="36" t="n"/>
      <c r="G232" s="36" t="n"/>
      <c r="H232" s="36" t="n"/>
      <c r="I232" s="36" t="n"/>
      <c r="J232" s="36" t="n"/>
      <c r="K232" s="36" t="n"/>
      <c r="L232" s="36" t="n"/>
      <c r="M232" s="36" t="n"/>
      <c r="N232" s="36" t="n"/>
      <c r="O232" s="36" t="n"/>
      <c r="P232" s="36" t="n"/>
      <c r="Q232" s="36" t="inlineStr">
        <is>
          <t>How has the way you use Rover changed since you first started? Be specific — what do you use it for now that you didn't before, or stopped using it for? Rover use in the beginning:
In the beginning I really underestimated how much I needed to properly fill in my profile. I would only adjust my calendar once a month. I didn't know how to properly express my love  for dogs and how I was going to perform my services. It was exceptionally hard since I had no experience with pets.
Rover use now:
Now I treat rover as it's own business. I check into the app regularly and I respond to potential new clients very quickly. I also tend to check my analytics more , so that I can convert potential clients into actual paying and hopefully long-term clients.
How has your sense of Rovers value changed since you first started? Think about what the platform gives you now versus when you began — and whether the fees feel different adequate to you for this stage of your work. Rover value in the beginning:
Fee wise, I did not mind Rover taking a 20% fee in the beginning since my bookings at the time were purely dog walks. The fee felt fair since the app was helping me gain exposure, offer insurance and handle payments. Taking 1-2 dollars off of a 16 dollar walk was manageable.
Rover value now:
Now, while I still appreciate the pet insurance and the booking convenience, it becomes a bit harder to tolerate the 20% fee when arranging more high ticket bookings. While yes I can also increase my rates to counteract the fees, it becomes harder to attract new clients as now the extra cost is coming from their pockets. The fee also becomes hard to justify when there aren't any extra benefits that Rover gives from doing a house sit compared to a normal walk.</t>
        </is>
      </c>
      <c r="R232" s="36" t="inlineStr">
        <is>
          <t>No</t>
        </is>
      </c>
      <c r="S232" s="36" t="n"/>
      <c r="T232" s="36" t="n"/>
      <c r="U232" s="36" t="n"/>
      <c r="V232" s="34">
        <f>IF($A232="","",IF('⚙️ Settings'!$B$1="","",INT(($A232-'⚙️ Settings'!$B$1)/7)+1))</f>
        <v/>
      </c>
    </row>
    <row r="233" ht="15" customHeight="1" s="26">
      <c r="A233" s="38" t="n">
        <v>46224</v>
      </c>
      <c r="B233" s="33" t="inlineStr">
        <is>
          <t>Amy</t>
        </is>
      </c>
      <c r="C233" s="33" t="inlineStr">
        <is>
          <t>T</t>
        </is>
      </c>
      <c r="D233" s="33" t="inlineStr">
        <is>
          <t>Topic 6. Potential Changes</t>
        </is>
      </c>
      <c r="E233" s="33" t="n"/>
      <c r="G233" s="33" t="n"/>
      <c r="H233" s="33" t="n"/>
      <c r="I233" s="33" t="n"/>
      <c r="J233" s="33" t="n"/>
      <c r="K233" s="33" t="n"/>
      <c r="L233" s="33" t="n"/>
      <c r="M233" s="33" t="n"/>
      <c r="N233" s="33" t="n"/>
      <c r="O233" s="33" t="n"/>
      <c r="P233" s="33" t="n"/>
      <c r="Q233" s="33" t="inlineStr">
        <is>
          <t>How has the way you use Rover changed since you first started? Be specific — what do you use it for now that you didn't before, or stopped using it for? Rover use in the beginning:
Trying to get used to the platform. I only messaged back and forth w/clients. I didn't try "Rover cards". I also started with just drop in visits.
Rover use now:
I really like the Rover cards for walks and drop in visits.
How has your sense of Rovers value changed since you first started? Think about what the platform gives you now versus when you began — and whether the fees feel different adequate to you for this stage of your work. Rover value in the beginning:
I paid more attention to the fees in the beginning. I thought I would be making more $$ if I was doing this on my own.
Rover value now:
I've built a good client base at this point because people have seen me on Rover and they've read my reviews. Rover gets me clients outside of ny friends and immediate neighborhood.</t>
        </is>
      </c>
      <c r="R233" s="33" t="inlineStr">
        <is>
          <t>No</t>
        </is>
      </c>
      <c r="S233" s="33" t="n"/>
      <c r="T233" s="33" t="n"/>
      <c r="U233" s="33" t="n"/>
      <c r="V233" s="34">
        <f>IF($A233="","",IF('⚙️ Settings'!$B$1="","",INT(($A233-'⚙️ Settings'!$B$1)/7)+1))</f>
        <v/>
      </c>
    </row>
    <row r="234" ht="15" customHeight="1" s="26">
      <c r="A234" s="37" t="n">
        <v>46225</v>
      </c>
      <c r="B234" s="36" t="inlineStr">
        <is>
          <t>Cate</t>
        </is>
      </c>
      <c r="C234" s="36" t="inlineStr">
        <is>
          <t>M</t>
        </is>
      </c>
      <c r="D234" s="36" t="inlineStr">
        <is>
          <t>Topic 6. Potential Changes</t>
        </is>
      </c>
      <c r="E234" s="36" t="n"/>
      <c r="G234" s="36" t="n"/>
      <c r="H234" s="36" t="n"/>
      <c r="I234" s="36" t="n"/>
      <c r="J234" s="36" t="n"/>
      <c r="K234" s="36" t="n"/>
      <c r="L234" s="36" t="n"/>
      <c r="M234" s="36" t="n"/>
      <c r="N234" s="36" t="n"/>
      <c r="O234" s="36" t="n"/>
      <c r="P234" s="36" t="n"/>
      <c r="Q234" s="36" t="inlineStr">
        <is>
          <t>How has the way you use Rover changed since you first started? Be specific — what do you use it for now that you didn't before, or stopped using it for? Rover use in the beginning:
I don’t think there have been significant changes and how we’ve used Rover over the time that we’ve been on the platform. As we learn more about the platform and become more familiar with it, we continue to use more of the features and shortcuts.
Rover use now:
See abov
How has your sense of Rovers value changed since you first started? Think about what the platform gives you now versus when you began — and whether the fees feel different adequate to you for this stage of your work. Rover value in the beginning:
It provided a low risk way of getting in to the business of pet sitting formally. It is an easy to use platform.
Rover value now:
Rover still provides for us what it did in the beginning. The more that we’ve shared with people in our community and social groups, the more we are able to get word out about our business outside of Rover.</t>
        </is>
      </c>
      <c r="R234" s="36" t="inlineStr">
        <is>
          <t>No</t>
        </is>
      </c>
      <c r="S234" s="36" t="n"/>
      <c r="T234" s="36" t="n"/>
      <c r="U234" s="36" t="n"/>
      <c r="V234" s="34">
        <f>IF($A234="","",IF('⚙️ Settings'!$B$1="","",INT(($A234-'⚙️ Settings'!$B$1)/7)+1))</f>
        <v/>
      </c>
    </row>
    <row r="235" ht="15" customHeight="1" s="26">
      <c r="A235" s="38" t="n">
        <v>46225</v>
      </c>
      <c r="B235" s="33" t="inlineStr">
        <is>
          <t>Erica</t>
        </is>
      </c>
      <c r="C235" s="33" t="inlineStr">
        <is>
          <t>M</t>
        </is>
      </c>
      <c r="D235" s="33" t="inlineStr">
        <is>
          <t>Topic 6. Potential Changes</t>
        </is>
      </c>
      <c r="E235" s="33" t="n"/>
      <c r="G235" s="33" t="n"/>
      <c r="H235" s="33" t="n"/>
      <c r="I235" s="33" t="n"/>
      <c r="J235" s="33" t="n"/>
      <c r="K235" s="33" t="n"/>
      <c r="L235" s="33" t="n"/>
      <c r="M235" s="33" t="n"/>
      <c r="N235" s="33" t="n"/>
      <c r="O235" s="33" t="n"/>
      <c r="P235" s="33" t="n"/>
      <c r="Q235" s="33" t="inlineStr">
        <is>
          <t>How has the way you use Rover changed since you first started? Be specific — what do you use it for now that you didn't before, or stopped using it for? Rover use in the beginning:
I was much more available
Rover use now:
I have to update my schedule regularly
How has your sense of Rovers value changed since you first started? Think about what the platform gives you now versus when you began — and whether the fees feel different adequate to you for this stage of your work. Rover value in the beginning:
They feel the same. I'm not making consistent enough money to compare.
Rover value now:
Please see above.</t>
        </is>
      </c>
      <c r="R235" s="33" t="inlineStr">
        <is>
          <t>No</t>
        </is>
      </c>
      <c r="S235" s="33" t="n"/>
      <c r="T235" s="33" t="n"/>
      <c r="U235" s="33" t="n"/>
      <c r="V235" s="34">
        <f>IF($A235="","",IF('⚙️ Settings'!$B$1="","",INT(($A235-'⚙️ Settings'!$B$1)/7)+1))</f>
        <v/>
      </c>
    </row>
    <row r="236" ht="15" customHeight="1" s="26">
      <c r="A236" s="37" t="n">
        <v>46225</v>
      </c>
      <c r="B236" s="36" t="inlineStr">
        <is>
          <t>Anita</t>
        </is>
      </c>
      <c r="C236" s="36" t="inlineStr">
        <is>
          <t>T</t>
        </is>
      </c>
      <c r="D236" s="36" t="inlineStr">
        <is>
          <t>Topic 6. Potential Changes</t>
        </is>
      </c>
      <c r="E236" s="36" t="n"/>
      <c r="G236" s="36" t="n"/>
      <c r="H236" s="36" t="n"/>
      <c r="I236" s="36" t="n"/>
      <c r="J236" s="36" t="n"/>
      <c r="K236" s="36" t="n"/>
      <c r="L236" s="36" t="n"/>
      <c r="M236" s="36" t="n"/>
      <c r="N236" s="36" t="n"/>
      <c r="O236" s="36" t="n"/>
      <c r="P236" s="36" t="n"/>
      <c r="Q236" s="36" t="inlineStr">
        <is>
          <t>How has the way you use Rover changed since you first started? Be specific — what do you use it for now that you didn't before, or stopped using it for? Rover use in the beginning:
Rover was easy to use in the beginning. No problems using the interface at all.
Rover use now:
I think the improvements to the Rover app over the years has made it more informative for both the owners and the pet walkers. 
Being able to have open communications and sharing photos of their daily routines has improved our availability with everyone.
How has your sense of Rovers value changed since you first started? Think about what the platform gives you now versus when you began — and whether the fees feel different adequate to you for this stage of your work. Rover value in the beginning:
Rover gave me access to people I would not have otherwise met in person. 
Living in a big city, people tend to be more secluded.
Rover value now:
Rover has given me access in many different cities that I have moved to over the years. 
Finding new owners every time I move would have been very difficult without Rover. 
Thankfully I have been able to rebuild my daily dog walking since the pandemic through Rover.</t>
        </is>
      </c>
      <c r="R236" s="36" t="inlineStr">
        <is>
          <t>No</t>
        </is>
      </c>
      <c r="S236" s="36" t="n"/>
      <c r="T236" s="36" t="n"/>
      <c r="U236" s="36" t="n"/>
      <c r="V236" s="34">
        <f>IF($A236="","",IF('⚙️ Settings'!$B$1="","",INT(($A236-'⚙️ Settings'!$B$1)/7)+1))</f>
        <v/>
      </c>
    </row>
    <row r="237" ht="15" customHeight="1" s="26">
      <c r="A237" s="38" t="n">
        <v>46226</v>
      </c>
      <c r="B237" s="33" t="inlineStr">
        <is>
          <t>Alexia</t>
        </is>
      </c>
      <c r="C237" s="33" t="inlineStr">
        <is>
          <t>M</t>
        </is>
      </c>
      <c r="D237" s="33" t="inlineStr">
        <is>
          <t>Topic 6. Potential Changes</t>
        </is>
      </c>
      <c r="E237" s="33" t="n"/>
      <c r="G237" s="33" t="n"/>
      <c r="H237" s="33" t="n"/>
      <c r="I237" s="33" t="n"/>
      <c r="J237" s="33" t="n"/>
      <c r="K237" s="33" t="n"/>
      <c r="L237" s="33" t="n"/>
      <c r="M237" s="33" t="n"/>
      <c r="N237" s="33" t="n"/>
      <c r="O237" s="33" t="n"/>
      <c r="P237" s="33" t="n"/>
      <c r="Q237" s="33" t="inlineStr">
        <is>
          <t>How has the way you use Rover changed since you first started? Be specific — what do you use it for now that you didn't before, or stopped using it for? Rover use in the beginning:
Rover has been the same as I started. I haven't noticed any significant changes.
Rover use now:
See above
How has your sense of Rovers value changed since you first started? Think about what the platform gives you now versus when you began — and whether the fees feel different adequate to you for this stage of your work. Rover value in the beginning:
I was more concerned about getting clients so I put myself as cheap as I would go.
Rover value now:
I wish I didn't do that. I now have a few clients and I would like to be making more money so I can do this full time.</t>
        </is>
      </c>
      <c r="R237" s="33" t="inlineStr">
        <is>
          <t>No</t>
        </is>
      </c>
      <c r="S237" s="33" t="n"/>
      <c r="T237" s="33" t="n"/>
      <c r="U237" s="33" t="n"/>
      <c r="V237" s="34">
        <f>IF($A237="","",IF('⚙️ Settings'!$B$1="","",INT(($A237-'⚙️ Settings'!$B$1)/7)+1))</f>
        <v/>
      </c>
    </row>
    <row r="238" ht="15" customHeight="1" s="26">
      <c r="A238" s="37" t="n">
        <v>46213</v>
      </c>
      <c r="B238" s="36" t="inlineStr">
        <is>
          <t>Becky</t>
        </is>
      </c>
      <c r="C238" s="36" t="inlineStr">
        <is>
          <t>T</t>
        </is>
      </c>
      <c r="D238" s="36" t="inlineStr">
        <is>
          <t>Topic 7. A normal service day</t>
        </is>
      </c>
      <c r="E238" s="36" t="n"/>
      <c r="G238" s="36" t="n"/>
      <c r="H238" s="36" t="n"/>
      <c r="I238" s="36" t="n"/>
      <c r="J238" s="36" t="n"/>
      <c r="K238" s="36" t="n"/>
      <c r="L238" s="36" t="n"/>
      <c r="M238" s="36" t="n"/>
      <c r="N238" s="36" t="n"/>
      <c r="O238" s="36" t="n"/>
      <c r="P238" s="36" t="n"/>
      <c r="Q238" s="36" t="inlineStr">
        <is>
          <t>Preperation:
I read the profile and ask questions if there is anything unique about the dog.
Travel:
We may schedule a meet and greet. Typically if I am house sitting, I will go to their house. If I am boarding, the dogs and their humans usually come to my house. Occasionally we will meet at a public park or something.
Actual Service:
The owners will drop the dog off or I will go to their house. I usually start with a walk if the weather permits, to help ease the dogs anxiety with a stranger. It helps them know that we are friends. 
Throughout the day I’ll follow whatever instructions the owners provided, and we’ll go on walks/potty breaks or play between my work meetings.
Updates on the Owner:
I share photos and updates as the day progresses, especially with first time clients. For dogs I’ve watched a bunch, we already have a routine down so there’s not much to share.
Closing on Rover:
I usually try to fill out the feedback on Rover shortly after the sitting ends, so I don’t forget. The questions are pretty simple.
Anything else:
No
Overall, was there any effort involved that Rover or the client might not see? What was it? (e.g.remembering pet routines, managing expectations, preparing the home, tracking information)
The dog owners usually provide written instructions, so I just follow those.</t>
        </is>
      </c>
      <c r="R238" s="36" t="inlineStr">
        <is>
          <t>No</t>
        </is>
      </c>
      <c r="S238" s="36" t="n"/>
      <c r="T238" s="36" t="n"/>
      <c r="U238" s="36" t="n"/>
      <c r="V238" s="34">
        <f>IF($A238="","",IF('⚙️ Settings'!$B$1="","",INT(($A238-'⚙️ Settings'!$B$1)/7)+1))</f>
        <v/>
      </c>
    </row>
    <row r="239" ht="15" customHeight="1" s="26">
      <c r="A239" s="38" t="n">
        <v>46213</v>
      </c>
      <c r="B239" s="33" t="inlineStr">
        <is>
          <t>Tifany</t>
        </is>
      </c>
      <c r="C239" s="33" t="inlineStr">
        <is>
          <t>T</t>
        </is>
      </c>
      <c r="D239" s="33" t="inlineStr">
        <is>
          <t>Topic 7. A normal service day</t>
        </is>
      </c>
      <c r="E239" s="33" t="n"/>
      <c r="G239" s="33" t="n"/>
      <c r="H239" s="33" t="n"/>
      <c r="I239" s="33" t="n"/>
      <c r="J239" s="33" t="n"/>
      <c r="K239" s="33" t="n"/>
      <c r="L239" s="33" t="n"/>
      <c r="M239" s="33" t="n"/>
      <c r="N239" s="33" t="n"/>
      <c r="O239" s="33" t="n"/>
      <c r="P239" s="33" t="n"/>
      <c r="Q239" s="33" t="inlineStr">
        <is>
          <t>Preperation:
During the meet and greet, I usually take extensive notes and try to be as thorough as possible so that I can do a good job for each client. Every client and pet is different, so some clients really want super in depth details to be followed, and other clients are really laid back. So, before a booking begins, it’s usually been some time between our meet and greet and the actual booking so I go back over my notes to reacquaint myself with the pet. 
I also pack everything I need to take with me — and this can be the annoying part — all of the food I need, the fan, the this, the that… I wish I were more low maintenance, but hey, oh well, I make it work lol.
Travel:
I mean, normally I drive around 10 miles per one way trip. Pack up the car, drive over, unpack the car.
Actual Service:
Actual service varies, of course, but I’ll reference one of my long-time repeat Rover clients — these clients like to exercise their dogs hard. The dogs are both herders so they’re high energy, and the owners are runners, so you can imagine that the dogs get a lot of exercise. And one dog is obsessed with playing ball. 
So, usually, they leave the key in a secret spot and the one dog I watch, Boo, we know she’s a runner. If she gets out and hasn’t reacquainted herself with me, she’ll take off and I’ll be chasing her in the car around the neighborhood for the next hour or two. So, I make sure not to let her out while I unlock the door. (She did get out once and the owners said she does that with them sometimes too. Eventually, I was able to get her back, but it was super stressful and I’ve learned my lesson lol!) 
Then I bring my stuff in through the garage and set up my room. Then I take the dogs to the dog park, which they love. I always take many video clips during each stay so I can do a compilation video at the end of the day for my clients set to music and they loooove that. So I get a bunch of video clips of the two dogs playing at the dog park, and Ray (the border collie) plays ball the entire time we’re there. He wouldn’t stop until he died unless we made him. 
Sometimes I ask my friend with his Rottweiler to go with us, and other times we just hang out with whomever is already there. But it’s a good time:) 
Then we go back to the house and I hang out with them and the cat for a bit. Usually go to work and leave the dogs there. They have a doggie door so I’m not tethered to the house too bad. 
I feed them dinner and hang out with them some more. 
I make the evening video to send to the client and check in with them. 
They like me to exercise them twice a day, so by this time we usually go back to the park. And then when we get back I will likely shut down the house for the day; making sure the plants are watered (they have a small garden that doesn’t really need tending, but the flowers along the back do), and feed the cat and lock the doors. 
It’s my favorite thing to make as little amount of mess at each house as possible because I know I have to clean everything I’ve touched. I even like to shower at home before I go to work so I’m not using clients stuff. I will use the kitchen if I’m doing a super long stay (multiple days) but I don’t cook there if I can help it. Just stuff that I can put together or microwave. I usually bring my portable piano keyboard and play with that. Just doing my own thing while I hang out. But that’s it for a typical day. Wake up and do it all again the next day:)
Updates on the Owner:
I always tell owners it’s up to them, but my typical response is that I will voluntarily check in with them with a video of our adventures one time a day in the evening. Most clients are okay with that, especially ones who are repeats and know me. Other clients want to check in with me more often and that’s fine with me, but beyond once a day (unless there’s something wrong), the client is the one who initiates more inquiries.
Closing on Rover:
Closing is always the same routine for me. I finish the job with the pets, pack up and clean everything I touch, and then I go for a once-over and then a twice-over all around the house, making sure I didn’t forget anything. I try to put everything back where it was if I touched it and tidy up whatever looks out of place. Phone cords, shampoo, strip the sheets, whatever, making sure it looks nice and I’ve gotten all my stuff. 
Then I sit down and send a long message to the client explaining everything I’ve done to clean up, how I finished caring for the animals, where I left the key for when they arrive home, and any other details that are relevant to the job (very rarely will clients ask me to wait until they get home to leave and I prefer to leave before they get home). I then usually leave a goodbye video with them or a picture of their pet before I take off, and they’re usually quite pleased with the breakdown:)
Anything else:
Nothing that I can think of — pretty self explanatory, depending on the client:) I mean, one time I was asked to mow for extra money and now I know now to low-ball myself cause I didn’t get paid enough haha!
Overall, was there any effort involved that Rover or the client might not see? What was it? (e.g.remembering pet routines, managing expectations, preparing the home, tracking information)
I think there’s plenty of effort that Rover doesn’t see, yes. I mean, I don’t explain to the Rover app all the details that go along with each job, such as mowing or plant watering or farm animal care or bathing pets or picking up mail or clients that have a ton of packages delivered while I’m there and want me to go back to grab them when they come or when some clients are super needy or nit picky. I’m not sure why Rover would need to know that stuff, but there’s a lot that goes on that Rover doesn’t ask about, mostly pertaining to what I mentioned about various tasks. No biggie:)</t>
        </is>
      </c>
      <c r="R239" s="33" t="inlineStr">
        <is>
          <t>No</t>
        </is>
      </c>
      <c r="S239" s="33" t="n"/>
      <c r="T239" s="33" t="n"/>
      <c r="U239" s="33" t="n"/>
      <c r="V239" s="34">
        <f>IF($A239="","",IF('⚙️ Settings'!$B$1="","",INT(($A239-'⚙️ Settings'!$B$1)/7)+1))</f>
        <v/>
      </c>
    </row>
    <row r="240" ht="15" customHeight="1" s="26">
      <c r="A240" s="37" t="n">
        <v>46216</v>
      </c>
      <c r="B240" s="36" t="inlineStr">
        <is>
          <t>Annabelle</t>
        </is>
      </c>
      <c r="C240" s="36" t="inlineStr">
        <is>
          <t>N</t>
        </is>
      </c>
      <c r="D240" s="36" t="inlineStr">
        <is>
          <t>Topic 7. A normal service day</t>
        </is>
      </c>
      <c r="E240" s="36" t="n"/>
      <c r="G240" s="36" t="n"/>
      <c r="H240" s="36" t="n"/>
      <c r="I240" s="36" t="n"/>
      <c r="J240" s="36" t="n"/>
      <c r="K240" s="36" t="n"/>
      <c r="L240" s="36" t="n"/>
      <c r="M240" s="36" t="n"/>
      <c r="N240" s="36" t="n"/>
      <c r="O240" s="36" t="n"/>
      <c r="P240" s="36" t="n"/>
      <c r="Q240" s="36" t="inlineStr">
        <is>
          <t>Preperation:
I communicate with the owner and collect information about the dog that is relevant to me, including their temperament and special requirements
Travel:
I input the owner’s address into my phone to determine how far I will have to travel and then proceed to travel to the owner’s location
Actual Service:
I walk the dog around the neighborhood or the specified area that the owner shared
Updates on the Owner:
I will send verbal updates and images to the owner both during and after the walk
Closing on Rover:
I confirm that I have concluded the walk and communicate with the owner to close
Anything else:
No
Overall, was there any effort involved that Rover or the client might not see? What was it? (e.g.remembering pet routines, managing expectations, preparing the home, tracking information)
Both Rover and the client may not see the effort and money that goes into traveling to the location of the dog owner</t>
        </is>
      </c>
      <c r="R240" s="36" t="inlineStr">
        <is>
          <t>No</t>
        </is>
      </c>
      <c r="S240" s="36" t="n"/>
      <c r="T240" s="36" t="n"/>
      <c r="U240" s="36" t="n"/>
      <c r="V240" s="34">
        <f>IF($A240="","",IF('⚙️ Settings'!$B$1="","",INT(($A240-'⚙️ Settings'!$B$1)/7)+1))</f>
        <v/>
      </c>
    </row>
    <row r="241" ht="15" customHeight="1" s="26">
      <c r="A241" s="38" t="n">
        <v>46216</v>
      </c>
      <c r="B241" s="33" t="inlineStr">
        <is>
          <t>Naomi</t>
        </is>
      </c>
      <c r="C241" s="33" t="inlineStr">
        <is>
          <t>M</t>
        </is>
      </c>
      <c r="D241" s="33" t="inlineStr">
        <is>
          <t>Topic 7. A normal service day</t>
        </is>
      </c>
      <c r="E241" s="33" t="n"/>
      <c r="G241" s="33" t="n"/>
      <c r="H241" s="33" t="n"/>
      <c r="I241" s="33" t="n"/>
      <c r="J241" s="33" t="n"/>
      <c r="K241" s="33" t="n"/>
      <c r="L241" s="33" t="n"/>
      <c r="M241" s="33" t="n"/>
      <c r="N241" s="33" t="n"/>
      <c r="O241" s="33" t="n"/>
      <c r="P241" s="33" t="n"/>
      <c r="Q241" s="33" t="inlineStr">
        <is>
          <t>Preperation:
Check my calendar. See if I have any pickup or drop offs.
Travel:
I don't typically travel but when I do I make sure I have what I need to pick up for boarding or walking.
Actual Service:
As of now I am almost exclusively boarding so I feed the dogs 2x a day, make sure they get any meds the need, use the bathroom when they need to and have play time and cuddle time either with myself or other dogs
Updates on the Owner:
For new clients they get a photo or video the day of arrival. After that I send media if I see their dog being cute or if they ask for it.
Closing on Rover:
Make sure the dog does home with everything they came with.
Anything else:
Clean the space.
Overall, was there any effort involved that Rover or the client might not see? What was it? (e.g.remembering pet routines, managing expectations, preparing the home, tracking information)
I did a lot of prep work on my home to get it ready to separately host multiple dogs. In general I do a lot of cleaning. I track my days through Google calendar and sometimes send videos through WhatsApp because Rover chat can be buggy.</t>
        </is>
      </c>
      <c r="R241" s="33" t="inlineStr">
        <is>
          <t>No</t>
        </is>
      </c>
      <c r="S241" s="33" t="n"/>
      <c r="T241" s="33" t="n"/>
      <c r="U241" s="33" t="n"/>
      <c r="V241" s="34">
        <f>IF($A241="","",IF('⚙️ Settings'!$B$1="","",INT(($A241-'⚙️ Settings'!$B$1)/7)+1))</f>
        <v/>
      </c>
    </row>
    <row r="242" ht="15" customHeight="1" s="26">
      <c r="A242" s="37" t="n">
        <v>46218</v>
      </c>
      <c r="B242" s="36" t="inlineStr">
        <is>
          <t>Deborah</t>
        </is>
      </c>
      <c r="C242" s="36" t="inlineStr">
        <is>
          <t>N</t>
        </is>
      </c>
      <c r="D242" s="36" t="inlineStr">
        <is>
          <t>Topic 7. A normal service day</t>
        </is>
      </c>
      <c r="E242" s="36" t="n"/>
      <c r="G242" s="36" t="n"/>
      <c r="H242" s="36" t="n"/>
      <c r="I242" s="36" t="n"/>
      <c r="J242" s="36" t="n"/>
      <c r="K242" s="36" t="n"/>
      <c r="L242" s="36" t="n"/>
      <c r="M242" s="36" t="n"/>
      <c r="N242" s="36" t="n"/>
      <c r="O242" s="36" t="n"/>
      <c r="P242" s="36" t="n"/>
      <c r="Q242" s="36" t="inlineStr">
        <is>
          <t>Preperation:
I pack all I will need to take with me a few days before the sitting date. Depending on the time I will arrive, I will bring all my own food or arrange for delivery. Delivery allows me to astay with the pet one first day in case they are nervous about Mom and Dad leaving home.
Travel:
Since the meet and greet was done at their home I check traffic and plug directions into my GPS
Actual Service:
Bring my things to the door and check on the pet. I want to make sure they greet me and are comforatble, then I bring my things into the house. I follow the directions for care I ask the owners for to the letter. If they say NO PEOPLE FOOD, I stick to that, no matter how much the dog might beg.
Updates on the Owner:
I always send one photo with comments onthe first day. This reassures the owners that their pet is OK. I send several other pictures during my stay, especially if the dog is doing something cute or bonding with me.
Closing on Rover:
I make it a point to stay until someone returns home. I get my things packed so I can leave quickly to allow mom and dad to have time with the dog as fast a possible. Both have missed eachother so I want to get out of their way.
Anything else:
I ask for tasks such as watering plants, taking out trash, collecting mail for the home care portion. I ask for contact information for other family or neighbors and always the vet infor.
Overall, was there any effort involved that Rover or the client might not see? What was it? (e.g.remembering pet routines, managing expectations, preparing the home, tracking information)
I think the meet and greet in most important. I set some epectations and gather details from the customer. I always bring soft chew treats hidden in my pocket to break the ice with the dog. I always ask if the dog is allowed before I use this 'trick' to bond with the dog.</t>
        </is>
      </c>
      <c r="R242" s="36" t="inlineStr">
        <is>
          <t>No</t>
        </is>
      </c>
      <c r="S242" s="36" t="n"/>
      <c r="T242" s="36" t="n"/>
      <c r="U242" s="36" t="n"/>
      <c r="V242" s="34">
        <f>IF($A242="","",IF('⚙️ Settings'!$B$1="","",INT(($A242-'⚙️ Settings'!$B$1)/7)+1))</f>
        <v/>
      </c>
    </row>
    <row r="243" ht="15" customHeight="1" s="26">
      <c r="A243" s="38" t="n">
        <v>46218</v>
      </c>
      <c r="B243" s="33" t="inlineStr">
        <is>
          <t>Kristin</t>
        </is>
      </c>
      <c r="C243" s="33" t="inlineStr">
        <is>
          <t>T</t>
        </is>
      </c>
      <c r="D243" s="33" t="inlineStr">
        <is>
          <t>Topic 7. A normal service day</t>
        </is>
      </c>
      <c r="E243" s="33" t="n"/>
      <c r="G243" s="33" t="n"/>
      <c r="H243" s="33" t="n"/>
      <c r="I243" s="33" t="n"/>
      <c r="J243" s="33" t="n"/>
      <c r="K243" s="33" t="n"/>
      <c r="L243" s="33" t="n"/>
      <c r="M243" s="33" t="n"/>
      <c r="N243" s="33" t="n"/>
      <c r="O243" s="33" t="n"/>
      <c r="P243" s="33" t="n"/>
      <c r="Q243" s="33" t="inlineStr">
        <is>
          <t>Preperation:
- check calendar
- send reminders to clients that are scheduled a week out.
- plan day according to time of service and travel location.
Travel:
Keep travel as minimal as possible to keep mileage and gas use down.
Actual Service:
- Housesitting clients- Take care of first thing in morning. 
Afternoon dropin
Settle in for evening care after daily antiviral. 
Dropins/ walks- handle before work
After work- housesitting dropin
Rest of Dropins / walks
Housesitting overnights. 
Follow care instructions that are provided in app,  verbally or left written.
Updates on the Owner:
Housesitting updated when arrived the first daddy and 1 update each evening. 
Dropins and walks rover cards are provided after each visit.
Closing on Rover:
Not sure what this means
Anything else:
Not that I can think of.
Overall, was there any effort involved that Rover or the client might not see? What was it? (e.g.remembering pet routines, managing expectations, preparing the home, tracking information)
Medication tracking could be added.</t>
        </is>
      </c>
      <c r="R243" s="33" t="inlineStr">
        <is>
          <t>No</t>
        </is>
      </c>
      <c r="S243" s="33" t="n"/>
      <c r="T243" s="33" t="n"/>
      <c r="U243" s="33" t="n"/>
      <c r="V243" s="34">
        <f>IF($A243="","",IF('⚙️ Settings'!$B$1="","",INT(($A243-'⚙️ Settings'!$B$1)/7)+1))</f>
        <v/>
      </c>
    </row>
    <row r="244" ht="15" customHeight="1" s="26">
      <c r="A244" s="37" t="n">
        <v>46218</v>
      </c>
      <c r="B244" s="36" t="inlineStr">
        <is>
          <t>Rachel</t>
        </is>
      </c>
      <c r="C244" s="36" t="inlineStr">
        <is>
          <t>N</t>
        </is>
      </c>
      <c r="D244" s="36" t="inlineStr">
        <is>
          <t>Topic 7. A normal service day</t>
        </is>
      </c>
      <c r="E244" s="36" t="n"/>
      <c r="G244" s="36" t="n"/>
      <c r="H244" s="36" t="n"/>
      <c r="I244" s="36" t="n"/>
      <c r="J244" s="36" t="n"/>
      <c r="K244" s="36" t="n"/>
      <c r="L244" s="36" t="n"/>
      <c r="M244" s="36" t="n"/>
      <c r="N244" s="36" t="n"/>
      <c r="O244" s="36" t="n"/>
      <c r="P244" s="36" t="n"/>
      <c r="Q244" s="36" t="inlineStr">
        <is>
          <t>Preperation:
None
Travel:
None
Actual Service:
None
Updates on the Owner:
None
Closing on Rover:
None
Anything else:
None
Overall, was there any effort involved that Rover or the client might not see? What was it? (e.g.remembering pet routines, managing expectations, preparing the home, tracking information)
As a new user who has had a very hard time getting clients, I can’t answer any of these questions</t>
        </is>
      </c>
      <c r="R244" s="36" t="inlineStr">
        <is>
          <t>No</t>
        </is>
      </c>
      <c r="S244" s="36" t="n"/>
      <c r="T244" s="36" t="n"/>
      <c r="U244" s="36" t="n"/>
      <c r="V244" s="34">
        <f>IF($A244="","",IF('⚙️ Settings'!$B$1="","",INT(($A244-'⚙️ Settings'!$B$1)/7)+1))</f>
        <v/>
      </c>
    </row>
    <row r="245" ht="15" customHeight="1" s="26">
      <c r="A245" s="38" t="n">
        <v>46219</v>
      </c>
      <c r="B245" s="33" t="inlineStr">
        <is>
          <t>Jilian</t>
        </is>
      </c>
      <c r="C245" s="33" t="inlineStr">
        <is>
          <t>N</t>
        </is>
      </c>
      <c r="D245" s="33" t="inlineStr">
        <is>
          <t>Topic 7. A normal service day</t>
        </is>
      </c>
      <c r="E245" s="33" t="n"/>
      <c r="G245" s="33" t="n"/>
      <c r="H245" s="33" t="n"/>
      <c r="I245" s="33" t="n"/>
      <c r="J245" s="33" t="n"/>
      <c r="K245" s="33" t="n"/>
      <c r="L245" s="33" t="n"/>
      <c r="M245" s="33" t="n"/>
      <c r="N245" s="33" t="n"/>
      <c r="O245" s="33" t="n"/>
      <c r="P245" s="33" t="n"/>
      <c r="Q245" s="33" t="inlineStr">
        <is>
          <t>Preperation:
Looking at my schedule to make sure I am available and also checking my energy levels.
Travel:
Looking at the distance, understanding if it’s worth it based on the compensation and the drive.
Actual Service:
Connecting with the owner or reviewing their instructions on taking care of their pet and being as present as I can.
Updates on the Owner:
Owners are typically communicative and want photos.
Closing on Rover:
Check to see what needs to be done before leaving and requesting feedback from the owner.
Anything else:
Nope
Overall, was there any effort involved that Rover or the client might not see? What was it? (e.g.remembering pet routines, managing expectations, preparing the home, tracking information)
Remember pet routines, manage expectations from the owner which are sometimes pretty high</t>
        </is>
      </c>
      <c r="R245" s="33" t="inlineStr">
        <is>
          <t>No</t>
        </is>
      </c>
      <c r="S245" s="33" t="n"/>
      <c r="T245" s="33" t="n"/>
      <c r="U245" s="33" t="n"/>
      <c r="V245" s="34">
        <f>IF($A245="","",IF('⚙️ Settings'!$B$1="","",INT(($A245-'⚙️ Settings'!$B$1)/7)+1))</f>
        <v/>
      </c>
    </row>
    <row r="246" ht="15" customHeight="1" s="26">
      <c r="A246" s="37" t="n">
        <v>46220</v>
      </c>
      <c r="B246" s="36" t="inlineStr">
        <is>
          <t>Julia</t>
        </is>
      </c>
      <c r="C246" s="36" t="inlineStr">
        <is>
          <t>N</t>
        </is>
      </c>
      <c r="D246" s="36" t="inlineStr">
        <is>
          <t>Topic 7. A normal service day</t>
        </is>
      </c>
      <c r="E246" s="36" t="n"/>
      <c r="G246" s="36" t="n"/>
      <c r="H246" s="36" t="n"/>
      <c r="I246" s="36" t="n"/>
      <c r="J246" s="36" t="n"/>
      <c r="K246" s="36" t="n"/>
      <c r="L246" s="36" t="n"/>
      <c r="M246" s="36" t="n"/>
      <c r="N246" s="36" t="n"/>
      <c r="O246" s="36" t="n"/>
      <c r="P246" s="36" t="n"/>
      <c r="Q246" s="36" t="inlineStr">
        <is>
          <t>Preperation:
Usually begin with messaging potential new client within the Rover app, asking questions, determining if they would like to set up a meet and greet beforehand. Really trying to get a feel for if this is a good fit for both the pet and myself. Want all of us to be comfortable and happy with the situation.
Travel:
Not sure what you mean by travel? The one meet and greet I had so far, that person brought their dog to me so no travel on my end.
Actual Service:
I make sure our house is ready to go for the new pet. When they drop them off, I make sure we are on the same page in terms of that pets needs, like their feeding or exercise daily schedules.
Updates on the Owner:
I ask the owner how often they would like updates and if they want pictures as well. If they do message me during their pets stay, I answer them promptly.
Closing on Rover:
When they come to pick up their pet, I tell them how everything went and if anything happened that they should be aware of. If the pet was well behaved, I always offer to watch them again if they’d like.
Anything else:
I would really appreciate if the pet owners would leave me a review promptly after their stay, since I try to do so for them within 1-2 days.
Overall, was there any effort involved that Rover or the client might not see? What was it? (e.g.remembering pet routines, managing expectations, preparing the home, tracking information)
All of the questions I ask the pet owner, I do not write down anywhere. It would be nice to have a section to write that down if I wanted to in Rover, not sure if that exists already</t>
        </is>
      </c>
      <c r="R246" s="36" t="inlineStr">
        <is>
          <t>No</t>
        </is>
      </c>
      <c r="S246" s="36" t="n"/>
      <c r="T246" s="36" t="n"/>
      <c r="U246" s="36" t="n"/>
      <c r="V246" s="34">
        <f>IF($A246="","",IF('⚙️ Settings'!$B$1="","",INT(($A246-'⚙️ Settings'!$B$1)/7)+1))</f>
        <v/>
      </c>
    </row>
    <row r="247" ht="15" customHeight="1" s="26">
      <c r="A247" s="38" t="n">
        <v>46220</v>
      </c>
      <c r="B247" s="33" t="inlineStr">
        <is>
          <t>Megan</t>
        </is>
      </c>
      <c r="C247" s="33" t="inlineStr">
        <is>
          <t>M</t>
        </is>
      </c>
      <c r="D247" s="33" t="inlineStr">
        <is>
          <t>Topic 7. A normal service day</t>
        </is>
      </c>
      <c r="E247" s="33" t="n"/>
      <c r="G247" s="33" t="n"/>
      <c r="H247" s="33" t="n"/>
      <c r="I247" s="33" t="n"/>
      <c r="J247" s="33" t="n"/>
      <c r="K247" s="33" t="n"/>
      <c r="L247" s="33" t="n"/>
      <c r="M247" s="33" t="n"/>
      <c r="N247" s="33" t="n"/>
      <c r="O247" s="33" t="n"/>
      <c r="P247" s="33" t="n"/>
      <c r="Q247" s="33" t="inlineStr">
        <is>
          <t>Preperation:
Before every sit, I do a meet and greet with the owner. I have them fill out my own pet sitter questionnaire with everything I need to know about their pets, the house, feeding schedule, routines, playtime, medications, emergency contacts, and anything else that will help me care for their pets the way they want. I also ask how they would like me to approach their pets when I first arrive, since every animal is different. Before I leave home, I pack everything I’ll need for the stay, including my own food, clothes, toiletries, chargers, my own sheets, blanket, pillows, and towel so the client doesn’t have extra laundry to do when they get home.
Travel:
I drive to the client’s home and try to arrive a few minutes early or right on time. I always leave myself extra time in case of traffic.
Actual Service:
When I arrive, I read through the sitter package the owner filled out to refresh my memory. Then I spend some time getting reacquainted with the pets before settling into their normal routine. I try to keep everything as close to normal as possible for them. That includes feeding, walks if needed, cleaning litter boxes, giving medication if required, playtime, cuddles, and just spending quality time with them. I also keep the house clean and treat it with the same respect I would my own.
Updates on the Owner:
During the meet and greet, I ask how often they’d like updates because every owner is different. Some don’t want daily messages because they’re travelling or don’t always have service. Most owners like at least one update a day though, so I usually send a message with photos because I know they miss their fur babies.
Closing on Rover:
Before I leave, I clean up after myself, wash anything I used (if needed), make sure the house is tidy, and leave everything the way I found it. I also leave a thank you card and a printed photo of their pet as a little welcome home surprise. Then I send my final Rover update and close out the booking.
Anything else:
I really try to make the experience stress free for both the pets and their owners. I know people are trusting me with their home and family members, so I put a lot of effort into making everyone feel comfortable and carefree when they arrive home.
Overall, was there any effort involved that Rover or the client might not see? What was it? (e.g.remembering pet routines, managing expectations, preparing the home, tracking information)
A lot happens behind the scenes that people don’t really see. I spend time organizing all the information from the meet and greet, remembering each pet’s routine and little quirks, making sure I don’t miss any medications or instructions, and keeping the house the way the owner left it. I also pack everything I need for the stay, including my own food, bedding, pillows, and towels so I don’t create extra work for the owner when they get home. Little things like leaving a thank-you card and a printed photo of their pet aren’t expected, but I enjoy doing them because it’s a nice way to welcome them home.</t>
        </is>
      </c>
      <c r="R247" s="33" t="inlineStr">
        <is>
          <t>No</t>
        </is>
      </c>
      <c r="S247" s="33" t="n"/>
      <c r="T247" s="33" t="n"/>
      <c r="U247" s="33" t="n"/>
      <c r="V247" s="34">
        <f>IF($A247="","",IF('⚙️ Settings'!$B$1="","",INT(($A247-'⚙️ Settings'!$B$1)/7)+1))</f>
        <v/>
      </c>
    </row>
    <row r="248" ht="15" customHeight="1" s="26">
      <c r="A248" s="37" t="n">
        <v>46220</v>
      </c>
      <c r="B248" s="36" t="inlineStr">
        <is>
          <t>Caroline</t>
        </is>
      </c>
      <c r="C248" s="36" t="inlineStr">
        <is>
          <t>M</t>
        </is>
      </c>
      <c r="D248" s="36" t="inlineStr">
        <is>
          <t>Topic 7. A normal service day</t>
        </is>
      </c>
      <c r="E248" s="36" t="n"/>
      <c r="G248" s="36" t="n"/>
      <c r="H248" s="36" t="n"/>
      <c r="I248" s="36" t="n"/>
      <c r="J248" s="36" t="n"/>
      <c r="K248" s="36" t="n"/>
      <c r="L248" s="36" t="n"/>
      <c r="M248" s="36" t="n"/>
      <c r="N248" s="36" t="n"/>
      <c r="O248" s="36" t="n"/>
      <c r="P248" s="36" t="n"/>
      <c r="Q248" s="36" t="inlineStr">
        <is>
          <t>Preperation:
Starts when you receive the request checking calander to see if available trying to figure out how far travel time is going to be rover has how many miles away but that is deceiving here in the mountains as miles as the crow flies is totally different then mountain switchback roads where 3 miles can take 20 minutes and I get carsick so mapping out is key but I don’t have the information truly till I suggest a meet and greet and set up a time and get the address. So now go and do meet and greet and I take a pad of paper and pen to take down notes as pet owners talk so fast and you are just bombarded with critical info. Then book request normaly go in and edit something for client hit book and wait for them to book and then it is set!
Travel:
Going to the client’s house getting in through gate code of applicable - I try to limit driving time for drop ins and walk to 10 miles and house sitting to 45 miles one way. As gas is almost $4 a gallon and I get 20 miles a gallon I calculate this to make sure it is worth it plus the wear and tear of .50 a mile and some of the roads here in the mountain are gravel and treacherous.
Actual Service:
Start the rover card if I have cell service. Get into the house via where the client left the key. Read any instructions left on the counter. Give pets treat right away so they like me and know I am their friend and let them smell me to hopefully remember me from meet and greet. Take them out to do their busines/ get them out of the house as much as possible and some fresh air give meals if dinner time and walks if part of service. Then check water bowls check to make sure all doors locked and depart normally 10 minutes extra time given on booking so like 30 min booking normally takes 45 minutes an hour booking normally stays pretty close to the hour.
Updates on the Owner:
Once in car and have cell service send pic taken and text via rocer number and input info into rover card all the important things that happened.
Closing on Rover:
Close out card and send info over.
Anything else:
Then have to leave review of pets and owner with details of the visit.
Overall, was there any effort involved that Rover or the client might not see? What was it? (e.g.remembering pet routines, managing expectations, preparing the home, tracking information)
I write out on the initial note pad all the info from their pet profile before meet and greet so I get everyone’s name correct and gender of the pets. I review all this including writing down dates and how long the service is booked for I.e. 30min or an hour visit in case I cannot access the app due to no cell phone service.</t>
        </is>
      </c>
      <c r="R248" s="36" t="inlineStr">
        <is>
          <t>No</t>
        </is>
      </c>
      <c r="S248" s="36" t="n"/>
      <c r="T248" s="36" t="n"/>
      <c r="U248" s="36" t="n"/>
      <c r="V248" s="34">
        <f>IF($A248="","",IF('⚙️ Settings'!$B$1="","",INT(($A248-'⚙️ Settings'!$B$1)/7)+1))</f>
        <v/>
      </c>
    </row>
    <row r="249" ht="15" customHeight="1" s="26">
      <c r="A249" s="38" t="n">
        <v>46221</v>
      </c>
      <c r="B249" s="33" t="inlineStr">
        <is>
          <t>Melissa</t>
        </is>
      </c>
      <c r="C249" s="33" t="inlineStr">
        <is>
          <t>M</t>
        </is>
      </c>
      <c r="D249" s="33" t="inlineStr">
        <is>
          <t>Topic 7. A normal service day</t>
        </is>
      </c>
      <c r="E249" s="33" t="n"/>
      <c r="G249" s="33" t="n"/>
      <c r="H249" s="33" t="n"/>
      <c r="I249" s="33" t="n"/>
      <c r="J249" s="33" t="n"/>
      <c r="K249" s="33" t="n"/>
      <c r="L249" s="33" t="n"/>
      <c r="M249" s="33" t="n"/>
      <c r="N249" s="33" t="n"/>
      <c r="O249" s="33" t="n"/>
      <c r="P249" s="33" t="n"/>
      <c r="Q249" s="33" t="inlineStr">
        <is>
          <t>Preperation:
Plan time and travel needed
Travel:
Walk or drive
Actual Service:
Feed pets, take out, walk, hang out/play, clean litter box
Updates on the Owner:
Send photos
Closing on Rover:
Say thank you and ask for a review
Anything else:
Mention their pets personality
Overall, was there any effort involved that Rover or the client might not see? What was it? (e.g.remembering pet routines, managing expectations, preparing the home, tracking information)
No</t>
        </is>
      </c>
      <c r="R249" s="33" t="inlineStr">
        <is>
          <t>No</t>
        </is>
      </c>
      <c r="S249" s="33" t="n"/>
      <c r="T249" s="33" t="n"/>
      <c r="U249" s="33" t="n"/>
      <c r="V249" s="34">
        <f>IF($A249="","",IF('⚙️ Settings'!$B$1="","",INT(($A249-'⚙️ Settings'!$B$1)/7)+1))</f>
        <v/>
      </c>
    </row>
    <row r="250" ht="15" customHeight="1" s="26">
      <c r="A250" s="37" t="n">
        <v>46222</v>
      </c>
      <c r="B250" s="36" t="inlineStr">
        <is>
          <t>Emma</t>
        </is>
      </c>
      <c r="C250" s="36" t="inlineStr">
        <is>
          <t>M</t>
        </is>
      </c>
      <c r="D250" s="36" t="inlineStr">
        <is>
          <t>Topic 7. A normal service day</t>
        </is>
      </c>
      <c r="E250" s="36" t="n"/>
      <c r="G250" s="36" t="n"/>
      <c r="H250" s="36" t="n"/>
      <c r="I250" s="36" t="n"/>
      <c r="J250" s="36" t="n"/>
      <c r="K250" s="36" t="n"/>
      <c r="L250" s="36" t="n"/>
      <c r="M250" s="36" t="n"/>
      <c r="N250" s="36" t="n"/>
      <c r="O250" s="36" t="n"/>
      <c r="P250" s="36" t="n"/>
      <c r="Q250" s="36" t="inlineStr">
        <is>
          <t>Preperation:
Making sure I have the key with me, checking to see what the garage door/keypad number is, checking address if this is a new client, packing overnight bag if it’s a house sitting booking. Feeding my cats and scooping their litter boxes before I leave for a house sit
Travel:
I usually drive to the client’s home (I don’t do boarding). If it’s close enough, I can take my bike or even walk.
Actual Service:
For a dog walk, I start the rover card when I arrive inside the home and get the dog ready to walk. For a drop in visit, I start the card when I arrive at the home. For house sitting, I update the owner when I get to their home and am situated. Dog walking is easy, I’ll take photos out on the walk, mark in the card if the dog used the bathroom or had water, then if we cut the walk short, we go inside and play/relax (especially if it’s hot or rainy). It’s similar for a drop in visit, I take pictures of the pets, check if they’ve been fed, given fresh water or used the bathroom. I add notes for the owner in both cases (what we did on the walk, if the cat’s litter box was scooped, if the pet took their medication, any other things we did). For house sitting, I let the dogs out as needed, play with them, feed them when they need it. I will occasionally leave to run errands.
Updates on the Owner:
For dog walking and house sitting, I usually send all information in the rover card. If there’s anything else I remember after the fact, I’ll message them again (e.g. if there’s a package on their porch I brought in). House sitting, I update the owner a few times a day and send pictures to let them know how the pets are doing and what we’ve done. I also update when I arrive to start the sit, ask how long they need me to stay on the last day, and then update when I leave for the last time.
Closing on Rover:
I put the dog in the crate if instructed to, lock up the residence, send the Rover card or message the owner, and head home.
Anything else:
N/A
Overall, was there any effort involved that Rover or the client might not see? What was it? (e.g.remembering pet routines, managing expectations, preparing the home, tracking information)
Cleaning up toys, vacuuming cat litter or hair, staying a little longer than needed, remembering keypad numbers, tracking walks on my watch for accuracy.</t>
        </is>
      </c>
      <c r="R250" s="36" t="inlineStr">
        <is>
          <t>No</t>
        </is>
      </c>
      <c r="S250" s="36" t="n"/>
      <c r="T250" s="36" t="n"/>
      <c r="U250" s="36" t="n"/>
      <c r="V250" s="34">
        <f>IF($A250="","",IF('⚙️ Settings'!$B$1="","",INT(($A250-'⚙️ Settings'!$B$1)/7)+1))</f>
        <v/>
      </c>
    </row>
    <row r="251" ht="15" customHeight="1" s="26">
      <c r="A251" s="38" t="n">
        <v>46224</v>
      </c>
      <c r="B251" s="33" t="inlineStr">
        <is>
          <t>Amy</t>
        </is>
      </c>
      <c r="C251" s="33" t="inlineStr">
        <is>
          <t>T</t>
        </is>
      </c>
      <c r="D251" s="33" t="inlineStr">
        <is>
          <t>Topic 7. A normal service day</t>
        </is>
      </c>
      <c r="E251" s="33" t="n"/>
      <c r="G251" s="33" t="n"/>
      <c r="H251" s="33" t="n"/>
      <c r="I251" s="33" t="n"/>
      <c r="J251" s="33" t="n"/>
      <c r="K251" s="33" t="n"/>
      <c r="L251" s="33" t="n"/>
      <c r="M251" s="33" t="n"/>
      <c r="N251" s="33" t="n"/>
      <c r="O251" s="33" t="n"/>
      <c r="P251" s="33" t="n"/>
      <c r="Q251" s="33" t="inlineStr">
        <is>
          <t>Preperation:
A request from a prior client for 6 drop in visits over a weekend (1 dog/1 cat)
Travel:
Made 6 eleven minute drives from another clients' house that I was sitting for. Had I been driving from my own home, it would have been four minute drives.
Actual Service:
6 visits including 3 dog walks/3 litter box cleanups/3 dog feedings/2 cat feedings/washing feeding bowls/bringing in client packages/courtesy backyard dog waste cleanup
Updates on the Owner:
3 preservice messages with client/6 Rover cards with photos and detailed notes.
Closing on Rover:
Last visit is always a cleanup/leave it better than you found it visit. Services completed on Sunday am / see it in "processing payments" on Tuesday.
Anything else:
Rover asks if I have feedback. I generally don't unless the client has left a review (which I can't read unless I leave feedback)
Overall, was there any effort involved that Rover or the client might not see? What was it? (e.g.remembering pet routines, managing expectations, preparing the home, tracking information)
I review my notes on the client/pets from previous service.</t>
        </is>
      </c>
      <c r="R251" s="33" t="inlineStr">
        <is>
          <t>No</t>
        </is>
      </c>
      <c r="S251" s="33" t="n"/>
      <c r="T251" s="33" t="n"/>
      <c r="U251" s="33" t="n"/>
      <c r="V251" s="34">
        <f>IF($A251="","",IF('⚙️ Settings'!$B$1="","",INT(($A251-'⚙️ Settings'!$B$1)/7)+1))</f>
        <v/>
      </c>
    </row>
    <row r="252" ht="15" customHeight="1" s="26">
      <c r="A252" s="37" t="n">
        <v>46225</v>
      </c>
      <c r="B252" s="36" t="inlineStr">
        <is>
          <t>Cate</t>
        </is>
      </c>
      <c r="C252" s="36" t="inlineStr">
        <is>
          <t>M</t>
        </is>
      </c>
      <c r="D252" s="36" t="inlineStr">
        <is>
          <t>Topic 7. A normal service day</t>
        </is>
      </c>
      <c r="E252" s="36" t="n"/>
      <c r="G252" s="36" t="n"/>
      <c r="H252" s="36" t="n"/>
      <c r="I252" s="36" t="n"/>
      <c r="J252" s="36" t="n"/>
      <c r="K252" s="36" t="n"/>
      <c r="L252" s="36" t="n"/>
      <c r="M252" s="36" t="n"/>
      <c r="N252" s="36" t="n"/>
      <c r="O252" s="36" t="n"/>
      <c r="P252" s="36" t="n"/>
      <c r="Q252" s="36" t="inlineStr">
        <is>
          <t>Preperation:
Read through the dog’s Rover profile. Communicate with the owner to set up a meet and greet. Prior to the meet and greet run through the list of questions that I want to cover, both standard and specific to the dog.
Travel:
Most of our business has been boarding dogs in our home and meet and greets take place at our home as well resulting in very little travel. 
We set the radius for dog walking, and drop in visits to be near our home and the travel in those situations has only been about 3 to 5 minutes from our home.
Actual Service:
Ensuring that I am home when a dog is set to arrive and that the house is ready for the dog to stay. Being home as much as possible, while the dog is here since that is part of what we offer through our services. Ensuring that we follow any sort of schedule that the dog has and making sure they get plenty of outside time.
Updates on the Owner:
We typically provide an update 2 to 3 hours after a dog arrives to give the owner a little bit of peace of mind and then at least once a day. Sometimes more often at the owners request or if the owner is engaging in correspondence from their end.
Closing on Rover:
Again, because most of our services have been dog boarding in our home, it automatically closes out the service. I do complete the daycare cards for some dogs that have stayed for daycare or for drop and visit visits and do that as soon as the service is complete.
Anything else:
No
Overall, was there any effort involved that Rover or the client might not see? What was it? (e.g.remembering pet routines, managing expectations, preparing the home, tracking information)
The level of effort very much depends on the dog and their energy level, comfort level being in a different home, and their schedule and needs.</t>
        </is>
      </c>
      <c r="R252" s="36" t="inlineStr">
        <is>
          <t>No</t>
        </is>
      </c>
      <c r="S252" s="36" t="n"/>
      <c r="T252" s="36" t="n"/>
      <c r="U252" s="36" t="n"/>
      <c r="V252" s="34">
        <f>IF($A252="","",IF('⚙️ Settings'!$B$1="","",INT(($A252-'⚙️ Settings'!$B$1)/7)+1))</f>
        <v/>
      </c>
    </row>
    <row r="253" ht="15" customHeight="1" s="26">
      <c r="A253" s="38" t="n">
        <v>46225</v>
      </c>
      <c r="B253" s="33" t="inlineStr">
        <is>
          <t>Erica</t>
        </is>
      </c>
      <c r="C253" s="33" t="inlineStr">
        <is>
          <t>M</t>
        </is>
      </c>
      <c r="D253" s="33" t="inlineStr">
        <is>
          <t>Topic 7. A normal service day</t>
        </is>
      </c>
      <c r="E253" s="33" t="n"/>
      <c r="G253" s="33" t="n"/>
      <c r="H253" s="33" t="n"/>
      <c r="I253" s="33" t="n"/>
      <c r="J253" s="33" t="n"/>
      <c r="K253" s="33" t="n"/>
      <c r="L253" s="33" t="n"/>
      <c r="M253" s="33" t="n"/>
      <c r="N253" s="33" t="n"/>
      <c r="O253" s="33" t="n"/>
      <c r="P253" s="33" t="n"/>
      <c r="Q253" s="33" t="inlineStr">
        <is>
          <t>Preperation:
Always do a meet and greet first so the pet knows you and you know where you're going
Travel:
Map it, be sure to get there on time
Actual Service:
Go in, greet pets, take care of them, then do any unpacking
Updates on the Owner:
Send a photo shortly after I get there
Closing on Rover:
Message on rover when I left, inform I will return if I don't hear from them so the pets aren't alone too long
Anything else:
Be sure to clean up any messes I made
Overall, was there any effort involved that Rover or the client might not see? What was it? (e.g.remembering pet routines, managing expectations, preparing the home, tracking information)
No.</t>
        </is>
      </c>
      <c r="R253" s="33" t="inlineStr">
        <is>
          <t>No</t>
        </is>
      </c>
      <c r="S253" s="33" t="n"/>
      <c r="T253" s="33" t="n"/>
      <c r="U253" s="33" t="n"/>
      <c r="V253" s="34">
        <f>IF($A253="","",IF('⚙️ Settings'!$B$1="","",INT(($A253-'⚙️ Settings'!$B$1)/7)+1))</f>
        <v/>
      </c>
    </row>
    <row r="254" ht="15" customHeight="1" s="26">
      <c r="A254" s="37" t="n">
        <v>46225</v>
      </c>
      <c r="B254" s="36" t="inlineStr">
        <is>
          <t>Colin</t>
        </is>
      </c>
      <c r="C254" s="36" t="inlineStr">
        <is>
          <t>T</t>
        </is>
      </c>
      <c r="D254" s="36" t="inlineStr">
        <is>
          <t>Topic 7. A normal service day</t>
        </is>
      </c>
      <c r="E254" s="36" t="n"/>
      <c r="G254" s="36" t="n"/>
      <c r="H254" s="36" t="n"/>
      <c r="I254" s="36" t="n"/>
      <c r="J254" s="36" t="n"/>
      <c r="K254" s="36" t="n"/>
      <c r="L254" s="36" t="n"/>
      <c r="M254" s="36" t="n"/>
      <c r="N254" s="36" t="n"/>
      <c r="O254" s="36" t="n"/>
      <c r="P254" s="36" t="n"/>
      <c r="Q254" s="36" t="inlineStr">
        <is>
          <t>Preperation:
Responsiveness to job requests, being aware of our schedule and availability before committing to a new request is the most important. We try to value our time and the clients time, so quick responses and follow up questions if needed. Tidy and organized home in the case of a meet &amp; greet for boarding.
Travel:
The vast majority of our clients meet us at our home so they can see where and how we live, and the dog has an opportunity to familiarize themselves with our space. For walk, the clients are all nearby so we meet halfway between and have a short walk together. Only twice have we traveled to a clients home to meet them for the initial visit.
Actual Service:
For walks, a Rover card is required via the app to track the time, distance, and other information from our walk. For boarding and house sitting, I update the client once per day, often in the mornings. These updates include a few pictures, a few sentences about what we’ve been up to, and any general questions or observations about the dog’s experience with us.
Updates on the Owner:
We update the owners once a day unless specifically asked differently. Photos, observations, cute little things the dog did that day. Some owners don’t require such constant messages, but I’d say most of them appreciate daily updates.
Closing on Rover:
For new jobs, we often save any questions and concerns for our in-person meet and greets. Once we are agreed with the client about the schedule, dogs needs, and their expectations, both parties digitally accept the job request and it’s automatically saved and updated in our calendars. Often, after agreeing to the job, we don’t hear from the owners until a day or two before the job begins.
Anything else:
The more information a client has in their profile, the easier and smoother the entire process goes. There are many variables with animal care, so we appreciate those owners who take the time to give us all the information as soon as possible. Blank and empty pet profiles are approached with more trepidation.
Overall, was there any effort involved that Rover or the client might not see? What was it? (e.g.remembering pet routines, managing expectations, preparing the home, tracking information)
If a dog/owner has a specific request or need, we will handwrite a couple notes and place them in our home before the dog arrives to ensure neither of us forget, ie medication times, specific feeding needs, etc. most dogs and owners are pretty straight forward and don’t require detailed tracking or pre planning.</t>
        </is>
      </c>
      <c r="R254" s="36" t="inlineStr">
        <is>
          <t>No</t>
        </is>
      </c>
      <c r="S254" s="36" t="n"/>
      <c r="T254" s="36" t="n"/>
      <c r="U254" s="36" t="n"/>
      <c r="V254" s="34">
        <f>IF($A254="","",IF('⚙️ Settings'!$B$1="","",INT(($A254-'⚙️ Settings'!$B$1)/7)+1))</f>
        <v/>
      </c>
    </row>
    <row r="255" ht="15" customHeight="1" s="26">
      <c r="A255" s="38" t="n">
        <v>46213</v>
      </c>
      <c r="B255" s="33" t="inlineStr">
        <is>
          <t>Tifany</t>
        </is>
      </c>
      <c r="C255" s="33" t="inlineStr">
        <is>
          <t>T</t>
        </is>
      </c>
      <c r="D255" s="33" t="inlineStr">
        <is>
          <t>Topic 8. Weekly Recap</t>
        </is>
      </c>
      <c r="E255" s="33" t="n"/>
      <c r="G255" s="33" t="n"/>
      <c r="H255" s="33" t="n"/>
      <c r="I255" s="33" t="n"/>
      <c r="J255" s="33" t="n"/>
      <c r="K255" s="33" t="n"/>
      <c r="L255" s="33" t="n"/>
      <c r="M255" s="33" t="n"/>
      <c r="N255" s="33" t="n"/>
      <c r="O255" s="33" t="n"/>
      <c r="P255" s="33" t="n"/>
      <c r="Q255" s="33" t="inlineStr">
        <is>
          <t>How many sittings did you schedule on Rover this week?
The question above asked “how many sittings did you schedule on Rover” but it didn’t give me a place to answer. This week, I’ve scheduled 1 house sitting on Rover. 
How many bookings outside of Rover? I’ve scheduled a 2 dogs boarding at my home and 2 drop-ins.
What Rover-related activities did you do this week? For example: bookings, meet &amp; greets, messages, profile updates, calendar changes, payments, client follow-ups, etc.
I’ve done bookings, house sitting, drop ins, doggie daycare, meet and greets, messages, profile updates, calendar changes, payments, and drop ins for a client just for her mail.
Did you use any tools outside of Rover this week? If yes, which ones? Please describe each tool and the use case of the tool in the following.
Yes, I’ve used facebook to promote my business, Facebook messenger to communicate with clients, iPhone text messaging to communicate with clients, and Rover.
Did any notable/unusual events occur this week while using Rover? If yes, please go into detail. How did that feel like for you and how did you handle it?
Nothing notable this week, no. I’ve had a nice Housesitting experience:)
Did any challenges/ uncertainties occur this week while using Rover? If yes, please go into detail. How did that feel like for you and how did you handle it?
No challenges or uncertainties this week.
Overall, how supported by Rover did you feel this week on a scale of 1 = not supported at all to 5 = very supported?
4
Please briefly explain your score.
I mean, I’m not sure what you mean by “supported”. I feel like it’s a good exchange between Rover and I. I get to use their services and platform to find clients and yet I never ask Rover to help me with anything. So, I feel supported that I’m on the app and everything is going well, but I’ve never had to deal with a situation where it didn’t go well yet so I don’t know how “supportive” Rover would be or not be, you know? 
Like, a few years back, I got in an accident that totaled my car. I had State Farm insurance and they really really supported me during the process of the navigating the accident, even though it was my fault. I’ll never forget that because I knew they were an insurance company and they’re looking out for their best interest, but they didn’t jack me around on price and they didn’t continue to just find a bunch of reasons not to help me or pay me a fair price for my car. They did pay me a very fair price for my car and they talked me through the whole process. It was great. And yes, I paid them for years before that and yet when push came to shove, they had my back. 
I don’t know if Rover does that yet if something goes wrong. So yes, I feel supported enough for now, but I haven’t seen what they do when crap hits the fan. To be determined — and I hope I never have to see what they’re like during that time because I hope nothing happens to get us there.</t>
        </is>
      </c>
      <c r="R255" s="33" t="inlineStr">
        <is>
          <t>No</t>
        </is>
      </c>
      <c r="S255" s="33" t="n"/>
      <c r="T255" s="33" t="n"/>
      <c r="U255" s="33" t="n"/>
      <c r="V255" s="34">
        <f>IF($A255="","",IF('⚙️ Settings'!$B$1="","",INT(($A255-'⚙️ Settings'!$B$1)/7)+1))</f>
        <v/>
      </c>
    </row>
    <row r="256" ht="15" customHeight="1" s="26">
      <c r="A256" s="37" t="n">
        <v>46216</v>
      </c>
      <c r="B256" s="36" t="inlineStr">
        <is>
          <t>Annabelle</t>
        </is>
      </c>
      <c r="C256" s="36" t="inlineStr">
        <is>
          <t>N</t>
        </is>
      </c>
      <c r="D256" s="36" t="inlineStr">
        <is>
          <t>Topic 8. Weekly Recap</t>
        </is>
      </c>
      <c r="E256" s="36" t="n"/>
      <c r="G256" s="36" t="n"/>
      <c r="H256" s="36" t="n"/>
      <c r="I256" s="36" t="n"/>
      <c r="J256" s="36" t="n"/>
      <c r="K256" s="36" t="n"/>
      <c r="L256" s="36" t="n"/>
      <c r="M256" s="36" t="n"/>
      <c r="N256" s="36" t="n"/>
      <c r="O256" s="36" t="n"/>
      <c r="P256" s="36" t="n"/>
      <c r="Q256" s="36" t="inlineStr">
        <is>
          <t>How many sittings did you schedule on Rover this week?
0
What Rover-related activities did you do this week? For example: bookings, meet &amp; greets, messages, profile updates, calendar changes, payments, client follow-ups, etc.
Some messages and profile updates
Did you use any tools outside of Rover this week? If yes, which ones? Please describe each tool and the use case of the tool in the following.
Facebook and used it for the group feature to find clients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Yes I cannot find any clients and it was frustrating
Overall, how supported by Rover did you feel this week on a scale of 1 = not supported at all to 5 = very supported?
2
Please briefly explain your score.
I am very new on Rover and feel that Rover could better support me in getting at least my first client</t>
        </is>
      </c>
      <c r="R256" s="36" t="inlineStr">
        <is>
          <t>No</t>
        </is>
      </c>
      <c r="S256" s="36" t="n"/>
      <c r="T256" s="36" t="n"/>
      <c r="U256" s="36" t="n"/>
      <c r="V256" s="34">
        <f>IF($A256="","",IF('⚙️ Settings'!$B$1="","",INT(($A256-'⚙️ Settings'!$B$1)/7)+1))</f>
        <v/>
      </c>
    </row>
    <row r="257" ht="15" customHeight="1" s="26">
      <c r="A257" s="38" t="n">
        <v>46218</v>
      </c>
      <c r="B257" s="33" t="inlineStr">
        <is>
          <t>Deborah</t>
        </is>
      </c>
      <c r="C257" s="33" t="inlineStr">
        <is>
          <t>N</t>
        </is>
      </c>
      <c r="D257" s="33" t="inlineStr">
        <is>
          <t>Topic 8. Weekly Recap</t>
        </is>
      </c>
      <c r="E257" s="33" t="n"/>
      <c r="G257" s="33" t="n"/>
      <c r="H257" s="33" t="n"/>
      <c r="I257" s="33" t="n"/>
      <c r="J257" s="33" t="n"/>
      <c r="K257" s="33" t="n"/>
      <c r="L257" s="33" t="n"/>
      <c r="M257" s="33" t="n"/>
      <c r="N257" s="33" t="n"/>
      <c r="O257" s="33" t="n"/>
      <c r="P257" s="33" t="n"/>
      <c r="Q257" s="33" t="inlineStr">
        <is>
          <t>How many sittings did you schedule on Rover this week?
None outside of Rover
What Rover-related activities did you do this week? For example: bookings, meet &amp; greets, messages, profile updates, calendar changes, payments, client follow-ups, etc.
I closed my time with Hooper and settled in back home. I set up three new request meet and greet dates. One was completed and books. Another has been completed and archived for 2027.  The thrid meets tomorrow and will book for July 21-Aug 6.
Did you use any tools outside of Rover this week? If yes, which ones? Please describe each tool and the use case of the tool in the following.
Yes I set up a spreadsheet to keep track of the pets and bookings
Did any notable/unusual events occur this week while using Rover? If yes, please go into detail. How did that feel like for you and how did you handle it?
The start of my first booking was over the 4th of July holiday. Fireworks began Friday and were set off Saturday and Sunday. Hopper hates them and retreated to the basement where she stayed until about 2 am. The family told me this would happen and to let her stay down there as long as she wanted. Fireworks are hard on most dogs.
Did any challenges/ uncertainties occur this week while using Rover? If yes, please go into detail. How did that feel like for you and how did you handle it?
Hooper eats watermelon for her 'treat'. She begged of it a lot. I'm guess because it was so hot and humid. I had to go to the grocery to replenish the tub of chunks, but I needed other food for myself so I didn't mind.
Overall, how supported by Rover did you feel this week on a scale of 1 = not supported at all to 5 = very supported?
5 very supported
Please briefly explain your score.
5</t>
        </is>
      </c>
      <c r="R257" s="33" t="inlineStr">
        <is>
          <t>No</t>
        </is>
      </c>
      <c r="S257" s="33" t="n"/>
      <c r="T257" s="33" t="n"/>
      <c r="U257" s="33" t="n"/>
      <c r="V257" s="34">
        <f>IF($A257="","",IF('⚙️ Settings'!$B$1="","",INT(($A257-'⚙️ Settings'!$B$1)/7)+1))</f>
        <v/>
      </c>
    </row>
    <row r="258" ht="15" customHeight="1" s="26">
      <c r="A258" s="37" t="n">
        <v>46218</v>
      </c>
      <c r="B258" s="36" t="inlineStr">
        <is>
          <t>Kristin</t>
        </is>
      </c>
      <c r="C258" s="36" t="inlineStr">
        <is>
          <t>T</t>
        </is>
      </c>
      <c r="D258" s="36" t="inlineStr">
        <is>
          <t>Topic 8. Weekly Recap</t>
        </is>
      </c>
      <c r="E258" s="36" t="n"/>
      <c r="G258" s="36" t="n"/>
      <c r="H258" s="36" t="n"/>
      <c r="I258" s="36" t="n"/>
      <c r="J258" s="36" t="n"/>
      <c r="K258" s="36" t="n"/>
      <c r="L258" s="36" t="n"/>
      <c r="M258" s="36" t="n"/>
      <c r="N258" s="36" t="n"/>
      <c r="O258" s="36" t="n"/>
      <c r="P258" s="36" t="n"/>
      <c r="Q258" s="36" t="inlineStr">
        <is>
          <t>How many sittings did you schedule on Rover this week?
1
What Rover-related activities did you do this week? For example: bookings, meet &amp; greets, messages, profile updates, calendar changes, payments, client follow-ups, etc.
11
Did you use any tools outside of Rover this week? If yes, which ones? Please describe each tool and the use case of the tool in the following.
Google calendar
Did any notable/unusual events occur this week while using Rover? If yes, please go into detail. How did that feel like for you and how did you handle it?
None
Did any challenges/ uncertainties occur this week while using Rover? If yes, please go into detail. How did that feel like for you and how did you handle it?
None
Overall, how supported by Rover did you feel this week on a scale of 1 = not supported at all to 5 = very supported?
5 very supported
Please briefly explain your score.
Rover is very useful</t>
        </is>
      </c>
      <c r="R258" s="36" t="inlineStr">
        <is>
          <t>No</t>
        </is>
      </c>
      <c r="S258" s="36" t="n"/>
      <c r="T258" s="36" t="n"/>
      <c r="U258" s="36" t="n"/>
      <c r="V258" s="34">
        <f>IF($A258="","",IF('⚙️ Settings'!$B$1="","",INT(($A258-'⚙️ Settings'!$B$1)/7)+1))</f>
        <v/>
      </c>
    </row>
    <row r="259" ht="15" customHeight="1" s="26">
      <c r="A259" s="38" t="n">
        <v>46218</v>
      </c>
      <c r="B259" s="33" t="inlineStr">
        <is>
          <t>Rachel</t>
        </is>
      </c>
      <c r="C259" s="33" t="inlineStr">
        <is>
          <t>N</t>
        </is>
      </c>
      <c r="D259" s="33" t="inlineStr">
        <is>
          <t>Topic 8. Weekly Recap</t>
        </is>
      </c>
      <c r="E259" s="33" t="n"/>
      <c r="G259" s="33" t="n"/>
      <c r="H259" s="33" t="n"/>
      <c r="I259" s="33" t="n"/>
      <c r="J259" s="33" t="n"/>
      <c r="K259" s="33" t="n"/>
      <c r="L259" s="33" t="n"/>
      <c r="M259" s="33" t="n"/>
      <c r="N259" s="33" t="n"/>
      <c r="O259" s="33" t="n"/>
      <c r="P259" s="33" t="n"/>
      <c r="Q259" s="33" t="inlineStr">
        <is>
          <t>How many sittings did you schedule on Rover this week?
0
What Rover-related activities did you do this week? For example: bookings, meet &amp; greets, messages, profile updates, calendar changes, payments, client follow-ups, etc.
None
Did you use any tools outside of Rover this week? If yes, which ones? Please describe each tool and the use case of the tool in the following.
No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No
Overall, how supported by Rover did you feel this week on a scale of 1 = not supported at all to 5 = very supported?
1 not supported at all
Please briefly explain your score.
It’s so hard to even get clients!</t>
        </is>
      </c>
      <c r="R259" s="33" t="inlineStr">
        <is>
          <t>No</t>
        </is>
      </c>
      <c r="S259" s="33" t="n"/>
      <c r="T259" s="33" t="n"/>
      <c r="U259" s="33" t="n"/>
      <c r="V259" s="34">
        <f>IF($A259="","",IF('⚙️ Settings'!$B$1="","",INT(($A259-'⚙️ Settings'!$B$1)/7)+1))</f>
        <v/>
      </c>
    </row>
    <row r="260" ht="15" customHeight="1" s="26">
      <c r="A260" s="37" t="n">
        <v>46219</v>
      </c>
      <c r="B260" s="36" t="inlineStr">
        <is>
          <t>Jilian</t>
        </is>
      </c>
      <c r="C260" s="36" t="inlineStr">
        <is>
          <t>N</t>
        </is>
      </c>
      <c r="D260" s="36" t="inlineStr">
        <is>
          <t>Topic 8. Weekly Recap</t>
        </is>
      </c>
      <c r="E260" s="36" t="n"/>
      <c r="G260" s="36" t="n"/>
      <c r="H260" s="36" t="n"/>
      <c r="I260" s="36" t="n"/>
      <c r="J260" s="36" t="n"/>
      <c r="K260" s="36" t="n"/>
      <c r="L260" s="36" t="n"/>
      <c r="M260" s="36" t="n"/>
      <c r="N260" s="36" t="n"/>
      <c r="O260" s="36" t="n"/>
      <c r="P260" s="36" t="n"/>
      <c r="Q260" s="36" t="inlineStr">
        <is>
          <t>How many sittings did you schedule on Rover this week?
0
What Rover-related activities did you do this week? For example: bookings, meet &amp; greets, messages, profile updates, calendar changes, payments, client follow-ups, etc.
None this week just asked for feedback
Did you use any tools outside of Rover this week? If yes, which ones? Please describe each tool and the use case of the tool in the following.
Yes Facebook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No
Overall, how supported by Rover did you feel this week on a scale of 1 = not supported at all to 5 = very supported?
3
Please briefly explain your score.
I didn’t get many inquiries this week</t>
        </is>
      </c>
      <c r="R260" s="36" t="inlineStr">
        <is>
          <t>No</t>
        </is>
      </c>
      <c r="S260" s="36" t="n"/>
      <c r="T260" s="36" t="n"/>
      <c r="U260" s="36" t="n"/>
      <c r="V260" s="34">
        <f>IF($A260="","",IF('⚙️ Settings'!$B$1="","",INT(($A260-'⚙️ Settings'!$B$1)/7)+1))</f>
        <v/>
      </c>
    </row>
    <row r="261" ht="15" customHeight="1" s="26">
      <c r="A261" s="38" t="n">
        <v>46220</v>
      </c>
      <c r="B261" s="33" t="inlineStr">
        <is>
          <t>Becky</t>
        </is>
      </c>
      <c r="C261" s="33" t="inlineStr">
        <is>
          <t>T</t>
        </is>
      </c>
      <c r="D261" s="33" t="inlineStr">
        <is>
          <t>Topic 8. Weekly Recap</t>
        </is>
      </c>
      <c r="E261" s="33" t="n"/>
      <c r="G261" s="33" t="n"/>
      <c r="H261" s="33" t="n"/>
      <c r="I261" s="33" t="n"/>
      <c r="J261" s="33" t="n"/>
      <c r="K261" s="33" t="n"/>
      <c r="L261" s="33" t="n"/>
      <c r="M261" s="33" t="n"/>
      <c r="N261" s="33" t="n"/>
      <c r="O261" s="33" t="n"/>
      <c r="P261" s="33" t="n"/>
      <c r="Q261" s="33" t="inlineStr">
        <is>
          <t>How many sittings did you schedule on Rover this week?
0
What Rover-related activities did you do this week? For example: bookings, meet &amp; greets, messages, profile updates, calendar changes, payments, client follow-ups, etc.
I had two bookings this week, one ending on Monday and one starting on Monday evening. 
One booking for August canceled as their dog was just diagnosed with cancer so they canceled their upcoming trip. 
I also confirmed my next booking which begins on Sunday. 
Another person asked if I can watch their dog on Saturday, but their drop off time is before my current dog gets picked up so we are going to play it by ear.
Did you use any tools outside of Rover this week? If yes, which ones? Please describe each tool and the use case of the tool in the following.
No
Did any notable/unusual events occur this week while using Rover? If yes, please go into detail. How did that feel like for you and how did you handle it?
As mentioned above, I had a client cancel our booking for August because the dog was diagnosed with cancer. This is a repeat client and I love his - he’s the sweetest big borzoi even though he drools everywhere. It made me very sad to hear about his diagnoses. I responding back wishing them the best as they navigate this time.
Did any challenges/ uncertainties occur this week while using Rover? If yes, please go into detail. How did that feel like for you and how did you handle it?
No, the bookings I managed this week are all repeats so we have a rapport already.
Overall, how supported by Rover did you feel this week on a scale of 1 = not supported at all to 5 = very supported?
4
Please briefly explain your score.
The app worked but I didn’t need it for much in particular. It did made the cancellation easy to address though.</t>
        </is>
      </c>
      <c r="R261" s="33" t="inlineStr">
        <is>
          <t>No</t>
        </is>
      </c>
      <c r="S261" s="33" t="n"/>
      <c r="T261" s="33" t="n"/>
      <c r="U261" s="33" t="n"/>
      <c r="V261" s="34">
        <f>IF($A261="","",IF('⚙️ Settings'!$B$1="","",INT(($A261-'⚙️ Settings'!$B$1)/7)+1))</f>
        <v/>
      </c>
    </row>
    <row r="262" ht="15" customHeight="1" s="26">
      <c r="A262" s="37" t="n">
        <v>46220</v>
      </c>
      <c r="B262" s="36" t="inlineStr">
        <is>
          <t>Julia</t>
        </is>
      </c>
      <c r="C262" s="36" t="inlineStr">
        <is>
          <t>N</t>
        </is>
      </c>
      <c r="D262" s="36" t="inlineStr">
        <is>
          <t>Topic 8. Weekly Recap</t>
        </is>
      </c>
      <c r="E262" s="36" t="n"/>
      <c r="G262" s="36" t="n"/>
      <c r="H262" s="36" t="n"/>
      <c r="I262" s="36" t="n"/>
      <c r="J262" s="36" t="n"/>
      <c r="K262" s="36" t="n"/>
      <c r="L262" s="36" t="n"/>
      <c r="M262" s="36" t="n"/>
      <c r="N262" s="36" t="n"/>
      <c r="O262" s="36" t="n"/>
      <c r="P262" s="36" t="n"/>
      <c r="Q262" s="36" t="inlineStr">
        <is>
          <t>How many sittings did you schedule on Rover this week?
1
What Rover-related activities did you do this week? For example: bookings, meet &amp; greets, messages, profile updates, calendar changes, payments, client follow-ups, etc.
1 new meet and greet, followed up by 1 booking, received 1 payment from pet sitting last weekend.
Did you use any tools outside of Rover this week? If yes, which ones? Please describe each tool and the use case of the tool in the following.
I do need to reference my own personal calendar before I commit to another booking to make sure nothing overlaps with both schedules.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No, unless you count no review/tip from my first booking which I was expecting at least one of those two things to happen by now.
Overall, how supported by Rover did you feel this week on a scale of 1 = not supported at all to 5 = very supported?
5 very supported
Please briefly explain your score.
Didn’t have any complaints/issues in the last week.</t>
        </is>
      </c>
      <c r="R262" s="36" t="inlineStr">
        <is>
          <t>No</t>
        </is>
      </c>
      <c r="S262" s="36" t="n"/>
      <c r="T262" s="36" t="n"/>
      <c r="U262" s="36" t="n"/>
      <c r="V262" s="34">
        <f>IF($A262="","",IF('⚙️ Settings'!$B$1="","",INT(($A262-'⚙️ Settings'!$B$1)/7)+1))</f>
        <v/>
      </c>
    </row>
    <row r="263" ht="15" customHeight="1" s="26">
      <c r="A263" s="38" t="n">
        <v>46220</v>
      </c>
      <c r="B263" s="33" t="inlineStr">
        <is>
          <t>Megan</t>
        </is>
      </c>
      <c r="C263" s="33" t="inlineStr">
        <is>
          <t>M</t>
        </is>
      </c>
      <c r="D263" s="33" t="inlineStr">
        <is>
          <t>Topic 8. Weekly Recap</t>
        </is>
      </c>
      <c r="E263" s="33" t="n"/>
      <c r="G263" s="33" t="n"/>
      <c r="H263" s="33" t="n"/>
      <c r="I263" s="33" t="n"/>
      <c r="J263" s="33" t="n"/>
      <c r="K263" s="33" t="n"/>
      <c r="L263" s="33" t="n"/>
      <c r="M263" s="33" t="n"/>
      <c r="N263" s="33" t="n"/>
      <c r="O263" s="33" t="n"/>
      <c r="P263" s="33" t="n"/>
      <c r="Q263" s="33" t="inlineStr">
        <is>
          <t>How many sittings did you schedule on Rover this week?
I booked 3 new clients this week and worked with 5 clients overall.
What Rover-related activities did you do this week? For example: bookings, meet &amp; greets, messages, profile updates, calendar changes, payments, client follow-ups, etc.
I replied to messages, confirmed bookings, did meet and greets, and kept in touch with clients before and during their stays. I also did a few calendar changes to update my availability.
Did you use any tools outside of Rover this week? If yes, which ones? Please describe each tool and the use case of the tool in the following.
I  use Google Calendar to keep track of all my Rover bookings so I get reminders and don’t forget anything. I also use my own pet sitter questionnaire at meet and greets so I have all the information about the pets and their routines in one place.
Did any notable/unusual events occur this week while using Rover? If yes, please go into detail. How did that feel like for you and how did you handle it?
No, nothing under the ordinary happen this week. Everything went as planned.
Did any challenges/ uncertainties occur this week while using Rover? If yes, please go into detail. How did that feel like for you and how did you handle it?
Everything went smoothly this week and I did not have any challenges or uncertainty.
Overall, how supported by Rover did you feel this week on a scale of 1 = not supported at all to 5 = very supported?
3
Please briefly explain your score.
I didn’t really feel supported or unsupported by Rover. I just used the app for bookings, messages and getting paid. Everything worked fine. I didn’t need any help From Rover.</t>
        </is>
      </c>
      <c r="R263" s="33" t="inlineStr">
        <is>
          <t>No</t>
        </is>
      </c>
      <c r="S263" s="33" t="n"/>
      <c r="T263" s="33" t="n"/>
      <c r="U263" s="33" t="n"/>
      <c r="V263" s="34">
        <f>IF($A263="","",IF('⚙️ Settings'!$B$1="","",INT(($A263-'⚙️ Settings'!$B$1)/7)+1))</f>
        <v/>
      </c>
    </row>
    <row r="264" ht="15" customHeight="1" s="26">
      <c r="A264" s="37" t="n">
        <v>46221</v>
      </c>
      <c r="B264" s="36" t="inlineStr">
        <is>
          <t>Melissa</t>
        </is>
      </c>
      <c r="C264" s="36" t="inlineStr">
        <is>
          <t>M</t>
        </is>
      </c>
      <c r="D264" s="36" t="inlineStr">
        <is>
          <t>Topic 8. Weekly Recap</t>
        </is>
      </c>
      <c r="E264" s="36" t="n"/>
      <c r="G264" s="36" t="n"/>
      <c r="H264" s="36" t="n"/>
      <c r="I264" s="36" t="n"/>
      <c r="J264" s="36" t="n"/>
      <c r="K264" s="36" t="n"/>
      <c r="L264" s="36" t="n"/>
      <c r="M264" s="36" t="n"/>
      <c r="N264" s="36" t="n"/>
      <c r="O264" s="36" t="n"/>
      <c r="P264" s="36" t="n"/>
      <c r="Q264" s="36" t="inlineStr">
        <is>
          <t>How many sittings did you schedule on Rover this week?
0
What Rover-related activities did you do this week? For example: bookings, meet &amp; greets, messages, profile updates, calendar changes, payments, client follow-ups, etc.
2 inquiries, updated calendar
Did you use any tools outside of Rover this week? If yes, which ones? Please describe each tool and the use case of the tool in the following.
Someone new contacted me on Facebook messenger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Yes, the first inquiry was done in the app wrong by the customer. She asked for what she wanted in the conversation. But by the time I had fixed it and sent it back to her, there was no response. Assuming she chose someone else who responded immediately even though I took the time to fix the request to reflect what she actually wanted before accepting. I also had a last minute request that I couldn't accommodate and it was weird in allowing me to book it after the date passed, two days ago. When that happens I wonder if my calendar looks booked and I can't book other clients.
Overall, how supported by Rover did you feel this week on a scale of 1 = not supported at all to 5 = very supported?
2
Please briefly explain your score.
I didn't request support because the app is clunky and don't feel like I'll get it / not worth my time and effort</t>
        </is>
      </c>
      <c r="R264" s="36" t="inlineStr">
        <is>
          <t>No</t>
        </is>
      </c>
      <c r="S264" s="36" t="n"/>
      <c r="T264" s="36" t="n"/>
      <c r="U264" s="36" t="n"/>
      <c r="V264" s="34">
        <f>IF($A264="","",IF('⚙️ Settings'!$B$1="","",INT(($A264-'⚙️ Settings'!$B$1)/7)+1))</f>
        <v/>
      </c>
    </row>
    <row r="265" ht="15" customHeight="1" s="26">
      <c r="A265" s="38" t="n">
        <v>46222</v>
      </c>
      <c r="B265" s="33" t="inlineStr">
        <is>
          <t>Caroline</t>
        </is>
      </c>
      <c r="C265" s="33" t="inlineStr">
        <is>
          <t>M</t>
        </is>
      </c>
      <c r="D265" s="33" t="inlineStr">
        <is>
          <t>Topic 8. Weekly Recap</t>
        </is>
      </c>
      <c r="E265" s="33" t="n"/>
      <c r="G265" s="33" t="n"/>
      <c r="H265" s="33" t="n"/>
      <c r="I265" s="33" t="n"/>
      <c r="J265" s="33" t="n"/>
      <c r="K265" s="33" t="n"/>
      <c r="L265" s="33" t="n"/>
      <c r="M265" s="33" t="n"/>
      <c r="N265" s="33" t="n"/>
      <c r="O265" s="33" t="n"/>
      <c r="P265" s="33" t="n"/>
      <c r="Q265" s="33" t="inlineStr">
        <is>
          <t>How many sittings did you schedule on Rover this week?
0
What Rover-related activities did you do this week? For example: bookings, meet &amp; greets, messages, profile updates, calendar changes, payments, client follow-ups, etc.
I went in and updated my calander checked my details and found that you can choose what time you are available for drop ins and dog walks. I also went to count how many requests I had received since being on rover and you could not look that up and I think I deleted some of the conversations which I wish I would not have done so I would know if I already discerned not to sit for them or not. Woops. Have to admit I am middle of the range tech savvy but still learning the rover website.
Did you use any tools outside of Rover this week? If yes, which ones? Please describe each tool and the use case of the tool in the following.
Not quite sure what you mean by tools an example in the description would help me understand. I’ll guess and say I used my hard copy calander to synch up my rover calander.
Did any notable/unusual events occur this week while using Rover? If yes, please go into detail. How did that feel like for you and how did you handle it?
Nothing happened this week I think due to me upping my rates - I would think I would get a house sitting request for the upcoming Labor Day weekend holiday but nothing yet. I have on my to do list to look on rover and see what prices my fellow rover sitters are charging to make sure I did not overprice myself.
Did any challenges/ uncertainties occur this week while using Rover? If yes, please go into detail. How did that feel like for you and how did you handle it?
Well no bookings this week also makes me think I need to change what I wrote as my bio to be more exciting and more my personality so rover pet parents will reach out to me.
Overall, how supported by Rover did you feel this week on a scale of 1 = not supported at all to 5 = very supported?
3
Please briefly explain your score.
I wish I would have had at least one request. An email with tips and tricks on how to stand out and include in your bio would be great!</t>
        </is>
      </c>
      <c r="R265" s="33" t="inlineStr">
        <is>
          <t>No</t>
        </is>
      </c>
      <c r="S265" s="33" t="n"/>
      <c r="T265" s="33" t="n"/>
      <c r="U265" s="33" t="n"/>
      <c r="V265" s="34">
        <f>IF($A265="","",IF('⚙️ Settings'!$B$1="","",INT(($A265-'⚙️ Settings'!$B$1)/7)+1))</f>
        <v/>
      </c>
    </row>
    <row r="266" ht="15" customHeight="1" s="26">
      <c r="A266" s="37" t="n">
        <v>46222</v>
      </c>
      <c r="B266" s="36" t="inlineStr">
        <is>
          <t>Emma</t>
        </is>
      </c>
      <c r="C266" s="36" t="inlineStr">
        <is>
          <t>M</t>
        </is>
      </c>
      <c r="D266" s="36" t="inlineStr">
        <is>
          <t>Topic 8. Weekly Recap</t>
        </is>
      </c>
      <c r="E266" s="36" t="n"/>
      <c r="G266" s="36" t="n"/>
      <c r="H266" s="36" t="n"/>
      <c r="I266" s="36" t="n"/>
      <c r="J266" s="36" t="n"/>
      <c r="K266" s="36" t="n"/>
      <c r="L266" s="36" t="n"/>
      <c r="M266" s="36" t="n"/>
      <c r="N266" s="36" t="n"/>
      <c r="O266" s="36" t="n"/>
      <c r="P266" s="36" t="n"/>
      <c r="Q266" s="36" t="inlineStr">
        <is>
          <t>How many sittings did you schedule on Rover this week?
2 house sits, 4 dog walks, 6 drop in visits
What Rover-related activities did you do this week? For example: bookings, meet &amp; greets, messages, profile updates, calendar changes, payments, client follow-ups, etc.
bookings, meet and greets, messages, updating calendar, following up with clients, checking payments, leaving feedback, contacting support
Did you use any tools outside of Rover this week? If yes, which ones? Please describe each tool and the use case of the tool in the following.
Google calendar (for keeping track of bookings), spreadsheet (for tracking earnings), Stride (for tracking mileage), notes app (for noting garage codes and other info)
Did any notable/unusual events occur this week while using Rover? If yes, please go into detail. How did that feel like for you and how did you handle it?
AC was broken in client’s home for house sitting. The dog and I were both starting to overheat, and the client was at a work conference for most of the day unable to access her phone. It was very stressful for me, as it reached 85°F inside and I am on medications that make it very difficult to tolerate heat, and the lack of response made it even more urgent. I contacted Rover support but they couldn’t reach her. The client eventually got back to me and was apologetic, thankfully she was able to reach out to a friend and got alternative accommodation for myself and the dog.
Did any challenges/ uncertainties occur this week while using Rover? If yes, please go into detail. How did that feel like for you and how did you handle it?
The same situation I described earlier.
Overall, how supported by Rover did you feel this week on a scale of 1 = not supported at all to 5 = very supported?
5 very supported
Please briefly explain your score.
Rover support did its very best to help me in the stressful situation, tried to reach out to the client, and was very empathetic.</t>
        </is>
      </c>
      <c r="R266" s="36" t="inlineStr">
        <is>
          <t>No</t>
        </is>
      </c>
      <c r="S266" s="36" t="n"/>
      <c r="T266" s="36" t="n"/>
      <c r="U266" s="36" t="n"/>
      <c r="V266" s="34">
        <f>IF($A266="","",IF('⚙️ Settings'!$B$1="","",INT(($A266-'⚙️ Settings'!$B$1)/7)+1))</f>
        <v/>
      </c>
    </row>
    <row r="267" ht="15" customHeight="1" s="26">
      <c r="A267" s="38" t="n">
        <v>46223</v>
      </c>
      <c r="B267" s="33" t="inlineStr">
        <is>
          <t>Naomi</t>
        </is>
      </c>
      <c r="C267" s="33" t="inlineStr">
        <is>
          <t>M</t>
        </is>
      </c>
      <c r="D267" s="33" t="inlineStr">
        <is>
          <t>Topic 8. Weekly Recap</t>
        </is>
      </c>
      <c r="E267" s="33" t="n"/>
      <c r="G267" s="33" t="n"/>
      <c r="H267" s="33" t="n"/>
      <c r="I267" s="33" t="n"/>
      <c r="J267" s="33" t="n"/>
      <c r="K267" s="33" t="n"/>
      <c r="L267" s="33" t="n"/>
      <c r="M267" s="33" t="n"/>
      <c r="N267" s="33" t="n"/>
      <c r="O267" s="33" t="n"/>
      <c r="P267" s="33" t="n"/>
      <c r="Q267" s="33" t="inlineStr">
        <is>
          <t>How many sittings did you schedule on Rover this week?
3
What Rover-related activities did you do this week? For example: bookings, meet &amp; greets, messages, profile updates, calendar changes, payments, client follow-ups, etc.
Messages, checking the calendar, looking at earnings, meet and greet walk, 2 current bookings and 1 future booking. Lot's of cleaning and figuring out where different dogs will stay in my house, feeding and playing with dogs and introducing new dogs to eachother.
Did you use any tools outside of Rover this week? If yes, which ones? Please describe each tool and the use case of the tool in the following.
Google calendar to see what my days and weeks will look like
Did any notable/unusual events occur this week while using Rover? If yes, please go into detail. How did that feel like for you and how did you handle it?
Two little dogs with some behavioral issues will be stung here for 2 weeks.
Did any challenges/ uncertainties occur this week while using Rover? If yes, please go into detail. How did that feel like for you and how did you handle it?
2 of the dogs were supposed to be friendly but didn't get along with other dogs and bark too much so I had to change up where the dogs were sleeping. Stuff like this is pretty common and it's why I reduced the number of dogs I take.
Overall, how supported by Rover did you feel this week on a scale of 1 = not supported at all to 5 = very supported?
4
Please briefly explain your score.
All went well. Only reason not a 5 is the calendar view is hard to use.</t>
        </is>
      </c>
      <c r="R267" s="33" t="inlineStr">
        <is>
          <t>No</t>
        </is>
      </c>
      <c r="S267" s="33" t="n"/>
      <c r="T267" s="33" t="n"/>
      <c r="U267" s="33" t="n"/>
      <c r="V267" s="34">
        <f>IF($A267="","",IF('⚙️ Settings'!$B$1="","",INT(($A267-'⚙️ Settings'!$B$1)/7)+1))</f>
        <v/>
      </c>
    </row>
    <row r="268" ht="15" customHeight="1" s="26">
      <c r="A268" s="37" t="n">
        <v>46224</v>
      </c>
      <c r="B268" s="36" t="inlineStr">
        <is>
          <t>Amy</t>
        </is>
      </c>
      <c r="C268" s="36" t="inlineStr">
        <is>
          <t>T</t>
        </is>
      </c>
      <c r="D268" s="36" t="inlineStr">
        <is>
          <t>Topic 8. Weekly Recap</t>
        </is>
      </c>
      <c r="E268" s="36" t="n"/>
      <c r="G268" s="36" t="n"/>
      <c r="H268" s="36" t="n"/>
      <c r="I268" s="36" t="n"/>
      <c r="J268" s="36" t="n"/>
      <c r="K268" s="36" t="n"/>
      <c r="L268" s="36" t="n"/>
      <c r="M268" s="36" t="n"/>
      <c r="N268" s="36" t="n"/>
      <c r="O268" s="36" t="n"/>
      <c r="P268" s="36" t="n"/>
      <c r="Q268" s="36" t="inlineStr">
        <is>
          <t>How many sittings did you schedule on Rover this week?
9. 6 drop in visits and 3 days/2nights house sitting
What Rover-related activities did you do this week? For example: bookings, meet &amp; greets, messages, profile updates, calendar changes, payments, client follow-ups, etc.
Messages, reviewing client information on Rover and from personal notes, messages involving questions during service.
Did you use any tools outside of Rover this week? If yes, which ones? Please describe each tool and the use case of the tool in the following.
Google Calendar to sync Rover responsibilities with personal activities
Did any notable/unusual events occur this week while using Rover? If yes, please go into detail. How did that feel like for you and how did you handle it?
Power outage at drop-in clients' home. Fortunately,  their garage door had a backup battery so I was able to get in. I don't have their key.
Also- western Pennsylvania where I live was badly affected by the Canadian wildfires to the point we had severe air quality warnings. I let both clients know that I would limit their pets' time outside and not do walks until conditions improved.
Did any challenges/ uncertainties occur this week while using Rover? If yes, please go into detail. How did that feel like for you and how did you handle it?
I didn't have any specific issues with Rover this week. In the past, there have been a few instances of the app not connecting with the servers
Overall, how supported by Rover did you feel this week on a scale of 1 = not supported at all to 5 = very supported?
5 very supported
Please briefly explain your score.
All went as planned</t>
        </is>
      </c>
      <c r="R268" s="36" t="inlineStr">
        <is>
          <t>No</t>
        </is>
      </c>
      <c r="S268" s="36" t="n"/>
      <c r="T268" s="36" t="n"/>
      <c r="U268" s="36" t="n"/>
      <c r="V268" s="34">
        <f>IF($A268="","",IF('⚙️ Settings'!$B$1="","",INT(($A268-'⚙️ Settings'!$B$1)/7)+1))</f>
        <v/>
      </c>
    </row>
    <row r="269" ht="15" customHeight="1" s="26">
      <c r="A269" s="38" t="n">
        <v>46225</v>
      </c>
      <c r="B269" s="33" t="inlineStr">
        <is>
          <t>Erica</t>
        </is>
      </c>
      <c r="C269" s="33" t="inlineStr">
        <is>
          <t>M</t>
        </is>
      </c>
      <c r="D269" s="33" t="inlineStr">
        <is>
          <t>Topic 8. Weekly Recap</t>
        </is>
      </c>
      <c r="E269" s="33" t="n"/>
      <c r="G269" s="33" t="n"/>
      <c r="H269" s="33" t="n"/>
      <c r="I269" s="33" t="n"/>
      <c r="J269" s="33" t="n"/>
      <c r="K269" s="33" t="n"/>
      <c r="L269" s="33" t="n"/>
      <c r="M269" s="33" t="n"/>
      <c r="N269" s="33" t="n"/>
      <c r="O269" s="33" t="n"/>
      <c r="P269" s="33" t="n"/>
      <c r="Q269" s="33" t="inlineStr">
        <is>
          <t>How many sittings did you schedule on Rover this week?
1
What Rover-related activities did you do this week? For example: bookings, meet &amp; greets, messages, profile updates, calendar changes, payments, client follow-ups, etc.
Update availability, check and respond to messages
Did you use any tools outside of Rover this week? If yes, which ones? Please describe each tool and the use case of the tool in the following.
No
Did any notable/unusual events occur this week while using Rover? If yes, please go into detail. How did that feel like for you and how did you handle it?
No
Did any challenges/ uncertainties occur this week while using Rover? If yes, please go into detail. How did that feel like for you and how did you handle it?
No
Overall, how supported by Rover did you feel this week on a scale of 1 = not supported at all to 5 = very supported?
3
Please briefly explain your score.
3. Didn't need them.</t>
        </is>
      </c>
      <c r="R269" s="33" t="inlineStr">
        <is>
          <t>No</t>
        </is>
      </c>
      <c r="S269" s="33" t="n"/>
      <c r="T269" s="33" t="n"/>
      <c r="U269" s="33" t="n"/>
      <c r="V269" s="34">
        <f>IF($A269="","",IF('⚙️ Settings'!$B$1="","",INT(($A269-'⚙️ Settings'!$B$1)/7)+1))</f>
        <v/>
      </c>
    </row>
    <row r="270" ht="15" customHeight="1" s="26">
      <c r="A270" s="37" t="n">
        <v>46226</v>
      </c>
      <c r="B270" s="36" t="inlineStr">
        <is>
          <t>Alexia</t>
        </is>
      </c>
      <c r="C270" s="36" t="inlineStr">
        <is>
          <t>M</t>
        </is>
      </c>
      <c r="D270" s="36" t="inlineStr">
        <is>
          <t>Topic 6. Potential Changes</t>
        </is>
      </c>
      <c r="E270" s="36" t="n"/>
      <c r="G270" s="36" t="n"/>
      <c r="H270" s="36" t="n"/>
      <c r="I270" s="36" t="n"/>
      <c r="J270" s="36" t="n"/>
      <c r="K270" s="36" t="n"/>
      <c r="L270" s="36" t="n"/>
      <c r="M270" s="36" t="n"/>
      <c r="N270" s="36" t="n"/>
      <c r="O270" s="36" t="n"/>
      <c r="P270" s="36" t="n"/>
      <c r="Q270" s="36" t="inlineStr">
        <is>
          <t>How has the way you use Rover changed since you first started? Be specific — what do you use it for now that you didn't before, or stopped using it for?
Rover use in the beginning:
Rover has been the same as I started. I haven't noticed any significant changes.
Rover use now:
See above
How has your sense of Rovers value changed since you first started? Think about what the platform gives you now versus when you began — and whether the fees feel different adequate to you for this stage of your work.
Rover value in the beginning:
I was more concerned about getting clients so I put myself as cheap as I would go.
Rover value now:
I wish I didn't do that. I now have a few clients and I would like to be making more money so I can do this full time.</t>
        </is>
      </c>
      <c r="R270" s="36" t="inlineStr">
        <is>
          <t>No</t>
        </is>
      </c>
      <c r="S270" s="36" t="inlineStr">
        <is>
          <t>None</t>
        </is>
      </c>
      <c r="T270" s="36" t="n"/>
      <c r="U270" s="36" t="n"/>
      <c r="V270" s="34">
        <f>IF($A270="","",IF('⚙️ Settings'!$B$1="","",INT(($A270-'⚙️ Settings'!$B$1)/7)+1))</f>
        <v/>
      </c>
    </row>
    <row r="271" ht="15" customHeight="1" s="26">
      <c r="A271" s="38" t="n">
        <v>46226</v>
      </c>
      <c r="B271" s="33" t="inlineStr">
        <is>
          <t>Alexia</t>
        </is>
      </c>
      <c r="C271" s="33" t="inlineStr">
        <is>
          <t>M</t>
        </is>
      </c>
      <c r="D271" s="33" t="inlineStr">
        <is>
          <t>Topic 7. A normal service day</t>
        </is>
      </c>
      <c r="E271" s="33" t="n"/>
      <c r="G271" s="33" t="n"/>
      <c r="H271" s="33" t="n"/>
      <c r="I271" s="33" t="n"/>
      <c r="J271" s="33" t="n"/>
      <c r="K271" s="33" t="n"/>
      <c r="L271" s="33" t="n"/>
      <c r="M271" s="33" t="n"/>
      <c r="N271" s="33" t="n"/>
      <c r="O271" s="33" t="n"/>
      <c r="P271" s="33" t="n"/>
      <c r="Q271" s="33" t="inlineStr">
        <is>
          <t>Preperation:
Client will usually message me asking for my service. I always try to set up a meet and greet. I wish that I can set up a meet and greet on rover without having to put in their address.
Travel:
I normally only drive about an hour and a half to somebody's place. And that's if i'm staying there, the full day/ house sitting for a few days.
Actual Service:
It's normally pretty chill.The client will tell me whether dog needs whether schedule looks like, i like to take pictures for reference sometimes. I will often work on my own illustration work while with the dogs.But the dogs are my first priority.
Updates on the Owner:
I always sent photos and text messages! I try not to bug the owners too much. But I think I should do it a little bit more.
Closing on Rover:
What's my service is finished?I normally leave the house before the family gets there ( i've noticed most clients prefer this) i lock up the door make sure everything's okay with the dogs. And I text the family, all the details. I also will do a little cleaning up before I leave.
Anything else:
It's a very frustration when they don't tip. Because I constantly think about what I did wrong or how I could improve.
Overall, was there any effort involved that Rover or the client might not see? What was it? (e.g.remembering pet routines, managing expectations, preparing the home, tracking information)
I think the cleanup at the end. It's a big one. What the biggest one is driving. I don't charge much. And basically one day of work is my whole gas tank. So i'm giving them almost a free service.It feels like because i'm driving to them. That's very frustrating.</t>
        </is>
      </c>
      <c r="R271" s="33" t="inlineStr">
        <is>
          <t>No</t>
        </is>
      </c>
      <c r="S271" s="33" t="inlineStr">
        <is>
          <t>None</t>
        </is>
      </c>
      <c r="T271" s="33" t="n"/>
      <c r="U271" s="33" t="n"/>
      <c r="V271" s="34">
        <f>IF($A271="","",IF('⚙️ Settings'!$B$1="","",INT(($A271-'⚙️ Settings'!$B$1)/7)+1))</f>
        <v/>
      </c>
    </row>
    <row r="272" ht="15" customHeight="1" s="26">
      <c r="A272" s="36" t="n"/>
      <c r="B272" s="36" t="n"/>
      <c r="C272" s="36" t="n"/>
      <c r="D272" s="36" t="n"/>
      <c r="E272" s="36" t="n"/>
      <c r="G272" s="36" t="n"/>
      <c r="H272" s="36" t="n"/>
      <c r="I272" s="36" t="n"/>
      <c r="J272" s="36" t="n"/>
      <c r="K272" s="36" t="n"/>
      <c r="L272" s="36" t="n"/>
      <c r="M272" s="36" t="n"/>
      <c r="N272" s="36" t="n"/>
      <c r="O272" s="36" t="n"/>
      <c r="P272" s="36" t="n"/>
      <c r="Q272" s="36" t="n"/>
      <c r="R272" s="36" t="n"/>
      <c r="S272" s="36" t="n"/>
      <c r="T272" s="36" t="n"/>
      <c r="U272" s="36" t="n"/>
      <c r="V272" s="34">
        <f>IF($A272="","",IF('⚙️ Settings'!$B$1="","",INT(($A272-'⚙️ Settings'!$B$1)/7)+1))</f>
        <v/>
      </c>
    </row>
    <row r="273" ht="15" customHeight="1" s="26">
      <c r="A273" s="33" t="n"/>
      <c r="B273" s="33" t="n"/>
      <c r="C273" s="33" t="n"/>
      <c r="D273" s="33" t="n"/>
      <c r="E273" s="33" t="n"/>
      <c r="G273" s="33" t="n"/>
      <c r="H273" s="33" t="n"/>
      <c r="I273" s="33" t="n"/>
      <c r="J273" s="33" t="n"/>
      <c r="K273" s="33" t="n"/>
      <c r="L273" s="33" t="n"/>
      <c r="M273" s="33" t="n"/>
      <c r="N273" s="33" t="n"/>
      <c r="O273" s="33" t="n"/>
      <c r="P273" s="33" t="n"/>
      <c r="Q273" s="33" t="n"/>
      <c r="R273" s="33" t="n"/>
      <c r="S273" s="33" t="n"/>
      <c r="T273" s="33" t="n"/>
      <c r="U273" s="33" t="n"/>
      <c r="V273" s="34">
        <f>IF($A273="","",IF('⚙️ Settings'!$B$1="","",INT(($A273-'⚙️ Settings'!$B$1)/7)+1))</f>
        <v/>
      </c>
    </row>
    <row r="274" ht="15" customHeight="1" s="26">
      <c r="A274" s="36" t="n"/>
      <c r="B274" s="36" t="n"/>
      <c r="C274" s="36" t="n"/>
      <c r="D274" s="36" t="n"/>
      <c r="E274" s="36" t="n"/>
      <c r="G274" s="36" t="n"/>
      <c r="H274" s="36" t="n"/>
      <c r="I274" s="36" t="n"/>
      <c r="J274" s="36" t="n"/>
      <c r="K274" s="36" t="n"/>
      <c r="L274" s="36" t="n"/>
      <c r="M274" s="36" t="n"/>
      <c r="N274" s="36" t="n"/>
      <c r="O274" s="36" t="n"/>
      <c r="P274" s="36" t="n"/>
      <c r="Q274" s="36" t="n"/>
      <c r="R274" s="36" t="n"/>
      <c r="S274" s="36" t="n"/>
      <c r="T274" s="36" t="n"/>
      <c r="U274" s="36" t="n"/>
      <c r="V274" s="34">
        <f>IF($A274="","",IF('⚙️ Settings'!$B$1="","",INT(($A274-'⚙️ Settings'!$B$1)/7)+1))</f>
        <v/>
      </c>
    </row>
    <row r="275" ht="15" customHeight="1" s="26">
      <c r="A275" s="33" t="n"/>
      <c r="B275" s="33" t="n"/>
      <c r="C275" s="33" t="n"/>
      <c r="D275" s="33" t="n"/>
      <c r="E275" s="33" t="n"/>
      <c r="G275" s="33" t="n"/>
      <c r="H275" s="33" t="n"/>
      <c r="I275" s="33" t="n"/>
      <c r="J275" s="33" t="n"/>
      <c r="K275" s="33" t="n"/>
      <c r="L275" s="33" t="n"/>
      <c r="M275" s="33" t="n"/>
      <c r="N275" s="33" t="n"/>
      <c r="O275" s="33" t="n"/>
      <c r="P275" s="33" t="n"/>
      <c r="Q275" s="33" t="n"/>
      <c r="R275" s="33" t="n"/>
      <c r="S275" s="33" t="n"/>
      <c r="T275" s="33" t="n"/>
      <c r="U275" s="33" t="n"/>
      <c r="V275" s="34">
        <f>IF($A275="","",IF('⚙️ Settings'!$B$1="","",INT(($A275-'⚙️ Settings'!$B$1)/7)+1))</f>
        <v/>
      </c>
    </row>
    <row r="276" ht="15" customHeight="1" s="26">
      <c r="A276" s="36" t="n"/>
      <c r="B276" s="36" t="n"/>
      <c r="C276" s="36" t="n"/>
      <c r="D276" s="36" t="n"/>
      <c r="E276" s="36" t="n"/>
      <c r="G276" s="36" t="n"/>
      <c r="H276" s="36" t="n"/>
      <c r="I276" s="36" t="n"/>
      <c r="J276" s="36" t="n"/>
      <c r="K276" s="36" t="n"/>
      <c r="L276" s="36" t="n"/>
      <c r="M276" s="36" t="n"/>
      <c r="N276" s="36" t="n"/>
      <c r="O276" s="36" t="n"/>
      <c r="P276" s="36" t="n"/>
      <c r="Q276" s="36" t="n"/>
      <c r="R276" s="36" t="n"/>
      <c r="S276" s="36" t="n"/>
      <c r="T276" s="36" t="n"/>
      <c r="U276" s="36" t="n"/>
      <c r="V276" s="34">
        <f>IF($A276="","",IF('⚙️ Settings'!$B$1="","",INT(($A276-'⚙️ Settings'!$B$1)/7)+1))</f>
        <v/>
      </c>
    </row>
    <row r="277" ht="15" customHeight="1" s="26">
      <c r="A277" s="33" t="n"/>
      <c r="B277" s="33" t="n"/>
      <c r="C277" s="33" t="n"/>
      <c r="D277" s="33" t="n"/>
      <c r="E277" s="33" t="n"/>
      <c r="G277" s="33" t="n"/>
      <c r="H277" s="33" t="n"/>
      <c r="I277" s="33" t="n"/>
      <c r="J277" s="33" t="n"/>
      <c r="K277" s="33" t="n"/>
      <c r="L277" s="33" t="n"/>
      <c r="M277" s="33" t="n"/>
      <c r="N277" s="33" t="n"/>
      <c r="O277" s="33" t="n"/>
      <c r="P277" s="33" t="n"/>
      <c r="Q277" s="33" t="n"/>
      <c r="R277" s="33" t="n"/>
      <c r="S277" s="33" t="n"/>
      <c r="T277" s="33" t="n"/>
      <c r="U277" s="33" t="n"/>
      <c r="V277" s="34">
        <f>IF($A277="","",IF('⚙️ Settings'!$B$1="","",INT(($A277-'⚙️ Settings'!$B$1)/7)+1))</f>
        <v/>
      </c>
    </row>
    <row r="278" ht="15" customHeight="1" s="26">
      <c r="A278" s="36" t="n"/>
      <c r="B278" s="36" t="n"/>
      <c r="C278" s="36" t="n"/>
      <c r="D278" s="36" t="n"/>
      <c r="E278" s="36" t="n"/>
      <c r="G278" s="36" t="n"/>
      <c r="H278" s="36" t="n"/>
      <c r="I278" s="36" t="n"/>
      <c r="J278" s="36" t="n"/>
      <c r="K278" s="36" t="n"/>
      <c r="L278" s="36" t="n"/>
      <c r="M278" s="36" t="n"/>
      <c r="N278" s="36" t="n"/>
      <c r="O278" s="36" t="n"/>
      <c r="P278" s="36" t="n"/>
      <c r="Q278" s="36" t="n"/>
      <c r="R278" s="36" t="n"/>
      <c r="S278" s="36" t="n"/>
      <c r="T278" s="36" t="n"/>
      <c r="U278" s="36" t="n"/>
      <c r="V278" s="34">
        <f>IF($A278="","",IF('⚙️ Settings'!$B$1="","",INT(($A278-'⚙️ Settings'!$B$1)/7)+1))</f>
        <v/>
      </c>
    </row>
    <row r="279" ht="15" customHeight="1" s="26">
      <c r="A279" s="33" t="n"/>
      <c r="B279" s="33" t="n"/>
      <c r="C279" s="33" t="n"/>
      <c r="D279" s="33" t="n"/>
      <c r="E279" s="33" t="n"/>
      <c r="G279" s="33" t="n"/>
      <c r="H279" s="33" t="n"/>
      <c r="I279" s="33" t="n"/>
      <c r="J279" s="33" t="n"/>
      <c r="K279" s="33" t="n"/>
      <c r="L279" s="33" t="n"/>
      <c r="M279" s="33" t="n"/>
      <c r="N279" s="33" t="n"/>
      <c r="O279" s="33" t="n"/>
      <c r="P279" s="33" t="n"/>
      <c r="Q279" s="33" t="n"/>
      <c r="R279" s="33" t="n"/>
      <c r="S279" s="33" t="n"/>
      <c r="T279" s="33" t="n"/>
      <c r="U279" s="33" t="n"/>
      <c r="V279" s="34">
        <f>IF($A279="","",IF('⚙️ Settings'!$B$1="","",INT(($A279-'⚙️ Settings'!$B$1)/7)+1))</f>
        <v/>
      </c>
    </row>
    <row r="280" ht="15" customHeight="1" s="26">
      <c r="A280" s="36" t="n"/>
      <c r="B280" s="36" t="n"/>
      <c r="C280" s="36" t="n"/>
      <c r="D280" s="36" t="n"/>
      <c r="E280" s="36" t="n"/>
      <c r="G280" s="36" t="n"/>
      <c r="H280" s="36" t="n"/>
      <c r="I280" s="36" t="n"/>
      <c r="J280" s="36" t="n"/>
      <c r="K280" s="36" t="n"/>
      <c r="L280" s="36" t="n"/>
      <c r="M280" s="36" t="n"/>
      <c r="N280" s="36" t="n"/>
      <c r="O280" s="36" t="n"/>
      <c r="P280" s="36" t="n"/>
      <c r="Q280" s="36" t="n"/>
      <c r="R280" s="36" t="n"/>
      <c r="S280" s="36" t="n"/>
      <c r="T280" s="36" t="n"/>
      <c r="U280" s="36" t="n"/>
      <c r="V280" s="34">
        <f>IF($A280="","",IF('⚙️ Settings'!$B$1="","",INT(($A280-'⚙️ Settings'!$B$1)/7)+1))</f>
        <v/>
      </c>
    </row>
    <row r="281" ht="15" customHeight="1" s="26">
      <c r="A281" s="33" t="n"/>
      <c r="B281" s="33" t="n"/>
      <c r="C281" s="33" t="n"/>
      <c r="D281" s="33" t="n"/>
      <c r="E281" s="33" t="n"/>
      <c r="G281" s="33" t="n"/>
      <c r="H281" s="33" t="n"/>
      <c r="I281" s="33" t="n"/>
      <c r="J281" s="33" t="n"/>
      <c r="K281" s="33" t="n"/>
      <c r="L281" s="33" t="n"/>
      <c r="M281" s="33" t="n"/>
      <c r="N281" s="33" t="n"/>
      <c r="O281" s="33" t="n"/>
      <c r="P281" s="33" t="n"/>
      <c r="Q281" s="33" t="n"/>
      <c r="R281" s="33" t="n"/>
      <c r="S281" s="33" t="n"/>
      <c r="T281" s="33" t="n"/>
      <c r="U281" s="33" t="n"/>
      <c r="V281" s="34">
        <f>IF($A281="","",IF('⚙️ Settings'!$B$1="","",INT(($A281-'⚙️ Settings'!$B$1)/7)+1))</f>
        <v/>
      </c>
    </row>
    <row r="282" ht="15" customHeight="1" s="26">
      <c r="A282" s="36" t="n"/>
      <c r="B282" s="36" t="n"/>
      <c r="C282" s="36" t="n"/>
      <c r="D282" s="36" t="n"/>
      <c r="E282" s="36" t="n"/>
      <c r="G282" s="36" t="n"/>
      <c r="H282" s="36" t="n"/>
      <c r="I282" s="36" t="n"/>
      <c r="J282" s="36" t="n"/>
      <c r="K282" s="36" t="n"/>
      <c r="L282" s="36" t="n"/>
      <c r="M282" s="36" t="n"/>
      <c r="N282" s="36" t="n"/>
      <c r="O282" s="36" t="n"/>
      <c r="P282" s="36" t="n"/>
      <c r="Q282" s="36" t="n"/>
      <c r="R282" s="36" t="n"/>
      <c r="S282" s="36" t="n"/>
      <c r="T282" s="36" t="n"/>
      <c r="U282" s="36" t="n"/>
      <c r="V282" s="34">
        <f>IF($A282="","",IF('⚙️ Settings'!$B$1="","",INT(($A282-'⚙️ Settings'!$B$1)/7)+1))</f>
        <v/>
      </c>
    </row>
    <row r="283" ht="15" customHeight="1" s="26">
      <c r="A283" s="33" t="n"/>
      <c r="B283" s="33" t="n"/>
      <c r="C283" s="33" t="n"/>
      <c r="D283" s="33" t="n"/>
      <c r="E283" s="33" t="n"/>
      <c r="G283" s="33" t="n"/>
      <c r="H283" s="33" t="n"/>
      <c r="I283" s="33" t="n"/>
      <c r="J283" s="33" t="n"/>
      <c r="K283" s="33" t="n"/>
      <c r="L283" s="33" t="n"/>
      <c r="M283" s="33" t="n"/>
      <c r="N283" s="33" t="n"/>
      <c r="O283" s="33" t="n"/>
      <c r="P283" s="33" t="n"/>
      <c r="Q283" s="33" t="n"/>
      <c r="R283" s="33" t="n"/>
      <c r="S283" s="33" t="n"/>
      <c r="T283" s="33" t="n"/>
      <c r="U283" s="33" t="n"/>
      <c r="V283" s="34">
        <f>IF($A283="","",IF('⚙️ Settings'!$B$1="","",INT(($A283-'⚙️ Settings'!$B$1)/7)+1))</f>
        <v/>
      </c>
    </row>
    <row r="284" ht="15" customHeight="1" s="26">
      <c r="A284" s="36" t="n"/>
      <c r="B284" s="36" t="n"/>
      <c r="C284" s="36" t="n"/>
      <c r="D284" s="36" t="n"/>
      <c r="E284" s="36" t="n"/>
      <c r="G284" s="36" t="n"/>
      <c r="H284" s="36" t="n"/>
      <c r="I284" s="36" t="n"/>
      <c r="J284" s="36" t="n"/>
      <c r="K284" s="36" t="n"/>
      <c r="L284" s="36" t="n"/>
      <c r="M284" s="36" t="n"/>
      <c r="N284" s="36" t="n"/>
      <c r="O284" s="36" t="n"/>
      <c r="P284" s="36" t="n"/>
      <c r="Q284" s="36" t="n"/>
      <c r="R284" s="36" t="n"/>
      <c r="S284" s="36" t="n"/>
      <c r="T284" s="36" t="n"/>
      <c r="U284" s="36" t="n"/>
      <c r="V284" s="34">
        <f>IF($A284="","",IF('⚙️ Settings'!$B$1="","",INT(($A284-'⚙️ Settings'!$B$1)/7)+1))</f>
        <v/>
      </c>
    </row>
    <row r="285" ht="15" customHeight="1" s="26">
      <c r="A285" s="33" t="n"/>
      <c r="B285" s="33" t="n"/>
      <c r="C285" s="33" t="n"/>
      <c r="D285" s="33" t="n"/>
      <c r="E285" s="33" t="n"/>
      <c r="G285" s="33" t="n"/>
      <c r="H285" s="33" t="n"/>
      <c r="I285" s="33" t="n"/>
      <c r="J285" s="33" t="n"/>
      <c r="K285" s="33" t="n"/>
      <c r="L285" s="33" t="n"/>
      <c r="M285" s="33" t="n"/>
      <c r="N285" s="33" t="n"/>
      <c r="O285" s="33" t="n"/>
      <c r="P285" s="33" t="n"/>
      <c r="Q285" s="33" t="n"/>
      <c r="R285" s="33" t="n"/>
      <c r="S285" s="33" t="n"/>
      <c r="T285" s="33" t="n"/>
      <c r="U285" s="33" t="n"/>
      <c r="V285" s="34">
        <f>IF($A285="","",IF('⚙️ Settings'!$B$1="","",INT(($A285-'⚙️ Settings'!$B$1)/7)+1))</f>
        <v/>
      </c>
    </row>
    <row r="286" ht="15" customHeight="1" s="26">
      <c r="A286" s="36" t="n"/>
      <c r="B286" s="36" t="n"/>
      <c r="C286" s="36" t="n"/>
      <c r="D286" s="36" t="n"/>
      <c r="E286" s="36" t="n"/>
      <c r="G286" s="36" t="n"/>
      <c r="H286" s="36" t="n"/>
      <c r="I286" s="36" t="n"/>
      <c r="J286" s="36" t="n"/>
      <c r="K286" s="36" t="n"/>
      <c r="L286" s="36" t="n"/>
      <c r="M286" s="36" t="n"/>
      <c r="N286" s="36" t="n"/>
      <c r="O286" s="36" t="n"/>
      <c r="P286" s="36" t="n"/>
      <c r="Q286" s="36" t="n"/>
      <c r="R286" s="36" t="n"/>
      <c r="S286" s="36" t="n"/>
      <c r="T286" s="36" t="n"/>
      <c r="U286" s="36" t="n"/>
      <c r="V286" s="34">
        <f>IF($A286="","",IF('⚙️ Settings'!$B$1="","",INT(($A286-'⚙️ Settings'!$B$1)/7)+1))</f>
        <v/>
      </c>
    </row>
    <row r="287" ht="15" customHeight="1" s="26">
      <c r="A287" s="33" t="n"/>
      <c r="B287" s="33" t="n"/>
      <c r="C287" s="33" t="n"/>
      <c r="D287" s="33" t="n"/>
      <c r="E287" s="33" t="n"/>
      <c r="G287" s="33" t="n"/>
      <c r="H287" s="33" t="n"/>
      <c r="I287" s="33" t="n"/>
      <c r="J287" s="33" t="n"/>
      <c r="K287" s="33" t="n"/>
      <c r="L287" s="33" t="n"/>
      <c r="M287" s="33" t="n"/>
      <c r="N287" s="33" t="n"/>
      <c r="O287" s="33" t="n"/>
      <c r="P287" s="33" t="n"/>
      <c r="Q287" s="33" t="n"/>
      <c r="R287" s="33" t="n"/>
      <c r="S287" s="33" t="n"/>
      <c r="T287" s="33" t="n"/>
      <c r="U287" s="33" t="n"/>
      <c r="V287" s="34">
        <f>IF($A287="","",IF('⚙️ Settings'!$B$1="","",INT(($A287-'⚙️ Settings'!$B$1)/7)+1))</f>
        <v/>
      </c>
    </row>
    <row r="288" ht="15" customHeight="1" s="26">
      <c r="A288" s="36" t="n"/>
      <c r="B288" s="36" t="n"/>
      <c r="C288" s="36" t="n"/>
      <c r="D288" s="36" t="n"/>
      <c r="E288" s="36" t="n"/>
      <c r="G288" s="36" t="n"/>
      <c r="H288" s="36" t="n"/>
      <c r="I288" s="36" t="n"/>
      <c r="J288" s="36" t="n"/>
      <c r="K288" s="36" t="n"/>
      <c r="L288" s="36" t="n"/>
      <c r="M288" s="36" t="n"/>
      <c r="N288" s="36" t="n"/>
      <c r="O288" s="36" t="n"/>
      <c r="P288" s="36" t="n"/>
      <c r="Q288" s="36" t="n"/>
      <c r="R288" s="36" t="n"/>
      <c r="S288" s="36" t="n"/>
      <c r="T288" s="36" t="n"/>
      <c r="U288" s="36" t="n"/>
      <c r="V288" s="34">
        <f>IF($A288="","",IF('⚙️ Settings'!$B$1="","",INT(($A288-'⚙️ Settings'!$B$1)/7)+1))</f>
        <v/>
      </c>
    </row>
    <row r="289" ht="15" customHeight="1" s="26">
      <c r="A289" s="33" t="n"/>
      <c r="B289" s="33" t="n"/>
      <c r="C289" s="33" t="n"/>
      <c r="D289" s="33" t="n"/>
      <c r="E289" s="33" t="n"/>
      <c r="G289" s="33" t="n"/>
      <c r="H289" s="33" t="n"/>
      <c r="I289" s="33" t="n"/>
      <c r="J289" s="33" t="n"/>
      <c r="K289" s="33" t="n"/>
      <c r="L289" s="33" t="n"/>
      <c r="M289" s="33" t="n"/>
      <c r="N289" s="33" t="n"/>
      <c r="O289" s="33" t="n"/>
      <c r="P289" s="33" t="n"/>
      <c r="Q289" s="33" t="n"/>
      <c r="R289" s="33" t="n"/>
      <c r="S289" s="33" t="n"/>
      <c r="T289" s="33" t="n"/>
      <c r="U289" s="33" t="n"/>
      <c r="V289" s="34">
        <f>IF($A289="","",IF('⚙️ Settings'!$B$1="","",INT(($A289-'⚙️ Settings'!$B$1)/7)+1))</f>
        <v/>
      </c>
    </row>
    <row r="290" ht="15" customHeight="1" s="26">
      <c r="A290" s="36" t="n"/>
      <c r="B290" s="36" t="n"/>
      <c r="C290" s="36" t="n"/>
      <c r="D290" s="36" t="n"/>
      <c r="E290" s="36" t="n"/>
      <c r="G290" s="36" t="n"/>
      <c r="H290" s="36" t="n"/>
      <c r="I290" s="36" t="n"/>
      <c r="J290" s="36" t="n"/>
      <c r="K290" s="36" t="n"/>
      <c r="L290" s="36" t="n"/>
      <c r="M290" s="36" t="n"/>
      <c r="N290" s="36" t="n"/>
      <c r="O290" s="36" t="n"/>
      <c r="P290" s="36" t="n"/>
      <c r="Q290" s="36" t="n"/>
      <c r="R290" s="36" t="n"/>
      <c r="S290" s="36" t="n"/>
      <c r="T290" s="36" t="n"/>
      <c r="U290" s="36" t="n"/>
      <c r="V290" s="34">
        <f>IF($A290="","",IF('⚙️ Settings'!$B$1="","",INT(($A290-'⚙️ Settings'!$B$1)/7)+1))</f>
        <v/>
      </c>
    </row>
    <row r="291" ht="15" customHeight="1" s="26">
      <c r="A291" s="33" t="n"/>
      <c r="B291" s="33" t="n"/>
      <c r="C291" s="33" t="n"/>
      <c r="D291" s="33" t="n"/>
      <c r="E291" s="33" t="n"/>
      <c r="G291" s="33" t="n"/>
      <c r="H291" s="33" t="n"/>
      <c r="I291" s="33" t="n"/>
      <c r="J291" s="33" t="n"/>
      <c r="K291" s="33" t="n"/>
      <c r="L291" s="33" t="n"/>
      <c r="M291" s="33" t="n"/>
      <c r="N291" s="33" t="n"/>
      <c r="O291" s="33" t="n"/>
      <c r="P291" s="33" t="n"/>
      <c r="Q291" s="33" t="n"/>
      <c r="R291" s="33" t="n"/>
      <c r="S291" s="33" t="n"/>
      <c r="T291" s="33" t="n"/>
      <c r="U291" s="33" t="n"/>
      <c r="V291" s="34">
        <f>IF($A291="","",IF('⚙️ Settings'!$B$1="","",INT(($A291-'⚙️ Settings'!$B$1)/7)+1))</f>
        <v/>
      </c>
    </row>
    <row r="292" ht="15" customHeight="1" s="26">
      <c r="A292" s="36" t="n"/>
      <c r="B292" s="36" t="n"/>
      <c r="C292" s="36" t="n"/>
      <c r="D292" s="36" t="n"/>
      <c r="E292" s="36" t="n"/>
      <c r="G292" s="36" t="n"/>
      <c r="H292" s="36" t="n"/>
      <c r="I292" s="36" t="n"/>
      <c r="J292" s="36" t="n"/>
      <c r="K292" s="36" t="n"/>
      <c r="L292" s="36" t="n"/>
      <c r="M292" s="36" t="n"/>
      <c r="N292" s="36" t="n"/>
      <c r="O292" s="36" t="n"/>
      <c r="P292" s="36" t="n"/>
      <c r="Q292" s="36" t="n"/>
      <c r="R292" s="36" t="n"/>
      <c r="S292" s="36" t="n"/>
      <c r="T292" s="36" t="n"/>
      <c r="U292" s="36" t="n"/>
      <c r="V292" s="34">
        <f>IF($A292="","",IF('⚙️ Settings'!$B$1="","",INT(($A292-'⚙️ Settings'!$B$1)/7)+1))</f>
        <v/>
      </c>
    </row>
    <row r="293" ht="15" customHeight="1" s="26">
      <c r="A293" s="33" t="n"/>
      <c r="B293" s="33" t="n"/>
      <c r="C293" s="33" t="n"/>
      <c r="D293" s="33" t="n"/>
      <c r="E293" s="33" t="n"/>
      <c r="G293" s="33" t="n"/>
      <c r="H293" s="33" t="n"/>
      <c r="I293" s="33" t="n"/>
      <c r="J293" s="33" t="n"/>
      <c r="K293" s="33" t="n"/>
      <c r="L293" s="33" t="n"/>
      <c r="M293" s="33" t="n"/>
      <c r="N293" s="33" t="n"/>
      <c r="O293" s="33" t="n"/>
      <c r="P293" s="33" t="n"/>
      <c r="Q293" s="33" t="n"/>
      <c r="R293" s="33" t="n"/>
      <c r="S293" s="33" t="n"/>
      <c r="T293" s="33" t="n"/>
      <c r="U293" s="33" t="n"/>
      <c r="V293" s="34">
        <f>IF($A293="","",IF('⚙️ Settings'!$B$1="","",INT(($A293-'⚙️ Settings'!$B$1)/7)+1))</f>
        <v/>
      </c>
    </row>
    <row r="294" ht="15" customHeight="1" s="26">
      <c r="A294" s="36" t="n"/>
      <c r="B294" s="36" t="n"/>
      <c r="C294" s="36" t="n"/>
      <c r="D294" s="36" t="n"/>
      <c r="E294" s="36" t="n"/>
      <c r="G294" s="36" t="n"/>
      <c r="H294" s="36" t="n"/>
      <c r="I294" s="36" t="n"/>
      <c r="J294" s="36" t="n"/>
      <c r="K294" s="36" t="n"/>
      <c r="L294" s="36" t="n"/>
      <c r="M294" s="36" t="n"/>
      <c r="N294" s="36" t="n"/>
      <c r="O294" s="36" t="n"/>
      <c r="P294" s="36" t="n"/>
      <c r="Q294" s="36" t="n"/>
      <c r="R294" s="36" t="n"/>
      <c r="S294" s="36" t="n"/>
      <c r="T294" s="36" t="n"/>
      <c r="U294" s="36" t="n"/>
      <c r="V294" s="34">
        <f>IF($A294="","",IF('⚙️ Settings'!$B$1="","",INT(($A294-'⚙️ Settings'!$B$1)/7)+1))</f>
        <v/>
      </c>
    </row>
    <row r="295" ht="15" customHeight="1" s="26">
      <c r="A295" s="33" t="n"/>
      <c r="B295" s="33" t="n"/>
      <c r="C295" s="33" t="n"/>
      <c r="D295" s="33" t="n"/>
      <c r="E295" s="33" t="n"/>
      <c r="G295" s="33" t="n"/>
      <c r="H295" s="33" t="n"/>
      <c r="I295" s="33" t="n"/>
      <c r="J295" s="33" t="n"/>
      <c r="K295" s="33" t="n"/>
      <c r="L295" s="33" t="n"/>
      <c r="M295" s="33" t="n"/>
      <c r="N295" s="33" t="n"/>
      <c r="O295" s="33" t="n"/>
      <c r="P295" s="33" t="n"/>
      <c r="Q295" s="33" t="n"/>
      <c r="R295" s="33" t="n"/>
      <c r="S295" s="33" t="n"/>
      <c r="T295" s="33" t="n"/>
      <c r="U295" s="33" t="n"/>
      <c r="V295" s="34">
        <f>IF($A295="","",IF('⚙️ Settings'!$B$1="","",INT(($A295-'⚙️ Settings'!$B$1)/7)+1))</f>
        <v/>
      </c>
    </row>
    <row r="296" ht="15" customHeight="1" s="26">
      <c r="A296" s="36" t="n"/>
      <c r="B296" s="36" t="n"/>
      <c r="C296" s="36" t="n"/>
      <c r="D296" s="36" t="n"/>
      <c r="E296" s="36" t="n"/>
      <c r="G296" s="36" t="n"/>
      <c r="H296" s="36" t="n"/>
      <c r="I296" s="36" t="n"/>
      <c r="J296" s="36" t="n"/>
      <c r="K296" s="36" t="n"/>
      <c r="L296" s="36" t="n"/>
      <c r="M296" s="36" t="n"/>
      <c r="N296" s="36" t="n"/>
      <c r="O296" s="36" t="n"/>
      <c r="P296" s="36" t="n"/>
      <c r="Q296" s="36" t="n"/>
      <c r="R296" s="36" t="n"/>
      <c r="S296" s="36" t="n"/>
      <c r="T296" s="36" t="n"/>
      <c r="U296" s="36" t="n"/>
      <c r="V296" s="34">
        <f>IF($A296="","",IF('⚙️ Settings'!$B$1="","",INT(($A296-'⚙️ Settings'!$B$1)/7)+1))</f>
        <v/>
      </c>
    </row>
    <row r="297" ht="15" customHeight="1" s="26">
      <c r="A297" s="33" t="n"/>
      <c r="B297" s="33" t="n"/>
      <c r="C297" s="33" t="n"/>
      <c r="D297" s="33" t="n"/>
      <c r="E297" s="33" t="n"/>
      <c r="G297" s="33" t="n"/>
      <c r="H297" s="33" t="n"/>
      <c r="I297" s="33" t="n"/>
      <c r="J297" s="33" t="n"/>
      <c r="K297" s="33" t="n"/>
      <c r="L297" s="33" t="n"/>
      <c r="M297" s="33" t="n"/>
      <c r="N297" s="33" t="n"/>
      <c r="O297" s="33" t="n"/>
      <c r="P297" s="33" t="n"/>
      <c r="Q297" s="33" t="n"/>
      <c r="R297" s="33" t="n"/>
      <c r="S297" s="33" t="n"/>
      <c r="T297" s="33" t="n"/>
      <c r="U297" s="33" t="n"/>
      <c r="V297" s="34">
        <f>IF($A297="","",IF('⚙️ Settings'!$B$1="","",INT(($A297-'⚙️ Settings'!$B$1)/7)+1))</f>
        <v/>
      </c>
    </row>
    <row r="298" ht="15" customHeight="1" s="26">
      <c r="A298" s="36" t="n"/>
      <c r="B298" s="36" t="n"/>
      <c r="C298" s="36" t="n"/>
      <c r="D298" s="36" t="n"/>
      <c r="E298" s="36" t="n"/>
      <c r="G298" s="36" t="n"/>
      <c r="H298" s="36" t="n"/>
      <c r="I298" s="36" t="n"/>
      <c r="J298" s="36" t="n"/>
      <c r="K298" s="36" t="n"/>
      <c r="L298" s="36" t="n"/>
      <c r="M298" s="36" t="n"/>
      <c r="N298" s="36" t="n"/>
      <c r="O298" s="36" t="n"/>
      <c r="P298" s="36" t="n"/>
      <c r="Q298" s="36" t="n"/>
      <c r="R298" s="36" t="n"/>
      <c r="S298" s="36" t="n"/>
      <c r="T298" s="36" t="n"/>
      <c r="U298" s="36" t="n"/>
      <c r="V298" s="34">
        <f>IF($A298="","",IF('⚙️ Settings'!$B$1="","",INT(($A298-'⚙️ Settings'!$B$1)/7)+1))</f>
        <v/>
      </c>
    </row>
    <row r="299" ht="15" customHeight="1" s="26">
      <c r="A299" s="33" t="n"/>
      <c r="B299" s="33" t="n"/>
      <c r="C299" s="33" t="n"/>
      <c r="D299" s="33" t="n"/>
      <c r="E299" s="33" t="n"/>
      <c r="G299" s="33" t="n"/>
      <c r="H299" s="33" t="n"/>
      <c r="I299" s="33" t="n"/>
      <c r="J299" s="33" t="n"/>
      <c r="K299" s="33" t="n"/>
      <c r="L299" s="33" t="n"/>
      <c r="M299" s="33" t="n"/>
      <c r="N299" s="33" t="n"/>
      <c r="O299" s="33" t="n"/>
      <c r="P299" s="33" t="n"/>
      <c r="Q299" s="33" t="n"/>
      <c r="R299" s="33" t="n"/>
      <c r="S299" s="33" t="n"/>
      <c r="T299" s="33" t="n"/>
      <c r="U299" s="33" t="n"/>
      <c r="V299" s="34">
        <f>IF($A299="","",IF('⚙️ Settings'!$B$1="","",INT(($A299-'⚙️ Settings'!$B$1)/7)+1))</f>
        <v/>
      </c>
    </row>
    <row r="300" ht="15" customHeight="1" s="26">
      <c r="A300" s="36" t="n"/>
      <c r="B300" s="36" t="n"/>
      <c r="C300" s="36" t="n"/>
      <c r="D300" s="36" t="n"/>
      <c r="E300" s="36" t="n"/>
      <c r="G300" s="36" t="n"/>
      <c r="H300" s="36" t="n"/>
      <c r="I300" s="36" t="n"/>
      <c r="J300" s="36" t="n"/>
      <c r="K300" s="36" t="n"/>
      <c r="L300" s="36" t="n"/>
      <c r="M300" s="36" t="n"/>
      <c r="N300" s="36" t="n"/>
      <c r="O300" s="36" t="n"/>
      <c r="P300" s="36" t="n"/>
      <c r="Q300" s="36" t="n"/>
      <c r="R300" s="36" t="n"/>
      <c r="S300" s="36" t="n"/>
      <c r="T300" s="36" t="n"/>
      <c r="U300" s="36" t="n"/>
      <c r="V300" s="34">
        <f>IF($A300="","",IF('⚙️ Settings'!$B$1="","",INT(($A300-'⚙️ Settings'!$B$1)/7)+1))</f>
        <v/>
      </c>
    </row>
    <row r="301" ht="15" customHeight="1" s="26">
      <c r="A301" s="33" t="n"/>
      <c r="B301" s="33" t="n"/>
      <c r="C301" s="33" t="n"/>
      <c r="D301" s="33" t="n"/>
      <c r="E301" s="33" t="n"/>
      <c r="G301" s="33" t="n"/>
      <c r="H301" s="33" t="n"/>
      <c r="I301" s="33" t="n"/>
      <c r="J301" s="33" t="n"/>
      <c r="K301" s="33" t="n"/>
      <c r="L301" s="33" t="n"/>
      <c r="M301" s="33" t="n"/>
      <c r="N301" s="33" t="n"/>
      <c r="O301" s="33" t="n"/>
      <c r="P301" s="33" t="n"/>
      <c r="Q301" s="33" t="n"/>
      <c r="R301" s="33" t="n"/>
      <c r="S301" s="33" t="n"/>
      <c r="T301" s="33" t="n"/>
      <c r="U301" s="33" t="n"/>
      <c r="V301" s="34">
        <f>IF($A301="","",IF('⚙️ Settings'!$B$1="","",INT(($A301-'⚙️ Settings'!$B$1)/7)+1))</f>
        <v/>
      </c>
    </row>
    <row r="302" ht="15" customHeight="1" s="26">
      <c r="A302" s="36" t="n"/>
      <c r="B302" s="36" t="n"/>
      <c r="C302" s="36" t="n"/>
      <c r="D302" s="36" t="n"/>
      <c r="E302" s="36" t="n"/>
      <c r="G302" s="36" t="n"/>
      <c r="H302" s="36" t="n"/>
      <c r="I302" s="36" t="n"/>
      <c r="J302" s="36" t="n"/>
      <c r="K302" s="36" t="n"/>
      <c r="L302" s="36" t="n"/>
      <c r="M302" s="36" t="n"/>
      <c r="N302" s="36" t="n"/>
      <c r="O302" s="36" t="n"/>
      <c r="P302" s="36" t="n"/>
      <c r="Q302" s="36" t="n"/>
      <c r="R302" s="36" t="n"/>
      <c r="S302" s="36" t="n"/>
      <c r="T302" s="36" t="n"/>
      <c r="U302" s="36" t="n"/>
      <c r="V302" s="34">
        <f>IF($A302="","",IF('⚙️ Settings'!$B$1="","",INT(($A302-'⚙️ Settings'!$B$1)/7)+1))</f>
        <v/>
      </c>
    </row>
  </sheetData>
  <mergeCells count="1">
    <mergeCell ref="A1:V1"/>
  </mergeCells>
  <dataValidations count="14">
    <dataValidation sqref="E3:E302" showDropDown="0" showInputMessage="0" showErrorMessage="0" allowBlank="1" type="list" errorStyle="stop" operator="between">
      <formula1>"Client acquisition,Booking management,Scheduling,Communication,Payment,Profile management,Review management,Business administration,Trust &amp; safety"</formula1>
      <formula2>0</formula2>
    </dataValidation>
    <dataValidation sqref="F3:F302" showDropDown="0" showInputMessage="0" showErrorMessage="0" allowBlank="1" type="list" errorStyle="stop" operator="between">
      <formula1>"Onboarding &amp; Account creation,Manage account,Receive booking,Manage bookings &amp; schedule,Deliver service &amp; Keep Clients Updated,Understand &amp; Manage My Earnings,Grow &amp; Sustain My Business"</formula1>
      <formula2>0</formula2>
    </dataValidation>
    <dataValidation sqref="G3:G302" showDropDown="0" showInputMessage="0" showErrorMessage="0" allowBlank="1" type="list" errorStyle="stop" operator="between">
      <formula1>"Relationship management,Scheduling,Communication,Payments,Business administration,Trust &amp; safety,Client acquisition"</formula1>
      <formula2>0</formula2>
    </dataValidation>
    <dataValidation sqref="H3:H302" showDropDown="0" showInputMessage="0" showErrorMessage="0" allowBlank="1" type="list" errorStyle="stop" operator="between">
      <formula1>"Rover,Google Calendar,Apple Calendar,Spreadsheet,Text messages,WhatsApp,Notes app,Facebook group,Email,Phone call,Other"</formula1>
      <formula2>0</formula2>
    </dataValidation>
    <dataValidation sqref="I3:I302" showDropDown="0" showInputMessage="0" showErrorMessage="0" allowBlank="1" type="list" errorStyle="stop" operator="between">
      <formula1>"Essential,Helpful,Optional,Irrelevant,Barrier"</formula1>
      <formula2>0</formula2>
    </dataValidation>
    <dataValidation sqref="J3:J302" showDropDown="0" showInputMessage="0" showErrorMessage="0" allowBlank="1" type="list" errorStyle="stop" operator="between">
      <formula1>"Moved communication off-platform,Used Google Calendar,Accepted booking,Declined booking,Created workaround,Contacted client directly,Managed schedule externally,Tracked info externally,Other"</formula1>
      <formula2>0</formula2>
    </dataValidation>
    <dataValidation sqref="K3:K302" showDropDown="0" showInputMessage="0" showErrorMessage="0" allowBlank="1" type="list" errorStyle="stop" operator="between">
      <formula1>"Better visibility,Organization,Guidance,Automation,Communication support,Client history,Scheduling flexibility,Payment clarity,Other"</formula1>
      <formula2>0</formula2>
    </dataValidation>
    <dataValidation sqref="L3:L302" showDropDown="0" showInputMessage="0" showErrorMessage="0" allowBlank="1" type="list" errorStyle="stop" operator="between">
      <formula1>"Manual work,Missing information,Switching tools,Duplicate work,Scheduling complexity,Communication gap,Payment delay,Lack of context,Other"</formula1>
      <formula2>0</formula2>
    </dataValidation>
    <dataValidation sqref="M3:M302" showDropDown="0" showInputMessage="0" showErrorMessage="0" allowBlank="1" type="list" errorStyle="stop" operator="between">
      <formula1>"Trust,Convenience,Demand generation,Payments,Scheduling,Communication,Repeat client management,Insurance,Reviews,Other"</formula1>
      <formula2>0</formula2>
    </dataValidation>
    <dataValidation sqref="N3:N302" showDropDown="0" showInputMessage="0" showErrorMessage="0" allowBlank="1" type="list" errorStyle="stop" operator="between">
      <formula1>"Growing loyalty,Diversion risk,Professionalization,Platform dependence,Platform independence,Off-platform migration,Churn risk,Expansion intent"</formula1>
      <formula2>0</formula2>
    </dataValidation>
    <dataValidation sqref="O3:O302" showDropDown="0" showInputMessage="0" showErrorMessage="0" allowBlank="1" type="list" errorStyle="stop" operator="between">
      <formula1>"Confident,Frustrated,Proud,Overwhelmed,Uncertain,Relieved,Excited,Anxious,Satisfied,Disappointed"</formula1>
      <formula2>0</formula2>
    </dataValidation>
    <dataValidation sqref="P3:P302" showDropDown="0" showInputMessage="0" showErrorMessage="0" allowBlank="1" type="list" errorStyle="stop" operator="between">
      <formula1>"Scheduling opportunity,Communication opportunity,Trust opportunity,Professionalization opportunity,Retention opportunity,Automation opportunity,Visibility opportunity,Relationship management opportunity"</formula1>
      <formula2>0</formula2>
    </dataValidation>
    <dataValidation sqref="R3:R302" showDropDown="0" showInputMessage="0" showErrorMessage="0" allowBlank="1" type="list" errorStyle="stop" operator="between">
      <formula1>"Yes,No"</formula1>
      <formula2>0</formula2>
    </dataValidation>
    <dataValidation sqref="C3:C302" showDropDown="0" showInputMessage="0" showErrorMessage="0" allowBlank="1" type="list" errorStyle="stop" operator="between">
      <formula1>"New provider,Growing provider,Established provider,Power provider,New,Mid,Top"</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7A589"/>
    <outlinePr summaryBelow="1" summaryRight="1"/>
    <pageSetUpPr fitToPage="0"/>
  </sheetPr>
  <dimension ref="A1:D10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5" min="1" max="1"/>
    <col width="10" customWidth="1" style="25" min="2" max="3"/>
    <col width="50" customWidth="1" style="25" min="4" max="4"/>
  </cols>
  <sheetData>
    <row r="1" ht="36" customHeight="1" s="26">
      <c r="A1" s="30" t="inlineStr">
        <is>
          <t>TAG TAXONOMY — ROVER DIARY STUDY</t>
        </is>
      </c>
    </row>
    <row r="2" ht="24" customHeight="1" s="26">
      <c r="A2" s="39" t="inlineStr">
        <is>
          <t>Tag Name</t>
        </is>
      </c>
      <c r="B2" s="39" t="inlineStr">
        <is>
          <t>Category</t>
        </is>
      </c>
      <c r="C2" s="39" t="inlineStr">
        <is>
          <t>Layer</t>
        </is>
      </c>
      <c r="D2" s="39" t="inlineStr">
        <is>
          <t>Description</t>
        </is>
      </c>
    </row>
    <row r="3" ht="21.75" customHeight="1" s="26">
      <c r="A3" s="40" t="inlineStr">
        <is>
          <t>DESCRIPTIVE TAGS</t>
        </is>
      </c>
    </row>
    <row r="4" ht="19.5" customHeight="1" s="26">
      <c r="A4" s="41" t="inlineStr">
        <is>
          <t xml:space="preserve">  Workflow Area</t>
        </is>
      </c>
    </row>
    <row r="5" ht="18" customHeight="1" s="26">
      <c r="A5" s="33" t="inlineStr">
        <is>
          <t xml:space="preserve">    Relationship management</t>
        </is>
      </c>
      <c r="B5" s="33" t="inlineStr">
        <is>
          <t>Workflow Area</t>
        </is>
      </c>
      <c r="C5" s="33" t="inlineStr">
        <is>
          <t>Descriptive</t>
        </is>
      </c>
      <c r="D5" s="33" t="inlineStr">
        <is>
          <t>Ongoing client retention and nurturing</t>
        </is>
      </c>
    </row>
    <row r="6" ht="18" customHeight="1" s="26">
      <c r="A6" s="36" t="inlineStr">
        <is>
          <t xml:space="preserve">    Scheduling</t>
        </is>
      </c>
      <c r="B6" s="36" t="inlineStr">
        <is>
          <t>Workflow Area</t>
        </is>
      </c>
      <c r="C6" s="36" t="inlineStr">
        <is>
          <t>Descriptive</t>
        </is>
      </c>
      <c r="D6" s="36" t="inlineStr">
        <is>
          <t>Booking and calendar coordination</t>
        </is>
      </c>
    </row>
    <row r="7" ht="18" customHeight="1" s="26">
      <c r="A7" s="33" t="inlineStr">
        <is>
          <t xml:space="preserve">    Communication</t>
        </is>
      </c>
      <c r="B7" s="33" t="inlineStr">
        <is>
          <t>Workflow Area</t>
        </is>
      </c>
      <c r="C7" s="33" t="inlineStr">
        <is>
          <t>Descriptive</t>
        </is>
      </c>
      <c r="D7" s="33" t="inlineStr">
        <is>
          <t>Client-provider messaging</t>
        </is>
      </c>
    </row>
    <row r="8" ht="18" customHeight="1" s="26">
      <c r="A8" s="36" t="inlineStr">
        <is>
          <t xml:space="preserve">    Payments</t>
        </is>
      </c>
      <c r="B8" s="36" t="inlineStr">
        <is>
          <t>Workflow Area</t>
        </is>
      </c>
      <c r="C8" s="36" t="inlineStr">
        <is>
          <t>Descriptive</t>
        </is>
      </c>
      <c r="D8" s="36" t="inlineStr">
        <is>
          <t>Invoicing, rates, payout</t>
        </is>
      </c>
    </row>
    <row r="9" ht="18" customHeight="1" s="26">
      <c r="A9" s="33" t="inlineStr">
        <is>
          <t xml:space="preserve">    Business administration</t>
        </is>
      </c>
      <c r="B9" s="33" t="inlineStr">
        <is>
          <t>Workflow Area</t>
        </is>
      </c>
      <c r="C9" s="33" t="inlineStr">
        <is>
          <t>Descriptive</t>
        </is>
      </c>
      <c r="D9" s="33" t="inlineStr">
        <is>
          <t>Profile, records, reporting</t>
        </is>
      </c>
    </row>
    <row r="10" ht="18" customHeight="1" s="26">
      <c r="A10" s="36" t="inlineStr">
        <is>
          <t xml:space="preserve">    Trust &amp; safety</t>
        </is>
      </c>
      <c r="B10" s="36" t="inlineStr">
        <is>
          <t>Workflow Area</t>
        </is>
      </c>
      <c r="C10" s="36" t="inlineStr">
        <is>
          <t>Descriptive</t>
        </is>
      </c>
      <c r="D10" s="36" t="inlineStr">
        <is>
          <t>Background checks, insurance, incident handling</t>
        </is>
      </c>
    </row>
    <row r="11" ht="18" customHeight="1" s="26">
      <c r="A11" s="33" t="inlineStr">
        <is>
          <t xml:space="preserve">    Client acquisition</t>
        </is>
      </c>
      <c r="B11" s="33" t="inlineStr">
        <is>
          <t>Workflow Area</t>
        </is>
      </c>
      <c r="C11" s="33" t="inlineStr">
        <is>
          <t>Descriptive</t>
        </is>
      </c>
      <c r="D11" s="33" t="inlineStr">
        <is>
          <t>Finding new clients, marketplace browsing</t>
        </is>
      </c>
    </row>
    <row r="12" ht="19.5" customHeight="1" s="26">
      <c r="A12" s="41" t="inlineStr">
        <is>
          <t xml:space="preserve">  Tool Used</t>
        </is>
      </c>
    </row>
    <row r="13" ht="18" customHeight="1" s="26">
      <c r="A13" s="33" t="inlineStr">
        <is>
          <t xml:space="preserve">    Rover</t>
        </is>
      </c>
      <c r="B13" s="33" t="inlineStr">
        <is>
          <t>Tool Used</t>
        </is>
      </c>
      <c r="C13" s="33" t="inlineStr">
        <is>
          <t>Descriptive</t>
        </is>
      </c>
      <c r="D13" s="33" t="inlineStr">
        <is>
          <t>Native platform action</t>
        </is>
      </c>
    </row>
    <row r="14" ht="18" customHeight="1" s="26">
      <c r="A14" s="36" t="inlineStr">
        <is>
          <t xml:space="preserve">    Google Calendar</t>
        </is>
      </c>
      <c r="B14" s="36" t="inlineStr">
        <is>
          <t>Tool Used</t>
        </is>
      </c>
      <c r="C14" s="36" t="inlineStr">
        <is>
          <t>Descriptive</t>
        </is>
      </c>
      <c r="D14" s="36" t="inlineStr">
        <is>
          <t>External scheduling</t>
        </is>
      </c>
    </row>
    <row r="15" ht="18" customHeight="1" s="26">
      <c r="A15" s="33" t="inlineStr">
        <is>
          <t xml:space="preserve">    Apple Calendar</t>
        </is>
      </c>
      <c r="B15" s="33" t="inlineStr">
        <is>
          <t>Tool Used</t>
        </is>
      </c>
      <c r="C15" s="33" t="inlineStr">
        <is>
          <t>Descriptive</t>
        </is>
      </c>
      <c r="D15" s="33" t="inlineStr">
        <is>
          <t>External scheduling</t>
        </is>
      </c>
    </row>
    <row r="16" ht="18" customHeight="1" s="26">
      <c r="A16" s="36" t="inlineStr">
        <is>
          <t xml:space="preserve">    Spreadsheet</t>
        </is>
      </c>
      <c r="B16" s="36" t="inlineStr">
        <is>
          <t>Tool Used</t>
        </is>
      </c>
      <c r="C16" s="36" t="inlineStr">
        <is>
          <t>Descriptive</t>
        </is>
      </c>
      <c r="D16" s="36" t="inlineStr">
        <is>
          <t>Custom tracking</t>
        </is>
      </c>
    </row>
    <row r="17" ht="18" customHeight="1" s="26">
      <c r="A17" s="33" t="inlineStr">
        <is>
          <t xml:space="preserve">    Text messages</t>
        </is>
      </c>
      <c r="B17" s="33" t="inlineStr">
        <is>
          <t>Tool Used</t>
        </is>
      </c>
      <c r="C17" s="33" t="inlineStr">
        <is>
          <t>Descriptive</t>
        </is>
      </c>
      <c r="D17" s="33" t="inlineStr">
        <is>
          <t>Off-platform comms</t>
        </is>
      </c>
    </row>
    <row r="18" ht="18" customHeight="1" s="26">
      <c r="A18" s="36" t="inlineStr">
        <is>
          <t xml:space="preserve">    WhatsApp</t>
        </is>
      </c>
      <c r="B18" s="36" t="inlineStr">
        <is>
          <t>Tool Used</t>
        </is>
      </c>
      <c r="C18" s="36" t="inlineStr">
        <is>
          <t>Descriptive</t>
        </is>
      </c>
      <c r="D18" s="36" t="inlineStr">
        <is>
          <t>Off-platform comms</t>
        </is>
      </c>
    </row>
    <row r="19" ht="18" customHeight="1" s="26">
      <c r="A19" s="33" t="inlineStr">
        <is>
          <t xml:space="preserve">    Notes app</t>
        </is>
      </c>
      <c r="B19" s="33" t="inlineStr">
        <is>
          <t>Tool Used</t>
        </is>
      </c>
      <c r="C19" s="33" t="inlineStr">
        <is>
          <t>Descriptive</t>
        </is>
      </c>
      <c r="D19" s="33" t="inlineStr">
        <is>
          <t>Personal records</t>
        </is>
      </c>
    </row>
    <row r="20" ht="18" customHeight="1" s="26">
      <c r="A20" s="36" t="inlineStr">
        <is>
          <t xml:space="preserve">    Facebook group</t>
        </is>
      </c>
      <c r="B20" s="36" t="inlineStr">
        <is>
          <t>Tool Used</t>
        </is>
      </c>
      <c r="C20" s="36" t="inlineStr">
        <is>
          <t>Descriptive</t>
        </is>
      </c>
      <c r="D20" s="36" t="inlineStr">
        <is>
          <t>Community/referral</t>
        </is>
      </c>
    </row>
    <row r="21" ht="18" customHeight="1" s="26">
      <c r="A21" s="33" t="inlineStr">
        <is>
          <t xml:space="preserve">    Email</t>
        </is>
      </c>
      <c r="B21" s="33" t="inlineStr">
        <is>
          <t>Tool Used</t>
        </is>
      </c>
      <c r="C21" s="33" t="inlineStr">
        <is>
          <t>Descriptive</t>
        </is>
      </c>
      <c r="D21" s="33" t="inlineStr">
        <is>
          <t>Off-platform comms</t>
        </is>
      </c>
    </row>
    <row r="22" ht="18" customHeight="1" s="26">
      <c r="A22" s="36" t="inlineStr">
        <is>
          <t xml:space="preserve">    Phone call</t>
        </is>
      </c>
      <c r="B22" s="36" t="inlineStr">
        <is>
          <t>Tool Used</t>
        </is>
      </c>
      <c r="C22" s="36" t="inlineStr">
        <is>
          <t>Descriptive</t>
        </is>
      </c>
      <c r="D22" s="36" t="inlineStr">
        <is>
          <t>Off-platform comms</t>
        </is>
      </c>
    </row>
    <row r="23" ht="19.5" customHeight="1" s="26">
      <c r="A23" s="41" t="inlineStr">
        <is>
          <t xml:space="preserve">  Behavior</t>
        </is>
      </c>
    </row>
    <row r="24" ht="18" customHeight="1" s="26">
      <c r="A24" s="36" t="inlineStr">
        <is>
          <t xml:space="preserve">    Moved communication off-platform</t>
        </is>
      </c>
      <c r="B24" s="36" t="inlineStr">
        <is>
          <t>Behavior</t>
        </is>
      </c>
      <c r="C24" s="36" t="inlineStr">
        <is>
          <t>Descriptive</t>
        </is>
      </c>
      <c r="D24" s="36" t="inlineStr">
        <is>
          <t>Shifted messages to text/WhatsApp/etc.</t>
        </is>
      </c>
    </row>
    <row r="25" ht="18" customHeight="1" s="26">
      <c r="A25" s="33" t="inlineStr">
        <is>
          <t xml:space="preserve">    Used Google Calendar</t>
        </is>
      </c>
      <c r="B25" s="33" t="inlineStr">
        <is>
          <t>Behavior</t>
        </is>
      </c>
      <c r="C25" s="33" t="inlineStr">
        <is>
          <t>Descriptive</t>
        </is>
      </c>
      <c r="D25" s="33" t="inlineStr">
        <is>
          <t>Managed bookings externally</t>
        </is>
      </c>
    </row>
    <row r="26" ht="18" customHeight="1" s="26">
      <c r="A26" s="36" t="inlineStr">
        <is>
          <t xml:space="preserve">    Accepted booking</t>
        </is>
      </c>
      <c r="B26" s="36" t="inlineStr">
        <is>
          <t>Behavior</t>
        </is>
      </c>
      <c r="C26" s="36" t="inlineStr">
        <is>
          <t>Descriptive</t>
        </is>
      </c>
      <c r="D26" s="36" t="inlineStr">
        <is>
          <t>Confirmed a service request</t>
        </is>
      </c>
    </row>
    <row r="27" ht="18" customHeight="1" s="26">
      <c r="A27" s="33" t="inlineStr">
        <is>
          <t xml:space="preserve">    Declined booking</t>
        </is>
      </c>
      <c r="B27" s="33" t="inlineStr">
        <is>
          <t>Behavior</t>
        </is>
      </c>
      <c r="C27" s="33" t="inlineStr">
        <is>
          <t>Descriptive</t>
        </is>
      </c>
      <c r="D27" s="33" t="inlineStr">
        <is>
          <t>Turned down a service request</t>
        </is>
      </c>
    </row>
    <row r="28" ht="18" customHeight="1" s="26">
      <c r="A28" s="36" t="inlineStr">
        <is>
          <t xml:space="preserve">    Created workaround</t>
        </is>
      </c>
      <c r="B28" s="36" t="inlineStr">
        <is>
          <t>Behavior</t>
        </is>
      </c>
      <c r="C28" s="36" t="inlineStr">
        <is>
          <t>Descriptive</t>
        </is>
      </c>
      <c r="D28" s="36" t="inlineStr">
        <is>
          <t>Built a custom solution outside Rover</t>
        </is>
      </c>
    </row>
    <row r="29" ht="18" customHeight="1" s="26">
      <c r="A29" s="33" t="inlineStr">
        <is>
          <t xml:space="preserve">    Contacted client directly</t>
        </is>
      </c>
      <c r="B29" s="33" t="inlineStr">
        <is>
          <t>Behavior</t>
        </is>
      </c>
      <c r="C29" s="33" t="inlineStr">
        <is>
          <t>Descriptive</t>
        </is>
      </c>
      <c r="D29" s="33" t="inlineStr">
        <is>
          <t>Bypassed Rover messaging</t>
        </is>
      </c>
    </row>
    <row r="30" ht="18" customHeight="1" s="26">
      <c r="A30" s="36" t="inlineStr">
        <is>
          <t xml:space="preserve">    Managed schedule externally</t>
        </is>
      </c>
      <c r="B30" s="36" t="inlineStr">
        <is>
          <t>Behavior</t>
        </is>
      </c>
      <c r="C30" s="36" t="inlineStr">
        <is>
          <t>Descriptive</t>
        </is>
      </c>
      <c r="D30" s="36" t="inlineStr">
        <is>
          <t>Primary scheduling not on Rover</t>
        </is>
      </c>
    </row>
    <row r="31" ht="18" customHeight="1" s="26">
      <c r="A31" s="33" t="inlineStr">
        <is>
          <t xml:space="preserve">    Tracked info externally</t>
        </is>
      </c>
      <c r="B31" s="33" t="inlineStr">
        <is>
          <t>Behavior</t>
        </is>
      </c>
      <c r="C31" s="33" t="inlineStr">
        <is>
          <t>Descriptive</t>
        </is>
      </c>
      <c r="D31" s="33" t="inlineStr">
        <is>
          <t>Client notes kept outside platform</t>
        </is>
      </c>
    </row>
    <row r="32" ht="19.5" customHeight="1" s="26">
      <c r="A32" s="41" t="inlineStr">
        <is>
          <t xml:space="preserve">  Emotion</t>
        </is>
      </c>
    </row>
    <row r="33" ht="18" customHeight="1" s="26">
      <c r="A33" s="33" t="inlineStr">
        <is>
          <t xml:space="preserve">    Confident</t>
        </is>
      </c>
      <c r="B33" s="33" t="inlineStr">
        <is>
          <t>Emotion</t>
        </is>
      </c>
      <c r="C33" s="33" t="inlineStr">
        <is>
          <t>Descriptive</t>
        </is>
      </c>
      <c r="D33" s="33" t="inlineStr">
        <is>
          <t>Provider feels in control and capable</t>
        </is>
      </c>
    </row>
    <row r="34" ht="18" customHeight="1" s="26">
      <c r="A34" s="36" t="inlineStr">
        <is>
          <t xml:space="preserve">    Frustrated</t>
        </is>
      </c>
      <c r="B34" s="36" t="inlineStr">
        <is>
          <t>Emotion</t>
        </is>
      </c>
      <c r="C34" s="36" t="inlineStr">
        <is>
          <t>Descriptive</t>
        </is>
      </c>
      <c r="D34" s="36" t="inlineStr">
        <is>
          <t>Friction causing negative affect</t>
        </is>
      </c>
    </row>
    <row r="35" ht="18" customHeight="1" s="26">
      <c r="A35" s="33" t="inlineStr">
        <is>
          <t xml:space="preserve">    Proud</t>
        </is>
      </c>
      <c r="B35" s="33" t="inlineStr">
        <is>
          <t>Emotion</t>
        </is>
      </c>
      <c r="C35" s="33" t="inlineStr">
        <is>
          <t>Descriptive</t>
        </is>
      </c>
      <c r="D35" s="33" t="inlineStr">
        <is>
          <t>Positive achievement</t>
        </is>
      </c>
    </row>
    <row r="36" ht="18" customHeight="1" s="26">
      <c r="A36" s="36" t="inlineStr">
        <is>
          <t xml:space="preserve">    Overwhelmed</t>
        </is>
      </c>
      <c r="B36" s="36" t="inlineStr">
        <is>
          <t>Emotion</t>
        </is>
      </c>
      <c r="C36" s="36" t="inlineStr">
        <is>
          <t>Descriptive</t>
        </is>
      </c>
      <c r="D36" s="36" t="inlineStr">
        <is>
          <t>Volume or complexity is too much</t>
        </is>
      </c>
    </row>
    <row r="37" ht="18" customHeight="1" s="26">
      <c r="A37" s="33" t="inlineStr">
        <is>
          <t xml:space="preserve">    Uncertain</t>
        </is>
      </c>
      <c r="B37" s="33" t="inlineStr">
        <is>
          <t>Emotion</t>
        </is>
      </c>
      <c r="C37" s="33" t="inlineStr">
        <is>
          <t>Descriptive</t>
        </is>
      </c>
      <c r="D37" s="33" t="inlineStr">
        <is>
          <t>Unclear what to do or expect</t>
        </is>
      </c>
    </row>
    <row r="38" ht="18" customHeight="1" s="26">
      <c r="A38" s="36" t="inlineStr">
        <is>
          <t xml:space="preserve">    Relieved</t>
        </is>
      </c>
      <c r="B38" s="36" t="inlineStr">
        <is>
          <t>Emotion</t>
        </is>
      </c>
      <c r="C38" s="36" t="inlineStr">
        <is>
          <t>Descriptive</t>
        </is>
      </c>
      <c r="D38" s="36" t="inlineStr">
        <is>
          <t>Stress resolved</t>
        </is>
      </c>
    </row>
    <row r="39" ht="18" customHeight="1" s="26">
      <c r="A39" s="33" t="inlineStr">
        <is>
          <t xml:space="preserve">    Excited</t>
        </is>
      </c>
      <c r="B39" s="33" t="inlineStr">
        <is>
          <t>Emotion</t>
        </is>
      </c>
      <c r="C39" s="33" t="inlineStr">
        <is>
          <t>Descriptive</t>
        </is>
      </c>
      <c r="D39" s="33" t="inlineStr">
        <is>
          <t>Positive anticipation</t>
        </is>
      </c>
    </row>
    <row r="40" ht="18" customHeight="1" s="26">
      <c r="A40" s="36" t="inlineStr">
        <is>
          <t xml:space="preserve">    Satisfied</t>
        </is>
      </c>
      <c r="B40" s="36" t="inlineStr">
        <is>
          <t>Emotion</t>
        </is>
      </c>
      <c r="C40" s="36" t="inlineStr">
        <is>
          <t>Descriptive</t>
        </is>
      </c>
      <c r="D40" s="36" t="inlineStr">
        <is>
          <t>Needs met in the moment</t>
        </is>
      </c>
    </row>
    <row r="41" ht="21.75" customHeight="1" s="26">
      <c r="A41" s="42" t="inlineStr">
        <is>
          <t>DIAGNOSTIC TAGS</t>
        </is>
      </c>
    </row>
    <row r="42" ht="19.5" customHeight="1" s="26">
      <c r="A42" s="43" t="inlineStr">
        <is>
          <t xml:space="preserve">  Need</t>
        </is>
      </c>
    </row>
    <row r="43" ht="18" customHeight="1" s="26">
      <c r="A43" s="33" t="inlineStr">
        <is>
          <t xml:space="preserve">    Better visibility</t>
        </is>
      </c>
      <c r="B43" s="33" t="inlineStr">
        <is>
          <t>Need</t>
        </is>
      </c>
      <c r="C43" s="33" t="inlineStr">
        <is>
          <t>Diagnostic</t>
        </is>
      </c>
      <c r="D43" s="33" t="inlineStr">
        <is>
          <t>Wants to see more info on platform</t>
        </is>
      </c>
    </row>
    <row r="44" ht="18" customHeight="1" s="26">
      <c r="A44" s="36" t="inlineStr">
        <is>
          <t xml:space="preserve">    Organization</t>
        </is>
      </c>
      <c r="B44" s="36" t="inlineStr">
        <is>
          <t>Need</t>
        </is>
      </c>
      <c r="C44" s="36" t="inlineStr">
        <is>
          <t>Diagnostic</t>
        </is>
      </c>
      <c r="D44" s="36" t="inlineStr">
        <is>
          <t>Wants to manage information better</t>
        </is>
      </c>
    </row>
    <row r="45" ht="18" customHeight="1" s="26">
      <c r="A45" s="33" t="inlineStr">
        <is>
          <t xml:space="preserve">    Guidance</t>
        </is>
      </c>
      <c r="B45" s="33" t="inlineStr">
        <is>
          <t>Need</t>
        </is>
      </c>
      <c r="C45" s="33" t="inlineStr">
        <is>
          <t>Diagnostic</t>
        </is>
      </c>
      <c r="D45" s="33" t="inlineStr">
        <is>
          <t>Needs help navigating a situation</t>
        </is>
      </c>
    </row>
    <row r="46" ht="18" customHeight="1" s="26">
      <c r="A46" s="36" t="inlineStr">
        <is>
          <t xml:space="preserve">    Automation</t>
        </is>
      </c>
      <c r="B46" s="36" t="inlineStr">
        <is>
          <t>Need</t>
        </is>
      </c>
      <c r="C46" s="36" t="inlineStr">
        <is>
          <t>Diagnostic</t>
        </is>
      </c>
      <c r="D46" s="36" t="inlineStr">
        <is>
          <t>Wants repetitive tasks handled automatically</t>
        </is>
      </c>
    </row>
    <row r="47" ht="18" customHeight="1" s="26">
      <c r="A47" s="33" t="inlineStr">
        <is>
          <t xml:space="preserve">    Communication support</t>
        </is>
      </c>
      <c r="B47" s="33" t="inlineStr">
        <is>
          <t>Need</t>
        </is>
      </c>
      <c r="C47" s="33" t="inlineStr">
        <is>
          <t>Diagnostic</t>
        </is>
      </c>
      <c r="D47" s="33" t="inlineStr">
        <is>
          <t>Needs better messaging tools</t>
        </is>
      </c>
    </row>
    <row r="48" ht="18" customHeight="1" s="26">
      <c r="A48" s="36" t="inlineStr">
        <is>
          <t xml:space="preserve">    Client history</t>
        </is>
      </c>
      <c r="B48" s="36" t="inlineStr">
        <is>
          <t>Need</t>
        </is>
      </c>
      <c r="C48" s="36" t="inlineStr">
        <is>
          <t>Diagnostic</t>
        </is>
      </c>
      <c r="D48" s="36" t="inlineStr">
        <is>
          <t>Wants access to past interaction records</t>
        </is>
      </c>
    </row>
    <row r="49" ht="18" customHeight="1" s="26">
      <c r="A49" s="33" t="inlineStr">
        <is>
          <t xml:space="preserve">    Scheduling flexibility</t>
        </is>
      </c>
      <c r="B49" s="33" t="inlineStr">
        <is>
          <t>Need</t>
        </is>
      </c>
      <c r="C49" s="33" t="inlineStr">
        <is>
          <t>Diagnostic</t>
        </is>
      </c>
      <c r="D49" s="33" t="inlineStr">
        <is>
          <t>Needs more control over calendar management</t>
        </is>
      </c>
    </row>
    <row r="50" ht="18" customHeight="1" s="26">
      <c r="A50" s="36" t="inlineStr">
        <is>
          <t xml:space="preserve">    Payment clarity</t>
        </is>
      </c>
      <c r="B50" s="36" t="inlineStr">
        <is>
          <t>Need</t>
        </is>
      </c>
      <c r="C50" s="36" t="inlineStr">
        <is>
          <t>Diagnostic</t>
        </is>
      </c>
      <c r="D50" s="36" t="inlineStr">
        <is>
          <t>Wants transparency on rates/payouts</t>
        </is>
      </c>
    </row>
    <row r="51" ht="19.5" customHeight="1" s="26">
      <c r="A51" s="43" t="inlineStr">
        <is>
          <t xml:space="preserve">  Friction</t>
        </is>
      </c>
    </row>
    <row r="52" ht="18" customHeight="1" s="26">
      <c r="A52" s="36" t="inlineStr">
        <is>
          <t xml:space="preserve">    Manual work</t>
        </is>
      </c>
      <c r="B52" s="36" t="inlineStr">
        <is>
          <t>Friction</t>
        </is>
      </c>
      <c r="C52" s="36" t="inlineStr">
        <is>
          <t>Diagnostic</t>
        </is>
      </c>
      <c r="D52" s="36" t="inlineStr">
        <is>
          <t>Something that should be automated requires effort</t>
        </is>
      </c>
    </row>
    <row r="53" ht="18" customHeight="1" s="26">
      <c r="A53" s="33" t="inlineStr">
        <is>
          <t xml:space="preserve">    Missing information</t>
        </is>
      </c>
      <c r="B53" s="33" t="inlineStr">
        <is>
          <t>Friction</t>
        </is>
      </c>
      <c r="C53" s="33" t="inlineStr">
        <is>
          <t>Diagnostic</t>
        </is>
      </c>
      <c r="D53" s="33" t="inlineStr">
        <is>
          <t>Needed data is not available in platform</t>
        </is>
      </c>
    </row>
    <row r="54" ht="18" customHeight="1" s="26">
      <c r="A54" s="36" t="inlineStr">
        <is>
          <t xml:space="preserve">    Switching tools</t>
        </is>
      </c>
      <c r="B54" s="36" t="inlineStr">
        <is>
          <t>Friction</t>
        </is>
      </c>
      <c r="C54" s="36" t="inlineStr">
        <is>
          <t>Diagnostic</t>
        </is>
      </c>
      <c r="D54" s="36" t="inlineStr">
        <is>
          <t>Must leave Rover to complete a task</t>
        </is>
      </c>
    </row>
    <row r="55" ht="18" customHeight="1" s="26">
      <c r="A55" s="33" t="inlineStr">
        <is>
          <t xml:space="preserve">    Duplicate work</t>
        </is>
      </c>
      <c r="B55" s="33" t="inlineStr">
        <is>
          <t>Friction</t>
        </is>
      </c>
      <c r="C55" s="33" t="inlineStr">
        <is>
          <t>Diagnostic</t>
        </is>
      </c>
      <c r="D55" s="33" t="inlineStr">
        <is>
          <t>Same task performed in multiple places</t>
        </is>
      </c>
    </row>
    <row r="56" ht="18" customHeight="1" s="26">
      <c r="A56" s="36" t="inlineStr">
        <is>
          <t xml:space="preserve">    Scheduling complexity</t>
        </is>
      </c>
      <c r="B56" s="36" t="inlineStr">
        <is>
          <t>Friction</t>
        </is>
      </c>
      <c r="C56" s="36" t="inlineStr">
        <is>
          <t>Diagnostic</t>
        </is>
      </c>
      <c r="D56" s="36" t="inlineStr">
        <is>
          <t>Calendar coordination is cumbersome</t>
        </is>
      </c>
    </row>
    <row r="57" ht="18" customHeight="1" s="26">
      <c r="A57" s="33" t="inlineStr">
        <is>
          <t xml:space="preserve">    Communication gap</t>
        </is>
      </c>
      <c r="B57" s="33" t="inlineStr">
        <is>
          <t>Friction</t>
        </is>
      </c>
      <c r="C57" s="33" t="inlineStr">
        <is>
          <t>Diagnostic</t>
        </is>
      </c>
      <c r="D57" s="33" t="inlineStr">
        <is>
          <t>Rover messaging is inadequate</t>
        </is>
      </c>
    </row>
    <row r="58" ht="18" customHeight="1" s="26">
      <c r="A58" s="36" t="inlineStr">
        <is>
          <t xml:space="preserve">    Payment delay</t>
        </is>
      </c>
      <c r="B58" s="36" t="inlineStr">
        <is>
          <t>Friction</t>
        </is>
      </c>
      <c r="C58" s="36" t="inlineStr">
        <is>
          <t>Diagnostic</t>
        </is>
      </c>
      <c r="D58" s="36" t="inlineStr">
        <is>
          <t>Payout timing causes issues</t>
        </is>
      </c>
    </row>
    <row r="59" ht="18" customHeight="1" s="26">
      <c r="A59" s="33" t="inlineStr">
        <is>
          <t xml:space="preserve">    Lack of context</t>
        </is>
      </c>
      <c r="B59" s="33" t="inlineStr">
        <is>
          <t>Friction</t>
        </is>
      </c>
      <c r="C59" s="33" t="inlineStr">
        <is>
          <t>Diagnostic</t>
        </is>
      </c>
      <c r="D59" s="33" t="inlineStr">
        <is>
          <t>No client history or background available</t>
        </is>
      </c>
    </row>
    <row r="60" ht="19.5" customHeight="1" s="26">
      <c r="A60" s="43" t="inlineStr">
        <is>
          <t xml:space="preserve">  Value</t>
        </is>
      </c>
    </row>
    <row r="61" ht="18" customHeight="1" s="26">
      <c r="A61" s="33" t="inlineStr">
        <is>
          <t xml:space="preserve">    Trust</t>
        </is>
      </c>
      <c r="B61" s="33" t="inlineStr">
        <is>
          <t>Value</t>
        </is>
      </c>
      <c r="C61" s="33" t="inlineStr">
        <is>
          <t>Diagnostic</t>
        </is>
      </c>
      <c r="D61" s="33" t="inlineStr">
        <is>
          <t>Platform provides safety or credibility signals</t>
        </is>
      </c>
    </row>
    <row r="62" ht="18" customHeight="1" s="26">
      <c r="A62" s="36" t="inlineStr">
        <is>
          <t xml:space="preserve">    Convenience</t>
        </is>
      </c>
      <c r="B62" s="36" t="inlineStr">
        <is>
          <t>Value</t>
        </is>
      </c>
      <c r="C62" s="36" t="inlineStr">
        <is>
          <t>Diagnostic</t>
        </is>
      </c>
      <c r="D62" s="36" t="inlineStr">
        <is>
          <t>Rover makes a task easier</t>
        </is>
      </c>
    </row>
    <row r="63" ht="18" customHeight="1" s="26">
      <c r="A63" s="33" t="inlineStr">
        <is>
          <t xml:space="preserve">    Demand generation</t>
        </is>
      </c>
      <c r="B63" s="33" t="inlineStr">
        <is>
          <t>Value</t>
        </is>
      </c>
      <c r="C63" s="33" t="inlineStr">
        <is>
          <t>Diagnostic</t>
        </is>
      </c>
      <c r="D63" s="33" t="inlineStr">
        <is>
          <t>Rover brings new clients</t>
        </is>
      </c>
    </row>
    <row r="64" ht="18" customHeight="1" s="26">
      <c r="A64" s="36" t="inlineStr">
        <is>
          <t xml:space="preserve">    Payments</t>
        </is>
      </c>
      <c r="B64" s="36" t="inlineStr">
        <is>
          <t>Value</t>
        </is>
      </c>
      <c r="C64" s="36" t="inlineStr">
        <is>
          <t>Diagnostic</t>
        </is>
      </c>
      <c r="D64" s="36" t="inlineStr">
        <is>
          <t>Rover handles transaction infrastructure</t>
        </is>
      </c>
    </row>
    <row r="65" ht="18" customHeight="1" s="26">
      <c r="A65" s="33" t="inlineStr">
        <is>
          <t xml:space="preserve">    Scheduling</t>
        </is>
      </c>
      <c r="B65" s="33" t="inlineStr">
        <is>
          <t>Value</t>
        </is>
      </c>
      <c r="C65" s="33" t="inlineStr">
        <is>
          <t>Diagnostic</t>
        </is>
      </c>
      <c r="D65" s="33" t="inlineStr">
        <is>
          <t>Rover manages booking logistics</t>
        </is>
      </c>
    </row>
    <row r="66" ht="18" customHeight="1" s="26">
      <c r="A66" s="36" t="inlineStr">
        <is>
          <t xml:space="preserve">    Communication</t>
        </is>
      </c>
      <c r="B66" s="36" t="inlineStr">
        <is>
          <t>Value</t>
        </is>
      </c>
      <c r="C66" s="36" t="inlineStr">
        <is>
          <t>Diagnostic</t>
        </is>
      </c>
      <c r="D66" s="36" t="inlineStr">
        <is>
          <t>Rover facilitates client messaging</t>
        </is>
      </c>
    </row>
    <row r="67" ht="18" customHeight="1" s="26">
      <c r="A67" s="33" t="inlineStr">
        <is>
          <t xml:space="preserve">    Repeat client management</t>
        </is>
      </c>
      <c r="B67" s="33" t="inlineStr">
        <is>
          <t>Value</t>
        </is>
      </c>
      <c r="C67" s="33" t="inlineStr">
        <is>
          <t>Diagnostic</t>
        </is>
      </c>
      <c r="D67" s="33" t="inlineStr">
        <is>
          <t>Rover supports ongoing relationships</t>
        </is>
      </c>
    </row>
    <row r="68" ht="18" customHeight="1" s="26">
      <c r="A68" s="36" t="inlineStr">
        <is>
          <t xml:space="preserve">    Insurance</t>
        </is>
      </c>
      <c r="B68" s="36" t="inlineStr">
        <is>
          <t>Value</t>
        </is>
      </c>
      <c r="C68" s="36" t="inlineStr">
        <is>
          <t>Diagnostic</t>
        </is>
      </c>
      <c r="D68" s="36" t="inlineStr">
        <is>
          <t>Rover provides coverage or protection</t>
        </is>
      </c>
    </row>
    <row r="69" ht="18" customHeight="1" s="26">
      <c r="A69" s="33" t="inlineStr">
        <is>
          <t xml:space="preserve">    Reviews</t>
        </is>
      </c>
      <c r="B69" s="33" t="inlineStr">
        <is>
          <t>Value</t>
        </is>
      </c>
      <c r="C69" s="33" t="inlineStr">
        <is>
          <t>Diagnostic</t>
        </is>
      </c>
      <c r="D69" s="33" t="inlineStr">
        <is>
          <t>Social proof and rating system</t>
        </is>
      </c>
    </row>
    <row r="70" ht="21.75" customHeight="1" s="26">
      <c r="A70" s="44" t="inlineStr">
        <is>
          <t>STRATEGIC TAGS</t>
        </is>
      </c>
    </row>
    <row r="71" ht="19.5" customHeight="1" s="26">
      <c r="A71" s="45" t="inlineStr">
        <is>
          <t xml:space="preserve">  Platform Role</t>
        </is>
      </c>
    </row>
    <row r="72" ht="18" customHeight="1" s="26">
      <c r="A72" s="36" t="inlineStr">
        <is>
          <t xml:space="preserve">    Essential</t>
        </is>
      </c>
      <c r="B72" s="36" t="inlineStr">
        <is>
          <t>Platform Role</t>
        </is>
      </c>
      <c r="C72" s="36" t="inlineStr">
        <is>
          <t>Strategic</t>
        </is>
      </c>
      <c r="D72" s="36" t="inlineStr">
        <is>
          <t>Rover is central and irreplaceable in this moment</t>
        </is>
      </c>
    </row>
    <row r="73" ht="18" customHeight="1" s="26">
      <c r="A73" s="33" t="inlineStr">
        <is>
          <t xml:space="preserve">    Helpful</t>
        </is>
      </c>
      <c r="B73" s="33" t="inlineStr">
        <is>
          <t>Platform Role</t>
        </is>
      </c>
      <c r="C73" s="33" t="inlineStr">
        <is>
          <t>Strategic</t>
        </is>
      </c>
      <c r="D73" s="33" t="inlineStr">
        <is>
          <t>Rover adds value but is not the only option</t>
        </is>
      </c>
    </row>
    <row r="74" ht="18" customHeight="1" s="26">
      <c r="A74" s="36" t="inlineStr">
        <is>
          <t xml:space="preserve">    Optional</t>
        </is>
      </c>
      <c r="B74" s="36" t="inlineStr">
        <is>
          <t>Platform Role</t>
        </is>
      </c>
      <c r="C74" s="36" t="inlineStr">
        <is>
          <t>Strategic</t>
        </is>
      </c>
      <c r="D74" s="36" t="inlineStr">
        <is>
          <t>Provider could do this without Rover</t>
        </is>
      </c>
    </row>
    <row r="75" ht="18" customHeight="1" s="26">
      <c r="A75" s="33" t="inlineStr">
        <is>
          <t xml:space="preserve">    Irrelevant</t>
        </is>
      </c>
      <c r="B75" s="33" t="inlineStr">
        <is>
          <t>Platform Role</t>
        </is>
      </c>
      <c r="C75" s="33" t="inlineStr">
        <is>
          <t>Strategic</t>
        </is>
      </c>
      <c r="D75" s="33" t="inlineStr">
        <is>
          <t>Rover is not part of this workflow</t>
        </is>
      </c>
    </row>
    <row r="76" ht="18" customHeight="1" s="26">
      <c r="A76" s="36" t="inlineStr">
        <is>
          <t xml:space="preserve">    Barrier</t>
        </is>
      </c>
      <c r="B76" s="36" t="inlineStr">
        <is>
          <t>Platform Role</t>
        </is>
      </c>
      <c r="C76" s="36" t="inlineStr">
        <is>
          <t>Strategic</t>
        </is>
      </c>
      <c r="D76" s="36" t="inlineStr">
        <is>
          <t>Rover is actively making this harder</t>
        </is>
      </c>
    </row>
    <row r="77" ht="19.5" customHeight="1" s="26">
      <c r="A77" s="45" t="inlineStr">
        <is>
          <t xml:space="preserve">  Signal</t>
        </is>
      </c>
    </row>
    <row r="78" ht="18" customHeight="1" s="26">
      <c r="A78" s="36" t="inlineStr">
        <is>
          <t xml:space="preserve">    Growing loyalty</t>
        </is>
      </c>
      <c r="B78" s="36" t="inlineStr">
        <is>
          <t>Signal</t>
        </is>
      </c>
      <c r="C78" s="36" t="inlineStr">
        <is>
          <t>Strategic</t>
        </is>
      </c>
      <c r="D78" s="36" t="inlineStr">
        <is>
          <t>Provider increasingly relies on platform</t>
        </is>
      </c>
    </row>
    <row r="79" ht="18" customHeight="1" s="26">
      <c r="A79" s="33" t="inlineStr">
        <is>
          <t xml:space="preserve">    Diversion risk</t>
        </is>
      </c>
      <c r="B79" s="33" t="inlineStr">
        <is>
          <t>Signal</t>
        </is>
      </c>
      <c r="C79" s="33" t="inlineStr">
        <is>
          <t>Strategic</t>
        </is>
      </c>
      <c r="D79" s="33" t="inlineStr">
        <is>
          <t>Provider moving activity off-platform</t>
        </is>
      </c>
    </row>
    <row r="80" ht="18" customHeight="1" s="26">
      <c r="A80" s="36" t="inlineStr">
        <is>
          <t xml:space="preserve">    Professionalization</t>
        </is>
      </c>
      <c r="B80" s="36" t="inlineStr">
        <is>
          <t>Signal</t>
        </is>
      </c>
      <c r="C80" s="36" t="inlineStr">
        <is>
          <t>Strategic</t>
        </is>
      </c>
      <c r="D80" s="36" t="inlineStr">
        <is>
          <t>Provider developing structured business practices</t>
        </is>
      </c>
    </row>
    <row r="81" ht="18" customHeight="1" s="26">
      <c r="A81" s="33" t="inlineStr">
        <is>
          <t xml:space="preserve">    Platform dependence</t>
        </is>
      </c>
      <c r="B81" s="33" t="inlineStr">
        <is>
          <t>Signal</t>
        </is>
      </c>
      <c r="C81" s="33" t="inlineStr">
        <is>
          <t>Strategic</t>
        </is>
      </c>
      <c r="D81" s="33" t="inlineStr">
        <is>
          <t>Provider's business requires Rover</t>
        </is>
      </c>
    </row>
    <row r="82" ht="18" customHeight="1" s="26">
      <c r="A82" s="36" t="inlineStr">
        <is>
          <t xml:space="preserve">    Platform independence</t>
        </is>
      </c>
      <c r="B82" s="36" t="inlineStr">
        <is>
          <t>Signal</t>
        </is>
      </c>
      <c r="C82" s="36" t="inlineStr">
        <is>
          <t>Strategic</t>
        </is>
      </c>
      <c r="D82" s="36" t="inlineStr">
        <is>
          <t>Provider's business could run without Rover</t>
        </is>
      </c>
    </row>
    <row r="83" ht="18" customHeight="1" s="26">
      <c r="A83" s="33" t="inlineStr">
        <is>
          <t xml:space="preserve">    Off-platform migration</t>
        </is>
      </c>
      <c r="B83" s="33" t="inlineStr">
        <is>
          <t>Signal</t>
        </is>
      </c>
      <c r="C83" s="33" t="inlineStr">
        <is>
          <t>Strategic</t>
        </is>
      </c>
      <c r="D83" s="33" t="inlineStr">
        <is>
          <t>Specific workflow fully moved outside</t>
        </is>
      </c>
    </row>
    <row r="84" ht="18" customHeight="1" s="26">
      <c r="A84" s="36" t="inlineStr">
        <is>
          <t xml:space="preserve">    Churn risk</t>
        </is>
      </c>
      <c r="B84" s="36" t="inlineStr">
        <is>
          <t>Signal</t>
        </is>
      </c>
      <c r="C84" s="36" t="inlineStr">
        <is>
          <t>Strategic</t>
        </is>
      </c>
      <c r="D84" s="36" t="inlineStr">
        <is>
          <t>Provider showing signs of leaving</t>
        </is>
      </c>
    </row>
    <row r="85" ht="18" customHeight="1" s="26">
      <c r="A85" s="33" t="inlineStr">
        <is>
          <t xml:space="preserve">    Expansion intent</t>
        </is>
      </c>
      <c r="B85" s="33" t="inlineStr">
        <is>
          <t>Signal</t>
        </is>
      </c>
      <c r="C85" s="33" t="inlineStr">
        <is>
          <t>Strategic</t>
        </is>
      </c>
      <c r="D85" s="33" t="inlineStr">
        <is>
          <t>Provider wants to grow capacity via Rover</t>
        </is>
      </c>
    </row>
    <row r="86" ht="19.5" customHeight="1" s="26">
      <c r="A86" s="45" t="inlineStr">
        <is>
          <t xml:space="preserve">  Opportunity</t>
        </is>
      </c>
    </row>
    <row r="87" ht="18" customHeight="1" s="26">
      <c r="A87" s="33" t="inlineStr">
        <is>
          <t xml:space="preserve">    Scheduling opportunity</t>
        </is>
      </c>
      <c r="B87" s="33" t="inlineStr">
        <is>
          <t>Opportunity</t>
        </is>
      </c>
      <c r="C87" s="33" t="inlineStr">
        <is>
          <t>Strategic</t>
        </is>
      </c>
      <c r="D87" s="33" t="inlineStr">
        <is>
          <t>Rover could own more of the scheduling flow</t>
        </is>
      </c>
    </row>
    <row r="88" ht="18" customHeight="1" s="26">
      <c r="A88" s="36" t="inlineStr">
        <is>
          <t xml:space="preserve">    Communication opportunity</t>
        </is>
      </c>
      <c r="B88" s="36" t="inlineStr">
        <is>
          <t>Opportunity</t>
        </is>
      </c>
      <c r="C88" s="36" t="inlineStr">
        <is>
          <t>Strategic</t>
        </is>
      </c>
      <c r="D88" s="36" t="inlineStr">
        <is>
          <t>Rover messaging could be more capable</t>
        </is>
      </c>
    </row>
    <row r="89" ht="18" customHeight="1" s="26">
      <c r="A89" s="33" t="inlineStr">
        <is>
          <t xml:space="preserve">    Trust opportunity</t>
        </is>
      </c>
      <c r="B89" s="33" t="inlineStr">
        <is>
          <t>Opportunity</t>
        </is>
      </c>
      <c r="C89" s="33" t="inlineStr">
        <is>
          <t>Strategic</t>
        </is>
      </c>
      <c r="D89" s="33" t="inlineStr">
        <is>
          <t>Rover could provide stronger safety signals</t>
        </is>
      </c>
    </row>
    <row r="90" ht="18" customHeight="1" s="26">
      <c r="A90" s="36" t="inlineStr">
        <is>
          <t xml:space="preserve">    Professionalization opportunity</t>
        </is>
      </c>
      <c r="B90" s="36" t="inlineStr">
        <is>
          <t>Opportunity</t>
        </is>
      </c>
      <c r="C90" s="36" t="inlineStr">
        <is>
          <t>Strategic</t>
        </is>
      </c>
      <c r="D90" s="36" t="inlineStr">
        <is>
          <t>Rover could support business growth</t>
        </is>
      </c>
    </row>
    <row r="91" ht="18" customHeight="1" s="26">
      <c r="A91" s="33" t="inlineStr">
        <is>
          <t xml:space="preserve">    Retention opportunity</t>
        </is>
      </c>
      <c r="B91" s="33" t="inlineStr">
        <is>
          <t>Opportunity</t>
        </is>
      </c>
      <c r="C91" s="33" t="inlineStr">
        <is>
          <t>Strategic</t>
        </is>
      </c>
      <c r="D91" s="33" t="inlineStr">
        <is>
          <t>Rover could do more to deepen loyalty</t>
        </is>
      </c>
    </row>
    <row r="92" ht="18" customHeight="1" s="26">
      <c r="A92" s="36" t="inlineStr">
        <is>
          <t xml:space="preserve">    Automation opportunity</t>
        </is>
      </c>
      <c r="B92" s="36" t="inlineStr">
        <is>
          <t>Opportunity</t>
        </is>
      </c>
      <c r="C92" s="36" t="inlineStr">
        <is>
          <t>Strategic</t>
        </is>
      </c>
      <c r="D92" s="36" t="inlineStr">
        <is>
          <t>Rover could remove manual steps</t>
        </is>
      </c>
    </row>
    <row r="93" ht="18" customHeight="1" s="26">
      <c r="A93" s="33" t="inlineStr">
        <is>
          <t xml:space="preserve">    Visibility opportunity</t>
        </is>
      </c>
      <c r="B93" s="33" t="inlineStr">
        <is>
          <t>Opportunity</t>
        </is>
      </c>
      <c r="C93" s="33" t="inlineStr">
        <is>
          <t>Strategic</t>
        </is>
      </c>
      <c r="D93" s="33" t="inlineStr">
        <is>
          <t>Rover could show providers more useful info</t>
        </is>
      </c>
    </row>
    <row r="94" ht="18" customHeight="1" s="26">
      <c r="A94" s="36" t="inlineStr">
        <is>
          <t xml:space="preserve">    Relationship management opportunity</t>
        </is>
      </c>
      <c r="B94" s="36" t="inlineStr">
        <is>
          <t>Opportunity</t>
        </is>
      </c>
      <c r="C94" s="36" t="inlineStr">
        <is>
          <t>Strategic</t>
        </is>
      </c>
      <c r="D94" s="36" t="inlineStr">
        <is>
          <t>Rover could support repeat client workflows</t>
        </is>
      </c>
    </row>
    <row r="95" ht="21.75" customHeight="1" s="26">
      <c r="A95" s="46" t="inlineStr">
        <is>
          <t>LIFECYCLE TAGS</t>
        </is>
      </c>
      <c r="B95" s="47" t="n"/>
      <c r="C95" s="47" t="n"/>
      <c r="D95" s="48" t="n"/>
    </row>
    <row r="96" ht="19.5" customHeight="1" s="26">
      <c r="A96" s="49" t="inlineStr">
        <is>
          <t xml:space="preserve">  Experience Moment</t>
        </is>
      </c>
      <c r="B96" s="47" t="n"/>
      <c r="C96" s="47" t="n"/>
      <c r="D96" s="48" t="n"/>
    </row>
    <row r="97" ht="18" customHeight="1" s="26">
      <c r="A97" s="33" t="inlineStr">
        <is>
          <t xml:space="preserve">    Onboarding &amp; Account creation</t>
        </is>
      </c>
      <c r="B97" s="33" t="inlineStr">
        <is>
          <t>Experience Moment</t>
        </is>
      </c>
      <c r="C97" s="33" t="inlineStr">
        <is>
          <t>Lifecycle</t>
        </is>
      </c>
      <c r="D97" s="33" t="inlineStr">
        <is>
          <t>First-time setup: profile creation, verification, and initial orientation to the platform</t>
        </is>
      </c>
    </row>
    <row r="98" ht="18" customHeight="1" s="26">
      <c r="A98" s="36" t="inlineStr">
        <is>
          <t xml:space="preserve">    Manage account</t>
        </is>
      </c>
      <c r="B98" s="36" t="inlineStr">
        <is>
          <t>Experience Moment</t>
        </is>
      </c>
      <c r="C98" s="36" t="inlineStr">
        <is>
          <t>Lifecycle</t>
        </is>
      </c>
      <c r="D98" s="36" t="inlineStr">
        <is>
          <t>Ongoing upkeep of profile, settings, availability, and listing details</t>
        </is>
      </c>
    </row>
    <row r="99" ht="18" customHeight="1" s="26">
      <c r="A99" s="33" t="inlineStr">
        <is>
          <t xml:space="preserve">    Receive booking</t>
        </is>
      </c>
      <c r="B99" s="33" t="inlineStr">
        <is>
          <t>Experience Moment</t>
        </is>
      </c>
      <c r="C99" s="33" t="inlineStr">
        <is>
          <t>Lifecycle</t>
        </is>
      </c>
      <c r="D99" s="33" t="inlineStr">
        <is>
          <t>Inbound booking requests, offers, and the accept/decline decision</t>
        </is>
      </c>
    </row>
    <row r="100" ht="18" customHeight="1" s="26">
      <c r="A100" s="36" t="inlineStr">
        <is>
          <t xml:space="preserve">    Manage bookings &amp; schedule</t>
        </is>
      </c>
      <c r="B100" s="36" t="inlineStr">
        <is>
          <t>Experience Moment</t>
        </is>
      </c>
      <c r="C100" s="36" t="inlineStr">
        <is>
          <t>Lifecycle</t>
        </is>
      </c>
      <c r="D100" s="36" t="inlineStr">
        <is>
          <t>Coordinating confirmed bookings and calendar logistics across clients</t>
        </is>
      </c>
    </row>
    <row r="101" ht="18" customHeight="1" s="26">
      <c r="A101" s="33" t="inlineStr">
        <is>
          <t xml:space="preserve">    Deliver service &amp; Keep Clients Updated</t>
        </is>
      </c>
      <c r="B101" s="33" t="inlineStr">
        <is>
          <t>Experience Moment</t>
        </is>
      </c>
      <c r="C101" s="33" t="inlineStr">
        <is>
          <t>Lifecycle</t>
        </is>
      </c>
      <c r="D101" s="33" t="inlineStr">
        <is>
          <t>In-service execution and client communication during an active stay/visit</t>
        </is>
      </c>
    </row>
    <row r="102" ht="18" customHeight="1" s="26">
      <c r="A102" s="36" t="inlineStr">
        <is>
          <t xml:space="preserve">    Understand &amp; Manage My Earnings</t>
        </is>
      </c>
      <c r="B102" s="36" t="inlineStr">
        <is>
          <t>Experience Moment</t>
        </is>
      </c>
      <c r="C102" s="36" t="inlineStr">
        <is>
          <t>Lifecycle</t>
        </is>
      </c>
      <c r="D102" s="36" t="inlineStr">
        <is>
          <t>Reviewing payouts, rates, and financial performance</t>
        </is>
      </c>
    </row>
    <row r="103" ht="18" customHeight="1" s="26">
      <c r="A103" s="33" t="inlineStr">
        <is>
          <t xml:space="preserve">    Grow &amp; Sustain My Business</t>
        </is>
      </c>
      <c r="B103" s="33" t="inlineStr">
        <is>
          <t>Experience Moment</t>
        </is>
      </c>
      <c r="C103" s="33" t="inlineStr">
        <is>
          <t>Lifecycle</t>
        </is>
      </c>
      <c r="D103" s="33" t="inlineStr">
        <is>
          <t>Structured, repeat-client-oriented activity as the business matures beyond one-off bookings</t>
        </is>
      </c>
    </row>
  </sheetData>
  <mergeCells count="16">
    <mergeCell ref="A1:D1"/>
    <mergeCell ref="A23:D23"/>
    <mergeCell ref="A70:D70"/>
    <mergeCell ref="A77:D77"/>
    <mergeCell ref="A12:D12"/>
    <mergeCell ref="A4:D4"/>
    <mergeCell ref="A3:D3"/>
    <mergeCell ref="A96:D96"/>
    <mergeCell ref="A86:D86"/>
    <mergeCell ref="A95:D95"/>
    <mergeCell ref="A41:D41"/>
    <mergeCell ref="A71:D71"/>
    <mergeCell ref="A51:D51"/>
    <mergeCell ref="A42:D42"/>
    <mergeCell ref="A60:D60"/>
    <mergeCell ref="A32:D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67E22"/>
    <outlinePr summaryBelow="1" summaryRight="1"/>
    <pageSetUpPr fitToPage="0"/>
  </sheetPr>
  <dimension ref="A1:H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60" customWidth="1" style="25" min="1" max="1"/>
    <col width="20" customWidth="1" style="25" min="2" max="3"/>
  </cols>
  <sheetData>
    <row r="1" ht="36" customHeight="1" s="26">
      <c r="A1" s="50" t="inlineStr">
        <is>
          <t>SUMMARY DASHBOARD — Use pivot tables to analyse the Entries sheet</t>
        </is>
      </c>
    </row>
    <row r="2" ht="19.5" customHeight="1" s="26">
      <c r="A2" s="51" t="inlineStr">
        <is>
          <t>HOW TO BUILD PIVOT ANALYSES</t>
        </is>
      </c>
      <c r="B2" s="47" t="n"/>
      <c r="C2" s="47" t="n"/>
      <c r="D2" s="47" t="n"/>
      <c r="E2" s="47" t="n"/>
      <c r="F2" s="47" t="n"/>
      <c r="G2" s="47" t="n"/>
      <c r="H2" s="48" t="n"/>
    </row>
    <row r="3" ht="19.5" customHeight="1" s="26">
      <c r="A3" s="36" t="inlineStr">
        <is>
          <t>1. Click any cell in the 📋 Entries sheet</t>
        </is>
      </c>
      <c r="B3" s="47" t="n"/>
      <c r="C3" s="47" t="n"/>
      <c r="D3" s="47" t="n"/>
      <c r="E3" s="47" t="n"/>
      <c r="F3" s="47" t="n"/>
      <c r="G3" s="47" t="n"/>
      <c r="H3" s="48" t="n"/>
    </row>
    <row r="4" ht="19.5" customHeight="1" s="26">
      <c r="A4" s="36" t="inlineStr">
        <is>
          <t>2. Insert → PivotTable → New Worksheet (or Existing Sheet)</t>
        </is>
      </c>
      <c r="B4" s="47" t="n"/>
      <c r="C4" s="47" t="n"/>
      <c r="D4" s="47" t="n"/>
      <c r="E4" s="47" t="n"/>
      <c r="F4" s="47" t="n"/>
      <c r="G4" s="47" t="n"/>
      <c r="H4" s="48" t="n"/>
    </row>
    <row r="5" ht="19.5" customHeight="1" s="26">
      <c r="A5" s="36" t="inlineStr">
        <is>
          <t>3. Drag fields to Rows, Columns, Values, or Filters</t>
        </is>
      </c>
      <c r="B5" s="47" t="n"/>
      <c r="C5" s="47" t="n"/>
      <c r="D5" s="47" t="n"/>
      <c r="E5" s="47" t="n"/>
      <c r="F5" s="47" t="n"/>
      <c r="G5" s="47" t="n"/>
      <c r="H5" s="48" t="n"/>
    </row>
    <row r="6" ht="19.5" customHeight="1" s="26">
      <c r="A6" s="51" t="inlineStr">
        <is>
          <t>KEY QUESTIONS TO ANSWER</t>
        </is>
      </c>
      <c r="B6" s="47" t="n"/>
      <c r="C6" s="47" t="n"/>
      <c r="D6" s="47" t="n"/>
      <c r="E6" s="47" t="n"/>
      <c r="F6" s="47" t="n"/>
      <c r="G6" s="47" t="n"/>
      <c r="H6" s="48" t="n"/>
    </row>
    <row r="7" ht="19.5" customHeight="1" s="26">
      <c r="A7" s="36" t="inlineStr">
        <is>
          <t>Platform Role by Segment → Rows: Segment | Cols: Platform Role | Values: Count</t>
        </is>
      </c>
      <c r="B7" s="47" t="n"/>
      <c r="C7" s="47" t="n"/>
      <c r="D7" s="47" t="n"/>
      <c r="E7" s="47" t="n"/>
      <c r="F7" s="47" t="n"/>
      <c r="G7" s="47" t="n"/>
      <c r="H7" s="48" t="n"/>
    </row>
    <row r="8" ht="19.5" customHeight="1" s="26">
      <c r="A8" s="36" t="inlineStr">
        <is>
          <t>Workflow Area by Friction → Where are providers struggling most?</t>
        </is>
      </c>
      <c r="B8" s="47" t="n"/>
      <c r="C8" s="47" t="n"/>
      <c r="D8" s="47" t="n"/>
      <c r="E8" s="47" t="n"/>
      <c r="F8" s="47" t="n"/>
      <c r="G8" s="47" t="n"/>
      <c r="H8" s="48" t="n"/>
    </row>
    <row r="9" ht="19.5" customHeight="1" s="26">
      <c r="A9" s="36" t="inlineStr">
        <is>
          <t>Tool Used by Segment → Which tools are providers using outside Rover?</t>
        </is>
      </c>
      <c r="B9" s="47" t="n"/>
      <c r="C9" s="47" t="n"/>
      <c r="D9" s="47" t="n"/>
      <c r="E9" s="47" t="n"/>
      <c r="F9" s="47" t="n"/>
      <c r="G9" s="47" t="n"/>
      <c r="H9" s="48" t="n"/>
    </row>
    <row r="10" ht="19.5" customHeight="1" s="26">
      <c r="A10" s="36" t="inlineStr">
        <is>
          <t>Signal by Week → How does diversion risk evolve over 9 weeks? (See 📅 Weekly Digest tab for a ready-made breakdown)</t>
        </is>
      </c>
      <c r="B10" s="47" t="n"/>
      <c r="C10" s="47" t="n"/>
      <c r="D10" s="47" t="n"/>
      <c r="E10" s="47" t="n"/>
      <c r="F10" s="47" t="n"/>
      <c r="G10" s="47" t="n"/>
      <c r="H10" s="48" t="n"/>
    </row>
    <row r="11" ht="19.5" customHeight="1" s="26">
      <c r="A11" s="36" t="inlineStr">
        <is>
          <t>Emotion by Workflow Area → Where does Rover create/reduce stress?</t>
        </is>
      </c>
      <c r="B11" s="47" t="n"/>
      <c r="C11" s="47" t="n"/>
      <c r="D11" s="47" t="n"/>
      <c r="E11" s="47" t="n"/>
      <c r="F11" s="47" t="n"/>
      <c r="G11" s="47" t="n"/>
      <c r="H11" s="48" t="n"/>
    </row>
    <row r="12" ht="19.5" customHeight="1" s="26">
      <c r="A12" s="36" t="inlineStr">
        <is>
          <t>Opportunity by Platform Role → Where is Rover most irrelevant?</t>
        </is>
      </c>
      <c r="B12" s="47" t="n"/>
      <c r="C12" s="47" t="n"/>
      <c r="D12" s="47" t="n"/>
      <c r="E12" s="47" t="n"/>
      <c r="F12" s="47" t="n"/>
      <c r="G12" s="47" t="n"/>
      <c r="H12" s="48" t="n"/>
    </row>
    <row r="13" ht="19.5" customHeight="1" s="26">
      <c r="A13" s="52" t="inlineStr">
        <is>
          <t>QUICK COUNTS (update these formulas)</t>
        </is>
      </c>
      <c r="B13" s="47" t="n"/>
      <c r="C13" s="47" t="n"/>
      <c r="D13" s="47" t="n"/>
      <c r="E13" s="47" t="n"/>
      <c r="F13" s="47" t="n"/>
      <c r="G13" s="47" t="n"/>
      <c r="H13" s="48" t="n"/>
    </row>
    <row r="15" ht="21.75" customHeight="1" s="26">
      <c r="A15" s="39" t="inlineStr">
        <is>
          <t>Metric</t>
        </is>
      </c>
      <c r="B15" s="39" t="inlineStr">
        <is>
          <t>Count</t>
        </is>
      </c>
    </row>
    <row r="16" ht="18" customHeight="1" s="26">
      <c r="A16" s="36" t="inlineStr">
        <is>
          <t>Total entries</t>
        </is>
      </c>
      <c r="B16" s="36">
        <f>COUNTA('📋 Entries'!A3:A302)</f>
        <v/>
      </c>
    </row>
    <row r="17" ht="18" customHeight="1" s="26">
      <c r="A17" s="33" t="inlineStr">
        <is>
          <t>Unique providers</t>
        </is>
      </c>
      <c r="B17" s="33">
        <f>IFERROR(SUMPRODUCT(1/COUNTIF('📋 Entries'!B3:B302,'📋 Entries'!B3:B302)),0)</f>
        <v/>
      </c>
    </row>
    <row r="18" ht="18" customHeight="1" s="26">
      <c r="A18" s="36" t="inlineStr">
        <is>
          <t>Entries flagged as Diversion Risk</t>
        </is>
      </c>
      <c r="B18" s="36">
        <f>COUNTIF('📋 Entries'!N3:N302,"Diversion risk")</f>
        <v/>
      </c>
    </row>
    <row r="19" ht="18" customHeight="1" s="26">
      <c r="A19" s="33" t="inlineStr">
        <is>
          <t>Entries where Platform Role = Barrier</t>
        </is>
      </c>
      <c r="B19" s="33">
        <f>COUNTIF('📋 Entries'!I3:I302,"Barrier")</f>
        <v/>
      </c>
    </row>
    <row r="20" ht="18" customHeight="1" s="26">
      <c r="A20" s="36" t="inlineStr">
        <is>
          <t>Entries where Platform Role = Essential</t>
        </is>
      </c>
      <c r="B20" s="36">
        <f>COUNTIF('📋 Entries'!I3:I302,"Essential")</f>
        <v/>
      </c>
    </row>
    <row r="21" ht="18" customHeight="1" s="26">
      <c r="A21" s="33" t="inlineStr">
        <is>
          <t>Entries with Friction tagged</t>
        </is>
      </c>
      <c r="B21" s="33">
        <f>COUNTA('📋 Entries'!L3:L302)</f>
        <v/>
      </c>
    </row>
    <row r="22" ht="18" customHeight="1" s="26">
      <c r="A22" s="36" t="inlineStr">
        <is>
          <t>Entries with Opportunity tagged</t>
        </is>
      </c>
      <c r="B22" s="36">
        <f>COUNTA('📋 Entries'!P3:P302)</f>
        <v/>
      </c>
    </row>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E67E22"/>
    <outlinePr summaryBelow="1" summaryRight="1"/>
    <pageSetUpPr fitToPage="0"/>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25" min="1" max="1"/>
    <col width="14" customWidth="1" style="25" min="2" max="2"/>
    <col width="16" customWidth="1" style="25" min="3" max="3"/>
    <col width="22" customWidth="1" style="25" min="4" max="4"/>
    <col width="20" customWidth="1" style="25" min="5" max="7"/>
    <col width="15" customWidth="1" style="25" min="8" max="8"/>
    <col width="17" customWidth="1" style="25" min="9" max="9"/>
  </cols>
  <sheetData>
    <row r="1" ht="36" customHeight="1" s="26">
      <c r="A1" s="50" t="inlineStr">
        <is>
          <t>WEEKLY DIGEST — auto-updates as entries are logged (requires Study Start Date set in ⚙️ Settings)</t>
        </is>
      </c>
    </row>
    <row r="3" ht="30" customHeight="1" s="26">
      <c r="A3" s="31" t="inlineStr">
        <is>
          <t>Week #</t>
        </is>
      </c>
      <c r="B3" s="31" t="inlineStr">
        <is>
          <t>Total Entries</t>
        </is>
      </c>
      <c r="C3" s="31" t="inlineStr">
        <is>
          <t>Unique Providers</t>
        </is>
      </c>
      <c r="D3" s="31" t="inlineStr">
        <is>
          <t>Platform Role = Essential</t>
        </is>
      </c>
      <c r="E3" s="31" t="inlineStr">
        <is>
          <t>Platform Role = Barrier</t>
        </is>
      </c>
      <c r="F3" s="31" t="inlineStr">
        <is>
          <t>Signal = Diversion Risk</t>
        </is>
      </c>
      <c r="G3" s="31" t="inlineStr">
        <is>
          <t>Signal = Growing Loyalty</t>
        </is>
      </c>
      <c r="H3" s="31" t="inlineStr">
        <is>
          <t>Friction Tagged</t>
        </is>
      </c>
      <c r="I3" s="31" t="inlineStr">
        <is>
          <t>Opportunity Tagged</t>
        </is>
      </c>
    </row>
    <row r="4" ht="15" customHeight="1" s="26">
      <c r="A4" s="34" t="n">
        <v>1</v>
      </c>
      <c r="B4" s="34">
        <f>COUNTIF('📋 Entries'!$V$3:$V$302,$A4)</f>
        <v/>
      </c>
      <c r="C4" s="34">
        <f>IFERROR(SUMPRODUCT((('📋 Entries'!$V$3:$V$302=$A4))/COUNTIFS('📋 Entries'!$B$3:$B$302,'📋 Entries'!$B$3:$B$302&amp;"",'📋 Entries'!$V$3:$V$302,'📋 Entries'!$V$3:$V$302&amp;"")),0)</f>
        <v/>
      </c>
      <c r="D4" s="34">
        <f>COUNTIFS('📋 Entries'!$V$3:$V$302,$A4,'📋 Entries'!$I$3:$I$302,"Essential")</f>
        <v/>
      </c>
      <c r="E4" s="34">
        <f>COUNTIFS('📋 Entries'!$V$3:$V$302,$A4,'📋 Entries'!$I$3:$I$302,"Barrier")</f>
        <v/>
      </c>
      <c r="F4" s="34">
        <f>COUNTIFS('📋 Entries'!$V$3:$V$302,$A4,'📋 Entries'!$N$3:$N$302,"Diversion risk")</f>
        <v/>
      </c>
      <c r="G4" s="34">
        <f>COUNTIFS('📋 Entries'!$V$3:$V$302,$A4,'📋 Entries'!$N$3:$N$302,"Growing loyalty")</f>
        <v/>
      </c>
      <c r="H4" s="34">
        <f>COUNTIFS('📋 Entries'!$V$3:$V$302,$A4,'📋 Entries'!$L$3:$L$302,"&lt;&gt;")</f>
        <v/>
      </c>
      <c r="I4" s="34">
        <f>COUNTIFS('📋 Entries'!$V$3:$V$302,$A4,'📋 Entries'!$P$3:$P$302,"&lt;&gt;")</f>
        <v/>
      </c>
    </row>
    <row r="5" ht="15" customHeight="1" s="26">
      <c r="A5" s="34" t="n">
        <v>2</v>
      </c>
      <c r="B5" s="34">
        <f>COUNTIF('📋 Entries'!$V$3:$V$302,$A5)</f>
        <v/>
      </c>
      <c r="C5" s="34">
        <f>IFERROR(SUMPRODUCT((('📋 Entries'!$V$3:$V$302=$A5))/COUNTIFS('📋 Entries'!$B$3:$B$302,'📋 Entries'!$B$3:$B$302&amp;"",'📋 Entries'!$V$3:$V$302,'📋 Entries'!$V$3:$V$302&amp;"")),0)</f>
        <v/>
      </c>
      <c r="D5" s="34">
        <f>COUNTIFS('📋 Entries'!$V$3:$V$302,$A5,'📋 Entries'!$I$3:$I$302,"Essential")</f>
        <v/>
      </c>
      <c r="E5" s="34">
        <f>COUNTIFS('📋 Entries'!$V$3:$V$302,$A5,'📋 Entries'!$I$3:$I$302,"Barrier")</f>
        <v/>
      </c>
      <c r="F5" s="34">
        <f>COUNTIFS('📋 Entries'!$V$3:$V$302,$A5,'📋 Entries'!$N$3:$N$302,"Diversion risk")</f>
        <v/>
      </c>
      <c r="G5" s="34">
        <f>COUNTIFS('📋 Entries'!$V$3:$V$302,$A5,'📋 Entries'!$N$3:$N$302,"Growing loyalty")</f>
        <v/>
      </c>
      <c r="H5" s="34">
        <f>COUNTIFS('📋 Entries'!$V$3:$V$302,$A5,'📋 Entries'!$L$3:$L$302,"&lt;&gt;")</f>
        <v/>
      </c>
      <c r="I5" s="34">
        <f>COUNTIFS('📋 Entries'!$V$3:$V$302,$A5,'📋 Entries'!$P$3:$P$302,"&lt;&gt;")</f>
        <v/>
      </c>
    </row>
    <row r="6" ht="15" customHeight="1" s="26">
      <c r="A6" s="34" t="n">
        <v>3</v>
      </c>
      <c r="B6" s="34">
        <f>COUNTIF('📋 Entries'!$V$3:$V$302,$A6)</f>
        <v/>
      </c>
      <c r="C6" s="34">
        <f>IFERROR(SUMPRODUCT((('📋 Entries'!$V$3:$V$302=$A6))/COUNTIFS('📋 Entries'!$B$3:$B$302,'📋 Entries'!$B$3:$B$302&amp;"",'📋 Entries'!$V$3:$V$302,'📋 Entries'!$V$3:$V$302&amp;"")),0)</f>
        <v/>
      </c>
      <c r="D6" s="34">
        <f>COUNTIFS('📋 Entries'!$V$3:$V$302,$A6,'📋 Entries'!$I$3:$I$302,"Essential")</f>
        <v/>
      </c>
      <c r="E6" s="34">
        <f>COUNTIFS('📋 Entries'!$V$3:$V$302,$A6,'📋 Entries'!$I$3:$I$302,"Barrier")</f>
        <v/>
      </c>
      <c r="F6" s="34">
        <f>COUNTIFS('📋 Entries'!$V$3:$V$302,$A6,'📋 Entries'!$N$3:$N$302,"Diversion risk")</f>
        <v/>
      </c>
      <c r="G6" s="34">
        <f>COUNTIFS('📋 Entries'!$V$3:$V$302,$A6,'📋 Entries'!$N$3:$N$302,"Growing loyalty")</f>
        <v/>
      </c>
      <c r="H6" s="34">
        <f>COUNTIFS('📋 Entries'!$V$3:$V$302,$A6,'📋 Entries'!$L$3:$L$302,"&lt;&gt;")</f>
        <v/>
      </c>
      <c r="I6" s="34">
        <f>COUNTIFS('📋 Entries'!$V$3:$V$302,$A6,'📋 Entries'!$P$3:$P$302,"&lt;&gt;")</f>
        <v/>
      </c>
    </row>
    <row r="7" ht="15" customHeight="1" s="26">
      <c r="A7" s="34" t="n">
        <v>4</v>
      </c>
      <c r="B7" s="34">
        <f>COUNTIF('📋 Entries'!$V$3:$V$302,$A7)</f>
        <v/>
      </c>
      <c r="C7" s="34">
        <f>IFERROR(SUMPRODUCT((('📋 Entries'!$V$3:$V$302=$A7))/COUNTIFS('📋 Entries'!$B$3:$B$302,'📋 Entries'!$B$3:$B$302&amp;"",'📋 Entries'!$V$3:$V$302,'📋 Entries'!$V$3:$V$302&amp;"")),0)</f>
        <v/>
      </c>
      <c r="D7" s="34">
        <f>COUNTIFS('📋 Entries'!$V$3:$V$302,$A7,'📋 Entries'!$I$3:$I$302,"Essential")</f>
        <v/>
      </c>
      <c r="E7" s="34">
        <f>COUNTIFS('📋 Entries'!$V$3:$V$302,$A7,'📋 Entries'!$I$3:$I$302,"Barrier")</f>
        <v/>
      </c>
      <c r="F7" s="34">
        <f>COUNTIFS('📋 Entries'!$V$3:$V$302,$A7,'📋 Entries'!$N$3:$N$302,"Diversion risk")</f>
        <v/>
      </c>
      <c r="G7" s="34">
        <f>COUNTIFS('📋 Entries'!$V$3:$V$302,$A7,'📋 Entries'!$N$3:$N$302,"Growing loyalty")</f>
        <v/>
      </c>
      <c r="H7" s="34">
        <f>COUNTIFS('📋 Entries'!$V$3:$V$302,$A7,'📋 Entries'!$L$3:$L$302,"&lt;&gt;")</f>
        <v/>
      </c>
      <c r="I7" s="34">
        <f>COUNTIFS('📋 Entries'!$V$3:$V$302,$A7,'📋 Entries'!$P$3:$P$302,"&lt;&gt;")</f>
        <v/>
      </c>
    </row>
    <row r="8" ht="15" customHeight="1" s="26">
      <c r="A8" s="34" t="n">
        <v>5</v>
      </c>
      <c r="B8" s="34">
        <f>COUNTIF('📋 Entries'!$V$3:$V$302,$A8)</f>
        <v/>
      </c>
      <c r="C8" s="34">
        <f>IFERROR(SUMPRODUCT((('📋 Entries'!$V$3:$V$302=$A8))/COUNTIFS('📋 Entries'!$B$3:$B$302,'📋 Entries'!$B$3:$B$302&amp;"",'📋 Entries'!$V$3:$V$302,'📋 Entries'!$V$3:$V$302&amp;"")),0)</f>
        <v/>
      </c>
      <c r="D8" s="34">
        <f>COUNTIFS('📋 Entries'!$V$3:$V$302,$A8,'📋 Entries'!$I$3:$I$302,"Essential")</f>
        <v/>
      </c>
      <c r="E8" s="34">
        <f>COUNTIFS('📋 Entries'!$V$3:$V$302,$A8,'📋 Entries'!$I$3:$I$302,"Barrier")</f>
        <v/>
      </c>
      <c r="F8" s="34">
        <f>COUNTIFS('📋 Entries'!$V$3:$V$302,$A8,'📋 Entries'!$N$3:$N$302,"Diversion risk")</f>
        <v/>
      </c>
      <c r="G8" s="34">
        <f>COUNTIFS('📋 Entries'!$V$3:$V$302,$A8,'📋 Entries'!$N$3:$N$302,"Growing loyalty")</f>
        <v/>
      </c>
      <c r="H8" s="34">
        <f>COUNTIFS('📋 Entries'!$V$3:$V$302,$A8,'📋 Entries'!$L$3:$L$302,"&lt;&gt;")</f>
        <v/>
      </c>
      <c r="I8" s="34">
        <f>COUNTIFS('📋 Entries'!$V$3:$V$302,$A8,'📋 Entries'!$P$3:$P$302,"&lt;&gt;")</f>
        <v/>
      </c>
    </row>
    <row r="9" ht="15" customHeight="1" s="26">
      <c r="A9" s="34" t="n">
        <v>6</v>
      </c>
      <c r="B9" s="34">
        <f>COUNTIF('📋 Entries'!$V$3:$V$302,$A9)</f>
        <v/>
      </c>
      <c r="C9" s="34">
        <f>IFERROR(SUMPRODUCT((('📋 Entries'!$V$3:$V$302=$A9))/COUNTIFS('📋 Entries'!$B$3:$B$302,'📋 Entries'!$B$3:$B$302&amp;"",'📋 Entries'!$V$3:$V$302,'📋 Entries'!$V$3:$V$302&amp;"")),0)</f>
        <v/>
      </c>
      <c r="D9" s="34">
        <f>COUNTIFS('📋 Entries'!$V$3:$V$302,$A9,'📋 Entries'!$I$3:$I$302,"Essential")</f>
        <v/>
      </c>
      <c r="E9" s="34">
        <f>COUNTIFS('📋 Entries'!$V$3:$V$302,$A9,'📋 Entries'!$I$3:$I$302,"Barrier")</f>
        <v/>
      </c>
      <c r="F9" s="34">
        <f>COUNTIFS('📋 Entries'!$V$3:$V$302,$A9,'📋 Entries'!$N$3:$N$302,"Diversion risk")</f>
        <v/>
      </c>
      <c r="G9" s="34">
        <f>COUNTIFS('📋 Entries'!$V$3:$V$302,$A9,'📋 Entries'!$N$3:$N$302,"Growing loyalty")</f>
        <v/>
      </c>
      <c r="H9" s="34">
        <f>COUNTIFS('📋 Entries'!$V$3:$V$302,$A9,'📋 Entries'!$L$3:$L$302,"&lt;&gt;")</f>
        <v/>
      </c>
      <c r="I9" s="34">
        <f>COUNTIFS('📋 Entries'!$V$3:$V$302,$A9,'📋 Entries'!$P$3:$P$302,"&lt;&gt;")</f>
        <v/>
      </c>
    </row>
    <row r="10" ht="15" customHeight="1" s="26">
      <c r="A10" s="34" t="n">
        <v>7</v>
      </c>
      <c r="B10" s="34">
        <f>COUNTIF('📋 Entries'!$V$3:$V$302,$A10)</f>
        <v/>
      </c>
      <c r="C10" s="34">
        <f>IFERROR(SUMPRODUCT((('📋 Entries'!$V$3:$V$302=$A10))/COUNTIFS('📋 Entries'!$B$3:$B$302,'📋 Entries'!$B$3:$B$302&amp;"",'📋 Entries'!$V$3:$V$302,'📋 Entries'!$V$3:$V$302&amp;"")),0)</f>
        <v/>
      </c>
      <c r="D10" s="34">
        <f>COUNTIFS('📋 Entries'!$V$3:$V$302,$A10,'📋 Entries'!$I$3:$I$302,"Essential")</f>
        <v/>
      </c>
      <c r="E10" s="34">
        <f>COUNTIFS('📋 Entries'!$V$3:$V$302,$A10,'📋 Entries'!$I$3:$I$302,"Barrier")</f>
        <v/>
      </c>
      <c r="F10" s="34">
        <f>COUNTIFS('📋 Entries'!$V$3:$V$302,$A10,'📋 Entries'!$N$3:$N$302,"Diversion risk")</f>
        <v/>
      </c>
      <c r="G10" s="34">
        <f>COUNTIFS('📋 Entries'!$V$3:$V$302,$A10,'📋 Entries'!$N$3:$N$302,"Growing loyalty")</f>
        <v/>
      </c>
      <c r="H10" s="34">
        <f>COUNTIFS('📋 Entries'!$V$3:$V$302,$A10,'📋 Entries'!$L$3:$L$302,"&lt;&gt;")</f>
        <v/>
      </c>
      <c r="I10" s="34">
        <f>COUNTIFS('📋 Entries'!$V$3:$V$302,$A10,'📋 Entries'!$P$3:$P$302,"&lt;&gt;")</f>
        <v/>
      </c>
    </row>
    <row r="11" ht="15" customHeight="1" s="26">
      <c r="A11" s="34" t="n">
        <v>8</v>
      </c>
      <c r="B11" s="34">
        <f>COUNTIF('📋 Entries'!$V$3:$V$302,$A11)</f>
        <v/>
      </c>
      <c r="C11" s="34">
        <f>IFERROR(SUMPRODUCT((('📋 Entries'!$V$3:$V$302=$A11))/COUNTIFS('📋 Entries'!$B$3:$B$302,'📋 Entries'!$B$3:$B$302&amp;"",'📋 Entries'!$V$3:$V$302,'📋 Entries'!$V$3:$V$302&amp;"")),0)</f>
        <v/>
      </c>
      <c r="D11" s="34">
        <f>COUNTIFS('📋 Entries'!$V$3:$V$302,$A11,'📋 Entries'!$I$3:$I$302,"Essential")</f>
        <v/>
      </c>
      <c r="E11" s="34">
        <f>COUNTIFS('📋 Entries'!$V$3:$V$302,$A11,'📋 Entries'!$I$3:$I$302,"Barrier")</f>
        <v/>
      </c>
      <c r="F11" s="34">
        <f>COUNTIFS('📋 Entries'!$V$3:$V$302,$A11,'📋 Entries'!$N$3:$N$302,"Diversion risk")</f>
        <v/>
      </c>
      <c r="G11" s="34">
        <f>COUNTIFS('📋 Entries'!$V$3:$V$302,$A11,'📋 Entries'!$N$3:$N$302,"Growing loyalty")</f>
        <v/>
      </c>
      <c r="H11" s="34">
        <f>COUNTIFS('📋 Entries'!$V$3:$V$302,$A11,'📋 Entries'!$L$3:$L$302,"&lt;&gt;")</f>
        <v/>
      </c>
      <c r="I11" s="34">
        <f>COUNTIFS('📋 Entries'!$V$3:$V$302,$A11,'📋 Entries'!$P$3:$P$302,"&lt;&gt;")</f>
        <v/>
      </c>
    </row>
    <row r="12" ht="15" customHeight="1" s="26">
      <c r="A12" s="34" t="n">
        <v>9</v>
      </c>
      <c r="B12" s="34">
        <f>COUNTIF('📋 Entries'!$V$3:$V$302,$A12)</f>
        <v/>
      </c>
      <c r="C12" s="34">
        <f>IFERROR(SUMPRODUCT((('📋 Entries'!$V$3:$V$302=$A12))/COUNTIFS('📋 Entries'!$B$3:$B$302,'📋 Entries'!$B$3:$B$302&amp;"",'📋 Entries'!$V$3:$V$302,'📋 Entries'!$V$3:$V$302&amp;"")),0)</f>
        <v/>
      </c>
      <c r="D12" s="34">
        <f>COUNTIFS('📋 Entries'!$V$3:$V$302,$A12,'📋 Entries'!$I$3:$I$302,"Essential")</f>
        <v/>
      </c>
      <c r="E12" s="34">
        <f>COUNTIFS('📋 Entries'!$V$3:$V$302,$A12,'📋 Entries'!$I$3:$I$302,"Barrier")</f>
        <v/>
      </c>
      <c r="F12" s="34">
        <f>COUNTIFS('📋 Entries'!$V$3:$V$302,$A12,'📋 Entries'!$N$3:$N$302,"Diversion risk")</f>
        <v/>
      </c>
      <c r="G12" s="34">
        <f>COUNTIFS('📋 Entries'!$V$3:$V$302,$A12,'📋 Entries'!$N$3:$N$302,"Growing loyalty")</f>
        <v/>
      </c>
      <c r="H12" s="34">
        <f>COUNTIFS('📋 Entries'!$V$3:$V$302,$A12,'📋 Entries'!$L$3:$L$302,"&lt;&gt;")</f>
        <v/>
      </c>
      <c r="I12" s="34">
        <f>COUNTIFS('📋 Entries'!$V$3:$V$302,$A12,'📋 Entries'!$P$3:$P$302,"&lt;&gt;")</f>
        <v/>
      </c>
    </row>
    <row r="13" ht="15" customHeight="1" s="26">
      <c r="A13" s="53" t="inlineStr">
        <is>
          <t>Total</t>
        </is>
      </c>
      <c r="B13" s="53">
        <f>SUM(B4:B12)</f>
        <v/>
      </c>
      <c r="C13" s="53" t="inlineStr">
        <is>
          <t>see Summary tab</t>
        </is>
      </c>
      <c r="D13" s="53">
        <f>SUM(D4:D12)</f>
        <v/>
      </c>
      <c r="E13" s="53">
        <f>SUM(E4:E12)</f>
        <v/>
      </c>
      <c r="F13" s="53">
        <f>SUM(F4:F12)</f>
        <v/>
      </c>
      <c r="G13" s="53">
        <f>SUM(G4:G12)</f>
        <v/>
      </c>
      <c r="H13" s="53">
        <f>SUM(H4:H12)</f>
        <v/>
      </c>
      <c r="I13" s="53">
        <f>SUM(I4:I12)</f>
        <v/>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D3C98"/>
    <outlinePr summaryBelow="1" summaryRight="1"/>
    <pageSetUpPr fitToPage="0"/>
  </sheetPr>
  <dimension ref="A1:E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0" customWidth="1" style="25" min="1" max="2"/>
    <col width="14" customWidth="1" style="25" min="3" max="4"/>
    <col width="40" customWidth="1" style="25" min="5" max="5"/>
  </cols>
  <sheetData>
    <row r="1" ht="36" customHeight="1" s="26">
      <c r="A1" s="30" t="inlineStr">
        <is>
          <t>PARTICIPANT TRACKER</t>
        </is>
      </c>
    </row>
    <row r="2" ht="15" customHeight="1" s="26">
      <c r="A2" s="31" t="inlineStr">
        <is>
          <t>User Name</t>
        </is>
      </c>
      <c r="B2" s="31" t="inlineStr">
        <is>
          <t>Segment</t>
        </is>
      </c>
      <c r="C2" s="31" t="inlineStr">
        <is>
          <t>Start Date</t>
        </is>
      </c>
      <c r="D2" s="31" t="inlineStr">
        <is>
          <t>End Date</t>
        </is>
      </c>
      <c r="E2" s="31" t="inlineStr">
        <is>
          <t>Notes</t>
        </is>
      </c>
    </row>
    <row r="3" ht="18" customHeight="1" s="26">
      <c r="A3" s="33" t="inlineStr">
        <is>
          <t>Richard</t>
        </is>
      </c>
      <c r="B3" s="33" t="inlineStr">
        <is>
          <t>M</t>
        </is>
      </c>
      <c r="C3" s="32" t="n">
        <v>46217</v>
      </c>
      <c r="D3" s="33" t="n"/>
      <c r="E3" s="33" t="n"/>
    </row>
    <row r="4" ht="18" customHeight="1" s="26">
      <c r="A4" s="36" t="inlineStr">
        <is>
          <t>Shania</t>
        </is>
      </c>
      <c r="B4" s="36" t="inlineStr">
        <is>
          <t>T</t>
        </is>
      </c>
      <c r="C4" s="35" t="n">
        <v>46217</v>
      </c>
      <c r="D4" s="36" t="n"/>
      <c r="E4" s="36" t="n"/>
    </row>
    <row r="5" ht="18" customHeight="1" s="26">
      <c r="A5" s="33" t="inlineStr">
        <is>
          <t>Kristin</t>
        </is>
      </c>
      <c r="B5" s="33" t="inlineStr">
        <is>
          <t>T</t>
        </is>
      </c>
      <c r="C5" s="32" t="n">
        <v>46212</v>
      </c>
      <c r="D5" s="33" t="n"/>
      <c r="E5" s="33" t="n"/>
    </row>
    <row r="6" ht="18" customHeight="1" s="26">
      <c r="A6" s="36" t="inlineStr">
        <is>
          <t>Tifany</t>
        </is>
      </c>
      <c r="B6" s="36" t="inlineStr">
        <is>
          <t>T</t>
        </is>
      </c>
      <c r="C6" s="35" t="n">
        <v>46212</v>
      </c>
      <c r="D6" s="36" t="n"/>
      <c r="E6" s="36" t="n"/>
    </row>
    <row r="7" ht="18" customHeight="1" s="26">
      <c r="A7" s="33" t="inlineStr">
        <is>
          <t>Deborah</t>
        </is>
      </c>
      <c r="B7" s="33" t="inlineStr">
        <is>
          <t>N</t>
        </is>
      </c>
      <c r="C7" s="32" t="n">
        <v>46212</v>
      </c>
      <c r="D7" s="33" t="n"/>
      <c r="E7" s="33" t="n"/>
    </row>
    <row r="8" ht="18" customHeight="1" s="26">
      <c r="A8" s="36" t="inlineStr">
        <is>
          <t>Joey</t>
        </is>
      </c>
      <c r="B8" s="36" t="inlineStr">
        <is>
          <t>M</t>
        </is>
      </c>
      <c r="C8" s="35" t="n">
        <v>46213</v>
      </c>
      <c r="D8" s="36" t="n"/>
      <c r="E8" s="36" t="n"/>
    </row>
    <row r="9" ht="18" customHeight="1" s="26">
      <c r="A9" s="33" t="inlineStr">
        <is>
          <t>Becky</t>
        </is>
      </c>
      <c r="B9" s="33" t="inlineStr">
        <is>
          <t>T</t>
        </is>
      </c>
      <c r="C9" s="32" t="n">
        <v>46213</v>
      </c>
      <c r="D9" s="33" t="n"/>
      <c r="E9" s="33" t="n"/>
    </row>
    <row r="10" ht="18" customHeight="1" s="26">
      <c r="A10" s="36" t="inlineStr">
        <is>
          <t>Annabelle</t>
        </is>
      </c>
      <c r="B10" s="36" t="inlineStr">
        <is>
          <t>N</t>
        </is>
      </c>
      <c r="C10" s="37" t="n">
        <v>46214</v>
      </c>
      <c r="D10" s="36" t="n"/>
      <c r="E10" s="36" t="n"/>
    </row>
    <row r="11" ht="18" customHeight="1" s="26">
      <c r="A11" s="33" t="inlineStr">
        <is>
          <t>Naomi</t>
        </is>
      </c>
      <c r="B11" s="33" t="inlineStr">
        <is>
          <t>M</t>
        </is>
      </c>
      <c r="C11" s="38" t="n">
        <v>46214</v>
      </c>
      <c r="D11" s="33" t="n"/>
      <c r="E11" s="33" t="n"/>
    </row>
    <row r="12" ht="18" customHeight="1" s="26">
      <c r="A12" s="36" t="inlineStr">
        <is>
          <t>Amy</t>
        </is>
      </c>
      <c r="B12" s="36" t="inlineStr">
        <is>
          <t>T</t>
        </is>
      </c>
      <c r="C12" s="37" t="n">
        <v>46216</v>
      </c>
      <c r="D12" s="36" t="n"/>
      <c r="E12" s="36" t="n"/>
    </row>
    <row r="13" ht="18" customHeight="1" s="26">
      <c r="A13" s="33" t="inlineStr">
        <is>
          <t>Colin</t>
        </is>
      </c>
      <c r="B13" s="33" t="inlineStr">
        <is>
          <t>T</t>
        </is>
      </c>
      <c r="C13" s="38" t="n">
        <v>46217</v>
      </c>
      <c r="D13" s="33" t="n"/>
      <c r="E13" s="33" t="n"/>
    </row>
    <row r="14" ht="18" customHeight="1" s="26">
      <c r="A14" s="36" t="inlineStr">
        <is>
          <t>Caroline</t>
        </is>
      </c>
      <c r="B14" s="36" t="inlineStr">
        <is>
          <t>M</t>
        </is>
      </c>
      <c r="C14" s="37" t="n">
        <v>46217</v>
      </c>
      <c r="D14" s="36" t="n"/>
      <c r="E14" s="36" t="n"/>
    </row>
    <row r="15" ht="18" customHeight="1" s="26">
      <c r="A15" s="33" t="inlineStr">
        <is>
          <t>Rachel</t>
        </is>
      </c>
      <c r="B15" s="33" t="inlineStr">
        <is>
          <t>N</t>
        </is>
      </c>
      <c r="C15" s="38" t="n">
        <v>46218</v>
      </c>
      <c r="D15" s="33" t="n"/>
      <c r="E15" s="33" t="n"/>
    </row>
    <row r="16" ht="18" customHeight="1" s="26">
      <c r="A16" s="36" t="inlineStr">
        <is>
          <t>Bruna</t>
        </is>
      </c>
      <c r="B16" s="36" t="inlineStr">
        <is>
          <t>T</t>
        </is>
      </c>
      <c r="C16" s="37" t="n">
        <v>46218</v>
      </c>
      <c r="D16" s="36" t="n"/>
      <c r="E16" s="36" t="n"/>
    </row>
    <row r="17" ht="18" customHeight="1" s="26">
      <c r="A17" s="33" t="inlineStr">
        <is>
          <t>Ashley</t>
        </is>
      </c>
      <c r="B17" s="33" t="inlineStr">
        <is>
          <t>N</t>
        </is>
      </c>
      <c r="C17" s="38" t="n">
        <v>46218</v>
      </c>
      <c r="D17" s="33" t="n"/>
      <c r="E17" s="33" t="n"/>
    </row>
    <row r="18" ht="18" customHeight="1" s="26">
      <c r="A18" s="36" t="inlineStr">
        <is>
          <t>Emma</t>
        </is>
      </c>
      <c r="B18" s="36" t="inlineStr">
        <is>
          <t>M</t>
        </is>
      </c>
      <c r="C18" s="37" t="n">
        <v>46218</v>
      </c>
      <c r="D18" s="36" t="n"/>
      <c r="E18" s="36" t="n"/>
    </row>
    <row r="19" ht="18" customHeight="1" s="26">
      <c r="A19" s="33" t="inlineStr">
        <is>
          <t>Alexandra</t>
        </is>
      </c>
      <c r="B19" s="33" t="inlineStr">
        <is>
          <t>N</t>
        </is>
      </c>
      <c r="C19" s="38" t="n">
        <v>46219</v>
      </c>
      <c r="D19" s="33" t="n"/>
      <c r="E19" s="33" t="n"/>
    </row>
    <row r="20" ht="18" customHeight="1" s="26">
      <c r="A20" s="36" t="inlineStr">
        <is>
          <t>TR</t>
        </is>
      </c>
      <c r="B20" s="36" t="inlineStr">
        <is>
          <t>T</t>
        </is>
      </c>
      <c r="C20" s="37" t="n">
        <v>46216</v>
      </c>
      <c r="D20" s="36" t="n"/>
      <c r="E20" s="36" t="n"/>
    </row>
    <row r="21" ht="18" customHeight="1" s="26">
      <c r="A21" s="33" t="inlineStr">
        <is>
          <t>Andrew</t>
        </is>
      </c>
      <c r="B21" s="33" t="inlineStr">
        <is>
          <t>T</t>
        </is>
      </c>
      <c r="C21" s="38" t="n">
        <v>46213</v>
      </c>
      <c r="D21" s="33" t="n"/>
      <c r="E21" s="33" t="n"/>
    </row>
    <row r="22" ht="18" customHeight="1" s="26">
      <c r="A22" s="36" t="inlineStr">
        <is>
          <t>Julia</t>
        </is>
      </c>
      <c r="B22" s="36" t="inlineStr">
        <is>
          <t>N</t>
        </is>
      </c>
      <c r="C22" s="37" t="n">
        <v>46213</v>
      </c>
      <c r="D22" s="36" t="n"/>
      <c r="E22" s="36" t="n"/>
    </row>
    <row r="23" ht="18" customHeight="1" s="26">
      <c r="A23" s="33" t="inlineStr">
        <is>
          <t>Cate</t>
        </is>
      </c>
      <c r="B23" s="33" t="inlineStr">
        <is>
          <t>M</t>
        </is>
      </c>
      <c r="C23" s="38" t="n">
        <v>46218</v>
      </c>
      <c r="D23" s="33" t="n"/>
      <c r="E23" s="33" t="n"/>
    </row>
    <row r="24" ht="18" customHeight="1" s="26">
      <c r="A24" s="36" t="inlineStr">
        <is>
          <t>Megan</t>
        </is>
      </c>
      <c r="B24" s="36" t="inlineStr">
        <is>
          <t>M</t>
        </is>
      </c>
      <c r="C24" s="37" t="n">
        <v>46218</v>
      </c>
      <c r="D24" s="36" t="n"/>
      <c r="E24" s="36" t="n"/>
    </row>
    <row r="25" ht="18" customHeight="1" s="26">
      <c r="A25" s="33" t="inlineStr">
        <is>
          <t>Jilian</t>
        </is>
      </c>
      <c r="B25" s="33" t="inlineStr">
        <is>
          <t>N</t>
        </is>
      </c>
      <c r="C25" s="38" t="n">
        <v>46219</v>
      </c>
      <c r="D25" s="33" t="n"/>
      <c r="E25" s="33" t="n"/>
    </row>
    <row r="26" ht="18" customHeight="1" s="26">
      <c r="A26" s="36" t="inlineStr">
        <is>
          <t>Anita</t>
        </is>
      </c>
      <c r="B26" s="36" t="inlineStr">
        <is>
          <t>T</t>
        </is>
      </c>
      <c r="C26" s="37" t="n">
        <v>46220</v>
      </c>
      <c r="D26" s="36" t="n"/>
      <c r="E26" s="36" t="n"/>
    </row>
    <row r="27" ht="18" customHeight="1" s="26">
      <c r="A27" s="33" t="inlineStr">
        <is>
          <t>Erika</t>
        </is>
      </c>
      <c r="B27" s="33" t="inlineStr">
        <is>
          <t>T</t>
        </is>
      </c>
      <c r="C27" s="38" t="n">
        <v>46220</v>
      </c>
      <c r="D27" s="33" t="n"/>
      <c r="E27" s="33" t="n"/>
    </row>
    <row r="28" ht="18" customHeight="1" s="26">
      <c r="A28" s="36" t="inlineStr">
        <is>
          <t>Emily</t>
        </is>
      </c>
      <c r="B28" s="36" t="inlineStr">
        <is>
          <t>N</t>
        </is>
      </c>
      <c r="C28" s="37" t="n">
        <v>46221</v>
      </c>
      <c r="D28" s="36" t="n"/>
      <c r="E28" s="36" t="n"/>
    </row>
    <row r="29" ht="18" customHeight="1" s="26">
      <c r="A29" s="33" t="inlineStr">
        <is>
          <t>Desiree</t>
        </is>
      </c>
      <c r="B29" s="33" t="inlineStr">
        <is>
          <t>N</t>
        </is>
      </c>
      <c r="C29" s="38" t="n">
        <v>46221</v>
      </c>
      <c r="D29" s="33" t="n"/>
      <c r="E29" s="33" t="n"/>
    </row>
    <row r="30" ht="18" customHeight="1" s="26">
      <c r="A30" s="36" t="inlineStr">
        <is>
          <t>David</t>
        </is>
      </c>
      <c r="B30" s="36" t="inlineStr">
        <is>
          <t>N</t>
        </is>
      </c>
      <c r="C30" s="37" t="n">
        <v>46221</v>
      </c>
      <c r="D30" s="36" t="n"/>
      <c r="E30" s="36" t="n"/>
    </row>
    <row r="31" ht="18" customHeight="1" s="26">
      <c r="A31" s="33" t="inlineStr">
        <is>
          <t>Melissa</t>
        </is>
      </c>
      <c r="B31" s="33" t="inlineStr">
        <is>
          <t>M</t>
        </is>
      </c>
      <c r="C31" s="38" t="n">
        <v>46221</v>
      </c>
      <c r="D31" s="33" t="n"/>
      <c r="E31" s="33" t="n"/>
    </row>
    <row r="32" ht="18" customHeight="1" s="26">
      <c r="A32" s="36" t="inlineStr">
        <is>
          <t>Alexia</t>
        </is>
      </c>
      <c r="B32" s="36" t="inlineStr">
        <is>
          <t>M</t>
        </is>
      </c>
      <c r="C32" s="37" t="n">
        <v>46224</v>
      </c>
      <c r="D32" s="36" t="n"/>
      <c r="E32" s="36" t="n"/>
    </row>
    <row r="33" ht="18" customHeight="1" s="26">
      <c r="A33" s="33" t="inlineStr">
        <is>
          <t>Alyssa</t>
        </is>
      </c>
      <c r="B33" s="33" t="inlineStr">
        <is>
          <t>N</t>
        </is>
      </c>
      <c r="C33" s="38" t="n">
        <v>46224</v>
      </c>
      <c r="D33" s="33" t="n"/>
      <c r="E33" s="33" t="n"/>
    </row>
    <row r="34" ht="18" customHeight="1" s="26">
      <c r="A34" s="36" t="inlineStr">
        <is>
          <t>Erica</t>
        </is>
      </c>
      <c r="B34" s="36" t="inlineStr">
        <is>
          <t>M</t>
        </is>
      </c>
      <c r="C34" s="37" t="n">
        <v>46224</v>
      </c>
      <c r="D34" s="36" t="n"/>
      <c r="E34" s="36" t="n"/>
    </row>
    <row r="35" ht="18" customHeight="1" s="26">
      <c r="A35" s="33" t="inlineStr">
        <is>
          <t>Dawn</t>
        </is>
      </c>
      <c r="B35" s="33" t="inlineStr">
        <is>
          <t>T</t>
        </is>
      </c>
      <c r="C35" s="38" t="n">
        <v>46225</v>
      </c>
      <c r="D35" s="33" t="n"/>
      <c r="E35" s="33" t="n"/>
    </row>
    <row r="36" ht="18" customHeight="1" s="26">
      <c r="A36" s="36" t="n"/>
      <c r="B36" s="36" t="n"/>
      <c r="C36" s="36" t="n"/>
      <c r="D36" s="36" t="n"/>
      <c r="E36" s="36" t="n"/>
    </row>
    <row r="37" ht="18" customHeight="1" s="26">
      <c r="A37" s="33" t="n"/>
      <c r="B37" s="33" t="n"/>
      <c r="C37" s="33" t="n"/>
      <c r="D37" s="33" t="n"/>
      <c r="E37" s="33" t="n"/>
    </row>
    <row r="38" ht="18" customHeight="1" s="26">
      <c r="A38" s="36" t="n"/>
      <c r="B38" s="36" t="n"/>
      <c r="C38" s="36" t="n"/>
      <c r="D38" s="36" t="n"/>
      <c r="E38" s="36" t="n"/>
    </row>
  </sheetData>
  <mergeCells count="1">
    <mergeCell ref="A1:E1"/>
  </mergeCells>
  <dataValidations count="1">
    <dataValidation sqref="B3:B38" showDropDown="0" showInputMessage="0" showErrorMessage="0" allowBlank="1" type="list" errorStyle="stop" operator="between">
      <formula1>"New provider,Growing provider,Established provider,Power provider,New,Mid,Top"</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2026-06-22T13:06:23Z</dcterms:created>
  <dcterms:modified xmlns:dcterms="http://purl.org/dc/terms/" xmlns:xsi="http://www.w3.org/2001/XMLSchema-instance" xsi:type="dcterms:W3CDTF">2026-07-23T15:42:49Z</dcterms:modified>
  <cp:revision>0</cp:revision>
</cp:coreProperties>
</file>